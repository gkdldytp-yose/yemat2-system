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바탕 화면\나요세\"/>
    </mc:Choice>
  </mc:AlternateContent>
  <xr:revisionPtr revIDLastSave="0" documentId="13_ncr:1_{EB6AB8EC-9F25-4CD0-8CD9-72B3321643A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품번코드마스터" sheetId="18" r:id="rId1"/>
    <sheet name="원,부재료 수불부" sheetId="7" r:id="rId2"/>
    <sheet name="입출고데이터" sheetId="16" state="hidden" r:id="rId3"/>
    <sheet name="창고장소코드" sheetId="14" state="hidden" r:id="rId4"/>
  </sheets>
  <externalReferences>
    <externalReference r:id="rId5"/>
    <externalReference r:id="rId6"/>
  </externalReferences>
  <definedNames>
    <definedName name="_xlnm._FilterDatabase" localSheetId="1" hidden="1">'원,부재료 수불부'!$B$6:$Y$351</definedName>
    <definedName name="_xlnm._FilterDatabase" localSheetId="2" hidden="1">입출고데이터!$A$3:$Z$1130</definedName>
    <definedName name="_xlnm._FilterDatabase" localSheetId="0" hidden="1">품번코드마스터!$A$3:$J$282</definedName>
    <definedName name="_xlnm.Print_Area" localSheetId="1">'원,부재료 수불부'!$A$1:$Y$351</definedName>
    <definedName name="_xlnm.Print_Titles" localSheetId="1">'원,부재료 수불부'!$1:$6</definedName>
    <definedName name="ㅇㅇ" localSheetId="2">OFFSET([1]품번코드!#REF!,,,COUNTIF([1]품번코드!#REF!,"*?"))</definedName>
    <definedName name="ㅇㅇ">OFFSET([1]품번코드!#REF!,,,COUNTIF([1]품번코드!#REF!,"*?"))</definedName>
    <definedName name="유효성목록상자" localSheetId="2">OFFSET(#REF!,,,COUNTIF(#REF!,"*?"))</definedName>
    <definedName name="유효성목록상자">OFFSET(#REF!,,,COUNTIF(#REF!,"*?"))</definedName>
  </definedNames>
  <calcPr calcId="191029"/>
</workbook>
</file>

<file path=xl/calcChain.xml><?xml version="1.0" encoding="utf-8"?>
<calcChain xmlns="http://schemas.openxmlformats.org/spreadsheetml/2006/main">
  <c r="F1" i="18" l="1"/>
  <c r="X1130" i="16" l="1"/>
  <c r="Q1130" i="16"/>
  <c r="O1130" i="16"/>
  <c r="H1130" i="16"/>
  <c r="X1129" i="16"/>
  <c r="Q1129" i="16"/>
  <c r="O1129" i="16"/>
  <c r="H1129" i="16"/>
  <c r="X1128" i="16"/>
  <c r="Q1128" i="16"/>
  <c r="O1128" i="16"/>
  <c r="H1128" i="16"/>
  <c r="X1127" i="16"/>
  <c r="Q1127" i="16"/>
  <c r="O1127" i="16"/>
  <c r="H1127" i="16"/>
  <c r="X1126" i="16"/>
  <c r="Q1126" i="16"/>
  <c r="O1126" i="16"/>
  <c r="H1126" i="16"/>
  <c r="X1125" i="16"/>
  <c r="Z1125" i="16" s="1"/>
  <c r="O1125" i="16"/>
  <c r="Q1125" i="16" s="1"/>
  <c r="E1125" i="16"/>
  <c r="F1125" i="16" s="1"/>
  <c r="G1125" i="16" s="1"/>
  <c r="H1125" i="16" s="1"/>
  <c r="D1125" i="16"/>
  <c r="C1125" i="16"/>
  <c r="X1124" i="16"/>
  <c r="Z1124" i="16" s="1"/>
  <c r="O1124" i="16"/>
  <c r="Q1124" i="16" s="1"/>
  <c r="E1124" i="16"/>
  <c r="F1124" i="16" s="1"/>
  <c r="G1124" i="16" s="1"/>
  <c r="H1124" i="16" s="1"/>
  <c r="D1124" i="16"/>
  <c r="C1124" i="16"/>
  <c r="X1123" i="16"/>
  <c r="Z1123" i="16" s="1"/>
  <c r="O1123" i="16"/>
  <c r="Q1123" i="16" s="1"/>
  <c r="E1123" i="16"/>
  <c r="F1123" i="16" s="1"/>
  <c r="G1123" i="16" s="1"/>
  <c r="H1123" i="16" s="1"/>
  <c r="D1123" i="16"/>
  <c r="C1123" i="16"/>
  <c r="X1122" i="16"/>
  <c r="Z1122" i="16" s="1"/>
  <c r="O1122" i="16"/>
  <c r="Q1122" i="16" s="1"/>
  <c r="E1122" i="16"/>
  <c r="F1122" i="16" s="1"/>
  <c r="G1122" i="16" s="1"/>
  <c r="H1122" i="16" s="1"/>
  <c r="D1122" i="16"/>
  <c r="C1122" i="16"/>
  <c r="X1121" i="16"/>
  <c r="Z1121" i="16" s="1"/>
  <c r="O1121" i="16"/>
  <c r="Q1121" i="16" s="1"/>
  <c r="E1121" i="16"/>
  <c r="F1121" i="16" s="1"/>
  <c r="G1121" i="16" s="1"/>
  <c r="H1121" i="16" s="1"/>
  <c r="D1121" i="16"/>
  <c r="C1121" i="16"/>
  <c r="X1120" i="16"/>
  <c r="Z1120" i="16" s="1"/>
  <c r="O1120" i="16"/>
  <c r="Q1120" i="16" s="1"/>
  <c r="E1120" i="16"/>
  <c r="F1120" i="16" s="1"/>
  <c r="G1120" i="16" s="1"/>
  <c r="H1120" i="16" s="1"/>
  <c r="D1120" i="16"/>
  <c r="C1120" i="16"/>
  <c r="X1119" i="16"/>
  <c r="Z1119" i="16" s="1"/>
  <c r="O1119" i="16"/>
  <c r="Q1119" i="16" s="1"/>
  <c r="E1119" i="16"/>
  <c r="F1119" i="16" s="1"/>
  <c r="G1119" i="16" s="1"/>
  <c r="H1119" i="16" s="1"/>
  <c r="D1119" i="16"/>
  <c r="C1119" i="16"/>
  <c r="X1118" i="16"/>
  <c r="Z1118" i="16" s="1"/>
  <c r="O1118" i="16"/>
  <c r="Q1118" i="16" s="1"/>
  <c r="E1118" i="16"/>
  <c r="F1118" i="16" s="1"/>
  <c r="G1118" i="16" s="1"/>
  <c r="H1118" i="16" s="1"/>
  <c r="D1118" i="16"/>
  <c r="C1118" i="16"/>
  <c r="X1117" i="16"/>
  <c r="Z1117" i="16" s="1"/>
  <c r="O1117" i="16"/>
  <c r="Q1117" i="16" s="1"/>
  <c r="E1117" i="16"/>
  <c r="F1117" i="16" s="1"/>
  <c r="G1117" i="16" s="1"/>
  <c r="H1117" i="16" s="1"/>
  <c r="D1117" i="16"/>
  <c r="C1117" i="16"/>
  <c r="X1116" i="16"/>
  <c r="Z1116" i="16" s="1"/>
  <c r="O1116" i="16"/>
  <c r="Q1116" i="16" s="1"/>
  <c r="E1116" i="16"/>
  <c r="F1116" i="16" s="1"/>
  <c r="G1116" i="16" s="1"/>
  <c r="H1116" i="16" s="1"/>
  <c r="D1116" i="16"/>
  <c r="C1116" i="16"/>
  <c r="X1115" i="16"/>
  <c r="Z1115" i="16" s="1"/>
  <c r="O1115" i="16"/>
  <c r="Q1115" i="16" s="1"/>
  <c r="E1115" i="16"/>
  <c r="F1115" i="16" s="1"/>
  <c r="G1115" i="16" s="1"/>
  <c r="H1115" i="16" s="1"/>
  <c r="D1115" i="16"/>
  <c r="C1115" i="16"/>
  <c r="X1114" i="16"/>
  <c r="Z1114" i="16" s="1"/>
  <c r="O1114" i="16"/>
  <c r="Q1114" i="16" s="1"/>
  <c r="E1114" i="16"/>
  <c r="F1114" i="16" s="1"/>
  <c r="G1114" i="16" s="1"/>
  <c r="H1114" i="16" s="1"/>
  <c r="D1114" i="16"/>
  <c r="C1114" i="16"/>
  <c r="X1113" i="16"/>
  <c r="Z1113" i="16" s="1"/>
  <c r="O1113" i="16"/>
  <c r="Q1113" i="16" s="1"/>
  <c r="E1113" i="16"/>
  <c r="F1113" i="16" s="1"/>
  <c r="G1113" i="16" s="1"/>
  <c r="H1113" i="16" s="1"/>
  <c r="D1113" i="16"/>
  <c r="C1113" i="16"/>
  <c r="X1112" i="16"/>
  <c r="Z1112" i="16" s="1"/>
  <c r="O1112" i="16"/>
  <c r="Q1112" i="16" s="1"/>
  <c r="E1112" i="16"/>
  <c r="F1112" i="16" s="1"/>
  <c r="G1112" i="16" s="1"/>
  <c r="H1112" i="16" s="1"/>
  <c r="D1112" i="16"/>
  <c r="C1112" i="16"/>
  <c r="X1111" i="16"/>
  <c r="Z1111" i="16" s="1"/>
  <c r="O1111" i="16"/>
  <c r="Q1111" i="16" s="1"/>
  <c r="E1111" i="16"/>
  <c r="F1111" i="16" s="1"/>
  <c r="G1111" i="16" s="1"/>
  <c r="H1111" i="16" s="1"/>
  <c r="D1111" i="16"/>
  <c r="C1111" i="16"/>
  <c r="X1110" i="16"/>
  <c r="Z1110" i="16" s="1"/>
  <c r="O1110" i="16"/>
  <c r="Q1110" i="16" s="1"/>
  <c r="E1110" i="16"/>
  <c r="F1110" i="16" s="1"/>
  <c r="G1110" i="16" s="1"/>
  <c r="H1110" i="16" s="1"/>
  <c r="D1110" i="16"/>
  <c r="C1110" i="16"/>
  <c r="X1109" i="16"/>
  <c r="Z1109" i="16" s="1"/>
  <c r="O1109" i="16"/>
  <c r="Q1109" i="16" s="1"/>
  <c r="E1109" i="16"/>
  <c r="F1109" i="16" s="1"/>
  <c r="G1109" i="16" s="1"/>
  <c r="H1109" i="16" s="1"/>
  <c r="D1109" i="16"/>
  <c r="C1109" i="16"/>
  <c r="X1108" i="16"/>
  <c r="Z1108" i="16" s="1"/>
  <c r="O1108" i="16"/>
  <c r="Q1108" i="16" s="1"/>
  <c r="E1108" i="16"/>
  <c r="F1108" i="16" s="1"/>
  <c r="G1108" i="16" s="1"/>
  <c r="H1108" i="16" s="1"/>
  <c r="D1108" i="16"/>
  <c r="C1108" i="16"/>
  <c r="X1107" i="16"/>
  <c r="Z1107" i="16" s="1"/>
  <c r="O1107" i="16"/>
  <c r="Q1107" i="16" s="1"/>
  <c r="E1107" i="16"/>
  <c r="F1107" i="16" s="1"/>
  <c r="G1107" i="16" s="1"/>
  <c r="H1107" i="16" s="1"/>
  <c r="D1107" i="16"/>
  <c r="C1107" i="16"/>
  <c r="X1106" i="16"/>
  <c r="Z1106" i="16" s="1"/>
  <c r="O1106" i="16"/>
  <c r="Q1106" i="16" s="1"/>
  <c r="E1106" i="16"/>
  <c r="F1106" i="16" s="1"/>
  <c r="G1106" i="16" s="1"/>
  <c r="H1106" i="16" s="1"/>
  <c r="D1106" i="16"/>
  <c r="C1106" i="16"/>
  <c r="X1105" i="16"/>
  <c r="Z1105" i="16" s="1"/>
  <c r="O1105" i="16"/>
  <c r="Q1105" i="16" s="1"/>
  <c r="E1105" i="16"/>
  <c r="F1105" i="16" s="1"/>
  <c r="G1105" i="16" s="1"/>
  <c r="H1105" i="16" s="1"/>
  <c r="D1105" i="16"/>
  <c r="C1105" i="16"/>
  <c r="X1104" i="16"/>
  <c r="Z1104" i="16" s="1"/>
  <c r="O1104" i="16"/>
  <c r="Q1104" i="16" s="1"/>
  <c r="E1104" i="16"/>
  <c r="F1104" i="16" s="1"/>
  <c r="G1104" i="16" s="1"/>
  <c r="H1104" i="16" s="1"/>
  <c r="D1104" i="16"/>
  <c r="C1104" i="16"/>
  <c r="X1103" i="16"/>
  <c r="Z1103" i="16" s="1"/>
  <c r="O1103" i="16"/>
  <c r="Q1103" i="16" s="1"/>
  <c r="E1103" i="16"/>
  <c r="F1103" i="16" s="1"/>
  <c r="G1103" i="16" s="1"/>
  <c r="H1103" i="16" s="1"/>
  <c r="D1103" i="16"/>
  <c r="C1103" i="16"/>
  <c r="X1102" i="16"/>
  <c r="Z1102" i="16" s="1"/>
  <c r="O1102" i="16"/>
  <c r="Q1102" i="16" s="1"/>
  <c r="E1102" i="16"/>
  <c r="F1102" i="16" s="1"/>
  <c r="G1102" i="16" s="1"/>
  <c r="H1102" i="16" s="1"/>
  <c r="D1102" i="16"/>
  <c r="C1102" i="16"/>
  <c r="X1101" i="16"/>
  <c r="Z1101" i="16" s="1"/>
  <c r="O1101" i="16"/>
  <c r="Q1101" i="16" s="1"/>
  <c r="E1101" i="16"/>
  <c r="F1101" i="16" s="1"/>
  <c r="G1101" i="16" s="1"/>
  <c r="H1101" i="16" s="1"/>
  <c r="D1101" i="16"/>
  <c r="C1101" i="16"/>
  <c r="X1100" i="16"/>
  <c r="Z1100" i="16" s="1"/>
  <c r="O1100" i="16"/>
  <c r="Q1100" i="16" s="1"/>
  <c r="E1100" i="16"/>
  <c r="F1100" i="16" s="1"/>
  <c r="G1100" i="16" s="1"/>
  <c r="H1100" i="16" s="1"/>
  <c r="D1100" i="16"/>
  <c r="C1100" i="16"/>
  <c r="X1099" i="16"/>
  <c r="Z1099" i="16" s="1"/>
  <c r="O1099" i="16"/>
  <c r="Q1099" i="16" s="1"/>
  <c r="E1099" i="16"/>
  <c r="F1099" i="16" s="1"/>
  <c r="G1099" i="16" s="1"/>
  <c r="H1099" i="16" s="1"/>
  <c r="D1099" i="16"/>
  <c r="C1099" i="16"/>
  <c r="X1098" i="16"/>
  <c r="Z1098" i="16" s="1"/>
  <c r="O1098" i="16"/>
  <c r="Q1098" i="16" s="1"/>
  <c r="E1098" i="16"/>
  <c r="F1098" i="16" s="1"/>
  <c r="G1098" i="16" s="1"/>
  <c r="H1098" i="16" s="1"/>
  <c r="D1098" i="16"/>
  <c r="C1098" i="16"/>
  <c r="X1097" i="16"/>
  <c r="Z1097" i="16" s="1"/>
  <c r="O1097" i="16"/>
  <c r="Q1097" i="16" s="1"/>
  <c r="E1097" i="16"/>
  <c r="F1097" i="16" s="1"/>
  <c r="G1097" i="16" s="1"/>
  <c r="H1097" i="16" s="1"/>
  <c r="D1097" i="16"/>
  <c r="C1097" i="16"/>
  <c r="X1096" i="16"/>
  <c r="Z1096" i="16" s="1"/>
  <c r="O1096" i="16"/>
  <c r="Q1096" i="16" s="1"/>
  <c r="E1096" i="16"/>
  <c r="F1096" i="16" s="1"/>
  <c r="G1096" i="16" s="1"/>
  <c r="H1096" i="16" s="1"/>
  <c r="D1096" i="16"/>
  <c r="C1096" i="16"/>
  <c r="X1095" i="16"/>
  <c r="Z1095" i="16" s="1"/>
  <c r="O1095" i="16"/>
  <c r="Q1095" i="16" s="1"/>
  <c r="E1095" i="16"/>
  <c r="F1095" i="16" s="1"/>
  <c r="G1095" i="16" s="1"/>
  <c r="H1095" i="16" s="1"/>
  <c r="D1095" i="16"/>
  <c r="C1095" i="16"/>
  <c r="X1094" i="16"/>
  <c r="Z1094" i="16" s="1"/>
  <c r="O1094" i="16"/>
  <c r="Q1094" i="16" s="1"/>
  <c r="E1094" i="16"/>
  <c r="F1094" i="16" s="1"/>
  <c r="G1094" i="16" s="1"/>
  <c r="H1094" i="16" s="1"/>
  <c r="D1094" i="16"/>
  <c r="C1094" i="16"/>
  <c r="X1093" i="16"/>
  <c r="Z1093" i="16" s="1"/>
  <c r="O1093" i="16"/>
  <c r="Q1093" i="16" s="1"/>
  <c r="E1093" i="16"/>
  <c r="F1093" i="16" s="1"/>
  <c r="G1093" i="16" s="1"/>
  <c r="H1093" i="16" s="1"/>
  <c r="D1093" i="16"/>
  <c r="C1093" i="16"/>
  <c r="X1092" i="16"/>
  <c r="Z1092" i="16" s="1"/>
  <c r="O1092" i="16"/>
  <c r="Q1092" i="16" s="1"/>
  <c r="E1092" i="16"/>
  <c r="F1092" i="16" s="1"/>
  <c r="G1092" i="16" s="1"/>
  <c r="H1092" i="16" s="1"/>
  <c r="D1092" i="16"/>
  <c r="C1092" i="16"/>
  <c r="X1091" i="16"/>
  <c r="Z1091" i="16" s="1"/>
  <c r="O1091" i="16"/>
  <c r="Q1091" i="16" s="1"/>
  <c r="E1091" i="16"/>
  <c r="F1091" i="16" s="1"/>
  <c r="G1091" i="16" s="1"/>
  <c r="H1091" i="16" s="1"/>
  <c r="D1091" i="16"/>
  <c r="C1091" i="16"/>
  <c r="X1090" i="16"/>
  <c r="Z1090" i="16" s="1"/>
  <c r="O1090" i="16"/>
  <c r="Q1090" i="16" s="1"/>
  <c r="E1090" i="16"/>
  <c r="F1090" i="16" s="1"/>
  <c r="G1090" i="16" s="1"/>
  <c r="H1090" i="16" s="1"/>
  <c r="D1090" i="16"/>
  <c r="C1090" i="16"/>
  <c r="X1089" i="16"/>
  <c r="Z1089" i="16" s="1"/>
  <c r="O1089" i="16"/>
  <c r="Q1089" i="16" s="1"/>
  <c r="E1089" i="16"/>
  <c r="F1089" i="16" s="1"/>
  <c r="G1089" i="16" s="1"/>
  <c r="H1089" i="16" s="1"/>
  <c r="D1089" i="16"/>
  <c r="C1089" i="16"/>
  <c r="X1088" i="16"/>
  <c r="Z1088" i="16" s="1"/>
  <c r="O1088" i="16"/>
  <c r="Q1088" i="16" s="1"/>
  <c r="E1088" i="16"/>
  <c r="F1088" i="16" s="1"/>
  <c r="G1088" i="16" s="1"/>
  <c r="H1088" i="16" s="1"/>
  <c r="D1088" i="16"/>
  <c r="C1088" i="16"/>
  <c r="X1087" i="16"/>
  <c r="Z1087" i="16" s="1"/>
  <c r="O1087" i="16"/>
  <c r="Q1087" i="16" s="1"/>
  <c r="E1087" i="16"/>
  <c r="F1087" i="16" s="1"/>
  <c r="G1087" i="16" s="1"/>
  <c r="H1087" i="16" s="1"/>
  <c r="D1087" i="16"/>
  <c r="C1087" i="16"/>
  <c r="X1086" i="16"/>
  <c r="Z1086" i="16" s="1"/>
  <c r="O1086" i="16"/>
  <c r="Q1086" i="16" s="1"/>
  <c r="E1086" i="16"/>
  <c r="F1086" i="16" s="1"/>
  <c r="G1086" i="16" s="1"/>
  <c r="H1086" i="16" s="1"/>
  <c r="D1086" i="16"/>
  <c r="C1086" i="16"/>
  <c r="X1085" i="16"/>
  <c r="Z1085" i="16" s="1"/>
  <c r="O1085" i="16"/>
  <c r="Q1085" i="16" s="1"/>
  <c r="E1085" i="16"/>
  <c r="F1085" i="16" s="1"/>
  <c r="G1085" i="16" s="1"/>
  <c r="H1085" i="16" s="1"/>
  <c r="D1085" i="16"/>
  <c r="C1085" i="16"/>
  <c r="X1084" i="16"/>
  <c r="Z1084" i="16" s="1"/>
  <c r="O1084" i="16"/>
  <c r="Q1084" i="16" s="1"/>
  <c r="E1084" i="16"/>
  <c r="F1084" i="16" s="1"/>
  <c r="G1084" i="16" s="1"/>
  <c r="H1084" i="16" s="1"/>
  <c r="D1084" i="16"/>
  <c r="C1084" i="16"/>
  <c r="X1083" i="16"/>
  <c r="Z1083" i="16" s="1"/>
  <c r="O1083" i="16"/>
  <c r="Q1083" i="16" s="1"/>
  <c r="E1083" i="16"/>
  <c r="F1083" i="16" s="1"/>
  <c r="G1083" i="16" s="1"/>
  <c r="H1083" i="16" s="1"/>
  <c r="D1083" i="16"/>
  <c r="C1083" i="16"/>
  <c r="X1082" i="16"/>
  <c r="Z1082" i="16" s="1"/>
  <c r="O1082" i="16"/>
  <c r="Q1082" i="16" s="1"/>
  <c r="E1082" i="16"/>
  <c r="F1082" i="16" s="1"/>
  <c r="G1082" i="16" s="1"/>
  <c r="H1082" i="16" s="1"/>
  <c r="D1082" i="16"/>
  <c r="C1082" i="16"/>
  <c r="X1081" i="16"/>
  <c r="Z1081" i="16" s="1"/>
  <c r="O1081" i="16"/>
  <c r="Q1081" i="16" s="1"/>
  <c r="E1081" i="16"/>
  <c r="F1081" i="16" s="1"/>
  <c r="G1081" i="16" s="1"/>
  <c r="H1081" i="16" s="1"/>
  <c r="D1081" i="16"/>
  <c r="C1081" i="16"/>
  <c r="X1080" i="16"/>
  <c r="Z1080" i="16" s="1"/>
  <c r="O1080" i="16"/>
  <c r="Q1080" i="16" s="1"/>
  <c r="E1080" i="16"/>
  <c r="F1080" i="16" s="1"/>
  <c r="G1080" i="16" s="1"/>
  <c r="H1080" i="16" s="1"/>
  <c r="D1080" i="16"/>
  <c r="C1080" i="16"/>
  <c r="X1079" i="16"/>
  <c r="Z1079" i="16" s="1"/>
  <c r="O1079" i="16"/>
  <c r="Q1079" i="16" s="1"/>
  <c r="E1079" i="16"/>
  <c r="F1079" i="16" s="1"/>
  <c r="G1079" i="16" s="1"/>
  <c r="H1079" i="16" s="1"/>
  <c r="D1079" i="16"/>
  <c r="C1079" i="16"/>
  <c r="X1078" i="16"/>
  <c r="Z1078" i="16" s="1"/>
  <c r="O1078" i="16"/>
  <c r="Q1078" i="16" s="1"/>
  <c r="E1078" i="16"/>
  <c r="F1078" i="16" s="1"/>
  <c r="G1078" i="16" s="1"/>
  <c r="H1078" i="16" s="1"/>
  <c r="D1078" i="16"/>
  <c r="C1078" i="16"/>
  <c r="X1077" i="16"/>
  <c r="Z1077" i="16" s="1"/>
  <c r="O1077" i="16"/>
  <c r="Q1077" i="16" s="1"/>
  <c r="E1077" i="16"/>
  <c r="F1077" i="16" s="1"/>
  <c r="G1077" i="16" s="1"/>
  <c r="H1077" i="16" s="1"/>
  <c r="D1077" i="16"/>
  <c r="C1077" i="16"/>
  <c r="X1076" i="16"/>
  <c r="Z1076" i="16" s="1"/>
  <c r="O1076" i="16"/>
  <c r="Q1076" i="16" s="1"/>
  <c r="E1076" i="16"/>
  <c r="F1076" i="16" s="1"/>
  <c r="G1076" i="16" s="1"/>
  <c r="H1076" i="16" s="1"/>
  <c r="D1076" i="16"/>
  <c r="C1076" i="16"/>
  <c r="X1075" i="16"/>
  <c r="Z1075" i="16" s="1"/>
  <c r="O1075" i="16"/>
  <c r="Q1075" i="16" s="1"/>
  <c r="E1075" i="16"/>
  <c r="F1075" i="16" s="1"/>
  <c r="G1075" i="16" s="1"/>
  <c r="H1075" i="16" s="1"/>
  <c r="D1075" i="16"/>
  <c r="C1075" i="16"/>
  <c r="X1074" i="16"/>
  <c r="Z1074" i="16" s="1"/>
  <c r="O1074" i="16"/>
  <c r="Q1074" i="16" s="1"/>
  <c r="E1074" i="16"/>
  <c r="F1074" i="16" s="1"/>
  <c r="G1074" i="16" s="1"/>
  <c r="H1074" i="16" s="1"/>
  <c r="D1074" i="16"/>
  <c r="C1074" i="16"/>
  <c r="X1073" i="16"/>
  <c r="Z1073" i="16" s="1"/>
  <c r="O1073" i="16"/>
  <c r="Q1073" i="16" s="1"/>
  <c r="E1073" i="16"/>
  <c r="F1073" i="16" s="1"/>
  <c r="G1073" i="16" s="1"/>
  <c r="H1073" i="16" s="1"/>
  <c r="D1073" i="16"/>
  <c r="C1073" i="16"/>
  <c r="X1072" i="16"/>
  <c r="Z1072" i="16" s="1"/>
  <c r="O1072" i="16"/>
  <c r="Q1072" i="16" s="1"/>
  <c r="E1072" i="16"/>
  <c r="F1072" i="16" s="1"/>
  <c r="G1072" i="16" s="1"/>
  <c r="H1072" i="16" s="1"/>
  <c r="D1072" i="16"/>
  <c r="C1072" i="16"/>
  <c r="X1071" i="16"/>
  <c r="Z1071" i="16" s="1"/>
  <c r="O1071" i="16"/>
  <c r="Q1071" i="16" s="1"/>
  <c r="E1071" i="16"/>
  <c r="F1071" i="16" s="1"/>
  <c r="G1071" i="16" s="1"/>
  <c r="H1071" i="16" s="1"/>
  <c r="D1071" i="16"/>
  <c r="C1071" i="16"/>
  <c r="X1070" i="16"/>
  <c r="Z1070" i="16" s="1"/>
  <c r="O1070" i="16"/>
  <c r="Q1070" i="16" s="1"/>
  <c r="E1070" i="16"/>
  <c r="F1070" i="16" s="1"/>
  <c r="G1070" i="16" s="1"/>
  <c r="H1070" i="16" s="1"/>
  <c r="D1070" i="16"/>
  <c r="C1070" i="16"/>
  <c r="X1069" i="16"/>
  <c r="Z1069" i="16" s="1"/>
  <c r="O1069" i="16"/>
  <c r="Q1069" i="16" s="1"/>
  <c r="E1069" i="16"/>
  <c r="F1069" i="16" s="1"/>
  <c r="G1069" i="16" s="1"/>
  <c r="H1069" i="16" s="1"/>
  <c r="D1069" i="16"/>
  <c r="C1069" i="16"/>
  <c r="X1068" i="16"/>
  <c r="Z1068" i="16" s="1"/>
  <c r="O1068" i="16"/>
  <c r="Q1068" i="16" s="1"/>
  <c r="E1068" i="16"/>
  <c r="F1068" i="16" s="1"/>
  <c r="G1068" i="16" s="1"/>
  <c r="H1068" i="16" s="1"/>
  <c r="D1068" i="16"/>
  <c r="C1068" i="16"/>
  <c r="X1067" i="16"/>
  <c r="Z1067" i="16" s="1"/>
  <c r="O1067" i="16"/>
  <c r="Q1067" i="16" s="1"/>
  <c r="E1067" i="16"/>
  <c r="F1067" i="16" s="1"/>
  <c r="G1067" i="16" s="1"/>
  <c r="H1067" i="16" s="1"/>
  <c r="D1067" i="16"/>
  <c r="C1067" i="16"/>
  <c r="X1066" i="16"/>
  <c r="Z1066" i="16" s="1"/>
  <c r="O1066" i="16"/>
  <c r="Q1066" i="16" s="1"/>
  <c r="E1066" i="16"/>
  <c r="F1066" i="16" s="1"/>
  <c r="G1066" i="16" s="1"/>
  <c r="H1066" i="16" s="1"/>
  <c r="D1066" i="16"/>
  <c r="C1066" i="16"/>
  <c r="X1065" i="16"/>
  <c r="Z1065" i="16" s="1"/>
  <c r="O1065" i="16"/>
  <c r="Q1065" i="16" s="1"/>
  <c r="E1065" i="16"/>
  <c r="F1065" i="16" s="1"/>
  <c r="G1065" i="16" s="1"/>
  <c r="H1065" i="16" s="1"/>
  <c r="D1065" i="16"/>
  <c r="C1065" i="16"/>
  <c r="X1064" i="16"/>
  <c r="Z1064" i="16" s="1"/>
  <c r="O1064" i="16"/>
  <c r="Q1064" i="16" s="1"/>
  <c r="E1064" i="16"/>
  <c r="F1064" i="16" s="1"/>
  <c r="G1064" i="16" s="1"/>
  <c r="H1064" i="16" s="1"/>
  <c r="D1064" i="16"/>
  <c r="C1064" i="16"/>
  <c r="X1063" i="16"/>
  <c r="Z1063" i="16" s="1"/>
  <c r="O1063" i="16"/>
  <c r="Q1063" i="16" s="1"/>
  <c r="E1063" i="16"/>
  <c r="F1063" i="16" s="1"/>
  <c r="G1063" i="16" s="1"/>
  <c r="H1063" i="16" s="1"/>
  <c r="D1063" i="16"/>
  <c r="C1063" i="16"/>
  <c r="X1062" i="16"/>
  <c r="Z1062" i="16" s="1"/>
  <c r="O1062" i="16"/>
  <c r="Q1062" i="16" s="1"/>
  <c r="E1062" i="16"/>
  <c r="F1062" i="16" s="1"/>
  <c r="G1062" i="16" s="1"/>
  <c r="H1062" i="16" s="1"/>
  <c r="D1062" i="16"/>
  <c r="C1062" i="16"/>
  <c r="X1061" i="16"/>
  <c r="Z1061" i="16" s="1"/>
  <c r="O1061" i="16"/>
  <c r="Q1061" i="16" s="1"/>
  <c r="E1061" i="16"/>
  <c r="F1061" i="16" s="1"/>
  <c r="G1061" i="16" s="1"/>
  <c r="H1061" i="16" s="1"/>
  <c r="D1061" i="16"/>
  <c r="C1061" i="16"/>
  <c r="X1060" i="16"/>
  <c r="Z1060" i="16" s="1"/>
  <c r="O1060" i="16"/>
  <c r="Q1060" i="16" s="1"/>
  <c r="E1060" i="16"/>
  <c r="F1060" i="16" s="1"/>
  <c r="G1060" i="16" s="1"/>
  <c r="H1060" i="16" s="1"/>
  <c r="D1060" i="16"/>
  <c r="C1060" i="16"/>
  <c r="X1059" i="16"/>
  <c r="Z1059" i="16" s="1"/>
  <c r="O1059" i="16"/>
  <c r="Q1059" i="16" s="1"/>
  <c r="E1059" i="16"/>
  <c r="F1059" i="16" s="1"/>
  <c r="G1059" i="16" s="1"/>
  <c r="H1059" i="16" s="1"/>
  <c r="D1059" i="16"/>
  <c r="C1059" i="16"/>
  <c r="X1058" i="16"/>
  <c r="Z1058" i="16" s="1"/>
  <c r="O1058" i="16"/>
  <c r="Q1058" i="16" s="1"/>
  <c r="E1058" i="16"/>
  <c r="F1058" i="16" s="1"/>
  <c r="G1058" i="16" s="1"/>
  <c r="H1058" i="16" s="1"/>
  <c r="D1058" i="16"/>
  <c r="C1058" i="16"/>
  <c r="X1057" i="16"/>
  <c r="Z1057" i="16" s="1"/>
  <c r="O1057" i="16"/>
  <c r="Q1057" i="16" s="1"/>
  <c r="E1057" i="16"/>
  <c r="F1057" i="16" s="1"/>
  <c r="G1057" i="16" s="1"/>
  <c r="H1057" i="16" s="1"/>
  <c r="D1057" i="16"/>
  <c r="C1057" i="16"/>
  <c r="X1056" i="16"/>
  <c r="Z1056" i="16" s="1"/>
  <c r="O1056" i="16"/>
  <c r="Q1056" i="16" s="1"/>
  <c r="E1056" i="16"/>
  <c r="F1056" i="16" s="1"/>
  <c r="G1056" i="16" s="1"/>
  <c r="H1056" i="16" s="1"/>
  <c r="D1056" i="16"/>
  <c r="C1056" i="16"/>
  <c r="X1055" i="16"/>
  <c r="Z1055" i="16" s="1"/>
  <c r="O1055" i="16"/>
  <c r="Q1055" i="16" s="1"/>
  <c r="E1055" i="16"/>
  <c r="F1055" i="16" s="1"/>
  <c r="G1055" i="16" s="1"/>
  <c r="H1055" i="16" s="1"/>
  <c r="D1055" i="16"/>
  <c r="C1055" i="16"/>
  <c r="X1054" i="16"/>
  <c r="Z1054" i="16" s="1"/>
  <c r="O1054" i="16"/>
  <c r="Q1054" i="16" s="1"/>
  <c r="E1054" i="16"/>
  <c r="F1054" i="16" s="1"/>
  <c r="G1054" i="16" s="1"/>
  <c r="H1054" i="16" s="1"/>
  <c r="D1054" i="16"/>
  <c r="C1054" i="16"/>
  <c r="X1053" i="16"/>
  <c r="Z1053" i="16" s="1"/>
  <c r="O1053" i="16"/>
  <c r="Q1053" i="16" s="1"/>
  <c r="E1053" i="16"/>
  <c r="F1053" i="16" s="1"/>
  <c r="G1053" i="16" s="1"/>
  <c r="H1053" i="16" s="1"/>
  <c r="D1053" i="16"/>
  <c r="C1053" i="16"/>
  <c r="X1052" i="16"/>
  <c r="Z1052" i="16" s="1"/>
  <c r="O1052" i="16"/>
  <c r="Q1052" i="16" s="1"/>
  <c r="E1052" i="16"/>
  <c r="F1052" i="16" s="1"/>
  <c r="G1052" i="16" s="1"/>
  <c r="H1052" i="16" s="1"/>
  <c r="D1052" i="16"/>
  <c r="C1052" i="16"/>
  <c r="X1051" i="16"/>
  <c r="Z1051" i="16" s="1"/>
  <c r="O1051" i="16"/>
  <c r="Q1051" i="16" s="1"/>
  <c r="E1051" i="16"/>
  <c r="F1051" i="16" s="1"/>
  <c r="G1051" i="16" s="1"/>
  <c r="H1051" i="16" s="1"/>
  <c r="D1051" i="16"/>
  <c r="C1051" i="16"/>
  <c r="X1050" i="16"/>
  <c r="Z1050" i="16" s="1"/>
  <c r="O1050" i="16"/>
  <c r="Q1050" i="16" s="1"/>
  <c r="E1050" i="16"/>
  <c r="F1050" i="16" s="1"/>
  <c r="G1050" i="16" s="1"/>
  <c r="H1050" i="16" s="1"/>
  <c r="D1050" i="16"/>
  <c r="C1050" i="16"/>
  <c r="X1049" i="16"/>
  <c r="Z1049" i="16" s="1"/>
  <c r="O1049" i="16"/>
  <c r="Q1049" i="16" s="1"/>
  <c r="E1049" i="16"/>
  <c r="F1049" i="16" s="1"/>
  <c r="G1049" i="16" s="1"/>
  <c r="H1049" i="16" s="1"/>
  <c r="D1049" i="16"/>
  <c r="C1049" i="16"/>
  <c r="X1048" i="16"/>
  <c r="Z1048" i="16" s="1"/>
  <c r="O1048" i="16"/>
  <c r="Q1048" i="16" s="1"/>
  <c r="E1048" i="16"/>
  <c r="F1048" i="16" s="1"/>
  <c r="G1048" i="16" s="1"/>
  <c r="H1048" i="16" s="1"/>
  <c r="D1048" i="16"/>
  <c r="C1048" i="16"/>
  <c r="X1047" i="16"/>
  <c r="Z1047" i="16" s="1"/>
  <c r="O1047" i="16"/>
  <c r="Q1047" i="16" s="1"/>
  <c r="E1047" i="16"/>
  <c r="F1047" i="16" s="1"/>
  <c r="G1047" i="16" s="1"/>
  <c r="H1047" i="16" s="1"/>
  <c r="D1047" i="16"/>
  <c r="C1047" i="16"/>
  <c r="X1046" i="16"/>
  <c r="Z1046" i="16" s="1"/>
  <c r="O1046" i="16"/>
  <c r="Q1046" i="16" s="1"/>
  <c r="E1046" i="16"/>
  <c r="F1046" i="16" s="1"/>
  <c r="G1046" i="16" s="1"/>
  <c r="H1046" i="16" s="1"/>
  <c r="D1046" i="16"/>
  <c r="C1046" i="16"/>
  <c r="X1045" i="16"/>
  <c r="Z1045" i="16" s="1"/>
  <c r="O1045" i="16"/>
  <c r="Q1045" i="16" s="1"/>
  <c r="E1045" i="16"/>
  <c r="F1045" i="16" s="1"/>
  <c r="G1045" i="16" s="1"/>
  <c r="H1045" i="16" s="1"/>
  <c r="D1045" i="16"/>
  <c r="C1045" i="16"/>
  <c r="X1044" i="16"/>
  <c r="Z1044" i="16" s="1"/>
  <c r="O1044" i="16"/>
  <c r="Q1044" i="16" s="1"/>
  <c r="E1044" i="16"/>
  <c r="F1044" i="16" s="1"/>
  <c r="G1044" i="16" s="1"/>
  <c r="H1044" i="16" s="1"/>
  <c r="D1044" i="16"/>
  <c r="C1044" i="16"/>
  <c r="X1043" i="16"/>
  <c r="Z1043" i="16" s="1"/>
  <c r="O1043" i="16"/>
  <c r="Q1043" i="16" s="1"/>
  <c r="E1043" i="16"/>
  <c r="F1043" i="16" s="1"/>
  <c r="G1043" i="16" s="1"/>
  <c r="H1043" i="16" s="1"/>
  <c r="D1043" i="16"/>
  <c r="C1043" i="16"/>
  <c r="X1042" i="16"/>
  <c r="Z1042" i="16" s="1"/>
  <c r="O1042" i="16"/>
  <c r="Q1042" i="16" s="1"/>
  <c r="E1042" i="16"/>
  <c r="F1042" i="16" s="1"/>
  <c r="G1042" i="16" s="1"/>
  <c r="H1042" i="16" s="1"/>
  <c r="D1042" i="16"/>
  <c r="C1042" i="16"/>
  <c r="X1041" i="16"/>
  <c r="Z1041" i="16" s="1"/>
  <c r="O1041" i="16"/>
  <c r="Q1041" i="16" s="1"/>
  <c r="E1041" i="16"/>
  <c r="F1041" i="16" s="1"/>
  <c r="G1041" i="16" s="1"/>
  <c r="H1041" i="16" s="1"/>
  <c r="D1041" i="16"/>
  <c r="C1041" i="16"/>
  <c r="X1040" i="16"/>
  <c r="Z1040" i="16" s="1"/>
  <c r="O1040" i="16"/>
  <c r="Q1040" i="16" s="1"/>
  <c r="E1040" i="16"/>
  <c r="F1040" i="16" s="1"/>
  <c r="G1040" i="16" s="1"/>
  <c r="H1040" i="16" s="1"/>
  <c r="D1040" i="16"/>
  <c r="C1040" i="16"/>
  <c r="X1039" i="16"/>
  <c r="Z1039" i="16" s="1"/>
  <c r="O1039" i="16"/>
  <c r="Q1039" i="16" s="1"/>
  <c r="E1039" i="16"/>
  <c r="F1039" i="16" s="1"/>
  <c r="G1039" i="16" s="1"/>
  <c r="H1039" i="16" s="1"/>
  <c r="D1039" i="16"/>
  <c r="C1039" i="16"/>
  <c r="X1038" i="16"/>
  <c r="Z1038" i="16" s="1"/>
  <c r="O1038" i="16"/>
  <c r="Q1038" i="16" s="1"/>
  <c r="E1038" i="16"/>
  <c r="F1038" i="16" s="1"/>
  <c r="G1038" i="16" s="1"/>
  <c r="H1038" i="16" s="1"/>
  <c r="D1038" i="16"/>
  <c r="C1038" i="16"/>
  <c r="X1037" i="16"/>
  <c r="Z1037" i="16" s="1"/>
  <c r="O1037" i="16"/>
  <c r="Q1037" i="16" s="1"/>
  <c r="E1037" i="16"/>
  <c r="F1037" i="16" s="1"/>
  <c r="G1037" i="16" s="1"/>
  <c r="H1037" i="16" s="1"/>
  <c r="D1037" i="16"/>
  <c r="C1037" i="16"/>
  <c r="X1036" i="16"/>
  <c r="Z1036" i="16" s="1"/>
  <c r="O1036" i="16"/>
  <c r="Q1036" i="16" s="1"/>
  <c r="E1036" i="16"/>
  <c r="F1036" i="16" s="1"/>
  <c r="G1036" i="16" s="1"/>
  <c r="H1036" i="16" s="1"/>
  <c r="D1036" i="16"/>
  <c r="C1036" i="16"/>
  <c r="X1035" i="16"/>
  <c r="Z1035" i="16" s="1"/>
  <c r="O1035" i="16"/>
  <c r="Q1035" i="16" s="1"/>
  <c r="E1035" i="16"/>
  <c r="F1035" i="16" s="1"/>
  <c r="G1035" i="16" s="1"/>
  <c r="H1035" i="16" s="1"/>
  <c r="D1035" i="16"/>
  <c r="C1035" i="16"/>
  <c r="X1034" i="16"/>
  <c r="Z1034" i="16" s="1"/>
  <c r="O1034" i="16"/>
  <c r="Q1034" i="16" s="1"/>
  <c r="E1034" i="16"/>
  <c r="F1034" i="16" s="1"/>
  <c r="G1034" i="16" s="1"/>
  <c r="H1034" i="16" s="1"/>
  <c r="D1034" i="16"/>
  <c r="C1034" i="16"/>
  <c r="X1033" i="16"/>
  <c r="Z1033" i="16" s="1"/>
  <c r="O1033" i="16"/>
  <c r="Q1033" i="16" s="1"/>
  <c r="E1033" i="16"/>
  <c r="F1033" i="16" s="1"/>
  <c r="G1033" i="16" s="1"/>
  <c r="H1033" i="16" s="1"/>
  <c r="D1033" i="16"/>
  <c r="C1033" i="16"/>
  <c r="X1032" i="16"/>
  <c r="Z1032" i="16" s="1"/>
  <c r="O1032" i="16"/>
  <c r="Q1032" i="16" s="1"/>
  <c r="E1032" i="16"/>
  <c r="F1032" i="16" s="1"/>
  <c r="G1032" i="16" s="1"/>
  <c r="H1032" i="16" s="1"/>
  <c r="D1032" i="16"/>
  <c r="C1032" i="16"/>
  <c r="X1031" i="16"/>
  <c r="Z1031" i="16" s="1"/>
  <c r="O1031" i="16"/>
  <c r="Q1031" i="16" s="1"/>
  <c r="E1031" i="16"/>
  <c r="F1031" i="16" s="1"/>
  <c r="G1031" i="16" s="1"/>
  <c r="H1031" i="16" s="1"/>
  <c r="D1031" i="16"/>
  <c r="C1031" i="16"/>
  <c r="X1030" i="16"/>
  <c r="Z1030" i="16" s="1"/>
  <c r="O1030" i="16"/>
  <c r="Q1030" i="16" s="1"/>
  <c r="E1030" i="16"/>
  <c r="F1030" i="16" s="1"/>
  <c r="G1030" i="16" s="1"/>
  <c r="H1030" i="16" s="1"/>
  <c r="D1030" i="16"/>
  <c r="C1030" i="16"/>
  <c r="X1029" i="16"/>
  <c r="Z1029" i="16" s="1"/>
  <c r="O1029" i="16"/>
  <c r="Q1029" i="16" s="1"/>
  <c r="E1029" i="16"/>
  <c r="F1029" i="16" s="1"/>
  <c r="G1029" i="16" s="1"/>
  <c r="H1029" i="16" s="1"/>
  <c r="D1029" i="16"/>
  <c r="C1029" i="16"/>
  <c r="X1028" i="16"/>
  <c r="Z1028" i="16" s="1"/>
  <c r="O1028" i="16"/>
  <c r="Q1028" i="16" s="1"/>
  <c r="E1028" i="16"/>
  <c r="F1028" i="16" s="1"/>
  <c r="G1028" i="16" s="1"/>
  <c r="H1028" i="16" s="1"/>
  <c r="D1028" i="16"/>
  <c r="C1028" i="16"/>
  <c r="X1027" i="16"/>
  <c r="Z1027" i="16" s="1"/>
  <c r="O1027" i="16"/>
  <c r="Q1027" i="16" s="1"/>
  <c r="E1027" i="16"/>
  <c r="F1027" i="16" s="1"/>
  <c r="G1027" i="16" s="1"/>
  <c r="H1027" i="16" s="1"/>
  <c r="D1027" i="16"/>
  <c r="C1027" i="16"/>
  <c r="X1026" i="16"/>
  <c r="Z1026" i="16" s="1"/>
  <c r="O1026" i="16"/>
  <c r="Q1026" i="16" s="1"/>
  <c r="E1026" i="16"/>
  <c r="F1026" i="16" s="1"/>
  <c r="G1026" i="16" s="1"/>
  <c r="H1026" i="16" s="1"/>
  <c r="D1026" i="16"/>
  <c r="C1026" i="16"/>
  <c r="X1025" i="16"/>
  <c r="Z1025" i="16" s="1"/>
  <c r="O1025" i="16"/>
  <c r="Q1025" i="16" s="1"/>
  <c r="E1025" i="16"/>
  <c r="F1025" i="16" s="1"/>
  <c r="G1025" i="16" s="1"/>
  <c r="H1025" i="16" s="1"/>
  <c r="D1025" i="16"/>
  <c r="C1025" i="16"/>
  <c r="X1024" i="16"/>
  <c r="Z1024" i="16" s="1"/>
  <c r="O1024" i="16"/>
  <c r="Q1024" i="16" s="1"/>
  <c r="E1024" i="16"/>
  <c r="F1024" i="16" s="1"/>
  <c r="G1024" i="16" s="1"/>
  <c r="H1024" i="16" s="1"/>
  <c r="D1024" i="16"/>
  <c r="C1024" i="16"/>
  <c r="X1023" i="16"/>
  <c r="Z1023" i="16" s="1"/>
  <c r="O1023" i="16"/>
  <c r="Q1023" i="16" s="1"/>
  <c r="E1023" i="16"/>
  <c r="F1023" i="16" s="1"/>
  <c r="G1023" i="16" s="1"/>
  <c r="H1023" i="16" s="1"/>
  <c r="D1023" i="16"/>
  <c r="C1023" i="16"/>
  <c r="X1022" i="16"/>
  <c r="Z1022" i="16" s="1"/>
  <c r="O1022" i="16"/>
  <c r="Q1022" i="16" s="1"/>
  <c r="E1022" i="16"/>
  <c r="F1022" i="16" s="1"/>
  <c r="G1022" i="16" s="1"/>
  <c r="H1022" i="16" s="1"/>
  <c r="D1022" i="16"/>
  <c r="C1022" i="16"/>
  <c r="X1021" i="16"/>
  <c r="Z1021" i="16" s="1"/>
  <c r="O1021" i="16"/>
  <c r="Q1021" i="16" s="1"/>
  <c r="E1021" i="16"/>
  <c r="F1021" i="16" s="1"/>
  <c r="G1021" i="16" s="1"/>
  <c r="H1021" i="16" s="1"/>
  <c r="D1021" i="16"/>
  <c r="C1021" i="16"/>
  <c r="X1020" i="16"/>
  <c r="Z1020" i="16" s="1"/>
  <c r="O1020" i="16"/>
  <c r="Q1020" i="16" s="1"/>
  <c r="E1020" i="16"/>
  <c r="F1020" i="16" s="1"/>
  <c r="G1020" i="16" s="1"/>
  <c r="H1020" i="16" s="1"/>
  <c r="D1020" i="16"/>
  <c r="C1020" i="16"/>
  <c r="X1019" i="16"/>
  <c r="Z1019" i="16" s="1"/>
  <c r="O1019" i="16"/>
  <c r="Q1019" i="16" s="1"/>
  <c r="E1019" i="16"/>
  <c r="F1019" i="16" s="1"/>
  <c r="G1019" i="16" s="1"/>
  <c r="H1019" i="16" s="1"/>
  <c r="D1019" i="16"/>
  <c r="C1019" i="16"/>
  <c r="X1018" i="16"/>
  <c r="Z1018" i="16" s="1"/>
  <c r="O1018" i="16"/>
  <c r="Q1018" i="16" s="1"/>
  <c r="E1018" i="16"/>
  <c r="F1018" i="16" s="1"/>
  <c r="G1018" i="16" s="1"/>
  <c r="H1018" i="16" s="1"/>
  <c r="D1018" i="16"/>
  <c r="C1018" i="16"/>
  <c r="X1017" i="16"/>
  <c r="Z1017" i="16" s="1"/>
  <c r="O1017" i="16"/>
  <c r="Q1017" i="16" s="1"/>
  <c r="E1017" i="16"/>
  <c r="F1017" i="16" s="1"/>
  <c r="G1017" i="16" s="1"/>
  <c r="H1017" i="16" s="1"/>
  <c r="D1017" i="16"/>
  <c r="C1017" i="16"/>
  <c r="X1016" i="16"/>
  <c r="Z1016" i="16" s="1"/>
  <c r="O1016" i="16"/>
  <c r="Q1016" i="16" s="1"/>
  <c r="E1016" i="16"/>
  <c r="F1016" i="16" s="1"/>
  <c r="G1016" i="16" s="1"/>
  <c r="H1016" i="16" s="1"/>
  <c r="D1016" i="16"/>
  <c r="C1016" i="16"/>
  <c r="X1015" i="16"/>
  <c r="Z1015" i="16" s="1"/>
  <c r="O1015" i="16"/>
  <c r="Q1015" i="16" s="1"/>
  <c r="E1015" i="16"/>
  <c r="F1015" i="16" s="1"/>
  <c r="G1015" i="16" s="1"/>
  <c r="H1015" i="16" s="1"/>
  <c r="D1015" i="16"/>
  <c r="C1015" i="16"/>
  <c r="X1014" i="16"/>
  <c r="Z1014" i="16" s="1"/>
  <c r="O1014" i="16"/>
  <c r="Q1014" i="16" s="1"/>
  <c r="E1014" i="16"/>
  <c r="F1014" i="16" s="1"/>
  <c r="G1014" i="16" s="1"/>
  <c r="H1014" i="16" s="1"/>
  <c r="D1014" i="16"/>
  <c r="C1014" i="16"/>
  <c r="X1013" i="16"/>
  <c r="Z1013" i="16" s="1"/>
  <c r="O1013" i="16"/>
  <c r="Q1013" i="16" s="1"/>
  <c r="E1013" i="16"/>
  <c r="F1013" i="16" s="1"/>
  <c r="G1013" i="16" s="1"/>
  <c r="H1013" i="16" s="1"/>
  <c r="D1013" i="16"/>
  <c r="C1013" i="16"/>
  <c r="X1012" i="16"/>
  <c r="Z1012" i="16" s="1"/>
  <c r="O1012" i="16"/>
  <c r="Q1012" i="16" s="1"/>
  <c r="E1012" i="16"/>
  <c r="F1012" i="16" s="1"/>
  <c r="G1012" i="16" s="1"/>
  <c r="H1012" i="16" s="1"/>
  <c r="D1012" i="16"/>
  <c r="C1012" i="16"/>
  <c r="X1011" i="16"/>
  <c r="Z1011" i="16" s="1"/>
  <c r="O1011" i="16"/>
  <c r="Q1011" i="16" s="1"/>
  <c r="E1011" i="16"/>
  <c r="F1011" i="16" s="1"/>
  <c r="G1011" i="16" s="1"/>
  <c r="H1011" i="16" s="1"/>
  <c r="D1011" i="16"/>
  <c r="C1011" i="16"/>
  <c r="X1010" i="16"/>
  <c r="Z1010" i="16" s="1"/>
  <c r="O1010" i="16"/>
  <c r="Q1010" i="16" s="1"/>
  <c r="E1010" i="16"/>
  <c r="F1010" i="16" s="1"/>
  <c r="G1010" i="16" s="1"/>
  <c r="H1010" i="16" s="1"/>
  <c r="D1010" i="16"/>
  <c r="C1010" i="16"/>
  <c r="X1009" i="16"/>
  <c r="Z1009" i="16" s="1"/>
  <c r="O1009" i="16"/>
  <c r="Q1009" i="16" s="1"/>
  <c r="E1009" i="16"/>
  <c r="F1009" i="16" s="1"/>
  <c r="G1009" i="16" s="1"/>
  <c r="H1009" i="16" s="1"/>
  <c r="D1009" i="16"/>
  <c r="C1009" i="16"/>
  <c r="X1008" i="16"/>
  <c r="Z1008" i="16" s="1"/>
  <c r="O1008" i="16"/>
  <c r="Q1008" i="16" s="1"/>
  <c r="E1008" i="16"/>
  <c r="F1008" i="16" s="1"/>
  <c r="G1008" i="16" s="1"/>
  <c r="H1008" i="16" s="1"/>
  <c r="D1008" i="16"/>
  <c r="C1008" i="16"/>
  <c r="X1007" i="16"/>
  <c r="Z1007" i="16" s="1"/>
  <c r="O1007" i="16"/>
  <c r="Q1007" i="16" s="1"/>
  <c r="E1007" i="16"/>
  <c r="F1007" i="16" s="1"/>
  <c r="G1007" i="16" s="1"/>
  <c r="H1007" i="16" s="1"/>
  <c r="D1007" i="16"/>
  <c r="C1007" i="16"/>
  <c r="X1006" i="16"/>
  <c r="Z1006" i="16" s="1"/>
  <c r="O1006" i="16"/>
  <c r="Q1006" i="16" s="1"/>
  <c r="E1006" i="16"/>
  <c r="F1006" i="16" s="1"/>
  <c r="G1006" i="16" s="1"/>
  <c r="H1006" i="16" s="1"/>
  <c r="D1006" i="16"/>
  <c r="C1006" i="16"/>
  <c r="X1005" i="16"/>
  <c r="Z1005" i="16" s="1"/>
  <c r="O1005" i="16"/>
  <c r="Q1005" i="16" s="1"/>
  <c r="E1005" i="16"/>
  <c r="F1005" i="16" s="1"/>
  <c r="G1005" i="16" s="1"/>
  <c r="H1005" i="16" s="1"/>
  <c r="D1005" i="16"/>
  <c r="C1005" i="16"/>
  <c r="X1004" i="16"/>
  <c r="Z1004" i="16" s="1"/>
  <c r="O1004" i="16"/>
  <c r="Q1004" i="16" s="1"/>
  <c r="E1004" i="16"/>
  <c r="F1004" i="16" s="1"/>
  <c r="G1004" i="16" s="1"/>
  <c r="H1004" i="16" s="1"/>
  <c r="D1004" i="16"/>
  <c r="C1004" i="16"/>
  <c r="X1003" i="16"/>
  <c r="Z1003" i="16" s="1"/>
  <c r="O1003" i="16"/>
  <c r="Q1003" i="16" s="1"/>
  <c r="E1003" i="16"/>
  <c r="F1003" i="16" s="1"/>
  <c r="G1003" i="16" s="1"/>
  <c r="H1003" i="16" s="1"/>
  <c r="D1003" i="16"/>
  <c r="C1003" i="16"/>
  <c r="X1002" i="16"/>
  <c r="Z1002" i="16" s="1"/>
  <c r="O1002" i="16"/>
  <c r="Q1002" i="16" s="1"/>
  <c r="E1002" i="16"/>
  <c r="F1002" i="16" s="1"/>
  <c r="G1002" i="16" s="1"/>
  <c r="H1002" i="16" s="1"/>
  <c r="D1002" i="16"/>
  <c r="C1002" i="16"/>
  <c r="X1001" i="16"/>
  <c r="Z1001" i="16" s="1"/>
  <c r="O1001" i="16"/>
  <c r="Q1001" i="16" s="1"/>
  <c r="E1001" i="16"/>
  <c r="F1001" i="16" s="1"/>
  <c r="G1001" i="16" s="1"/>
  <c r="H1001" i="16" s="1"/>
  <c r="D1001" i="16"/>
  <c r="C1001" i="16"/>
  <c r="X1000" i="16"/>
  <c r="Z1000" i="16" s="1"/>
  <c r="O1000" i="16"/>
  <c r="Q1000" i="16" s="1"/>
  <c r="E1000" i="16"/>
  <c r="F1000" i="16" s="1"/>
  <c r="G1000" i="16" s="1"/>
  <c r="H1000" i="16" s="1"/>
  <c r="D1000" i="16"/>
  <c r="C1000" i="16"/>
  <c r="X999" i="16"/>
  <c r="Z999" i="16" s="1"/>
  <c r="O999" i="16"/>
  <c r="Q999" i="16" s="1"/>
  <c r="E999" i="16"/>
  <c r="F999" i="16" s="1"/>
  <c r="G999" i="16" s="1"/>
  <c r="H999" i="16" s="1"/>
  <c r="D999" i="16"/>
  <c r="C999" i="16"/>
  <c r="X998" i="16"/>
  <c r="Z998" i="16" s="1"/>
  <c r="O998" i="16"/>
  <c r="Q998" i="16" s="1"/>
  <c r="E998" i="16"/>
  <c r="F998" i="16" s="1"/>
  <c r="G998" i="16" s="1"/>
  <c r="H998" i="16" s="1"/>
  <c r="D998" i="16"/>
  <c r="C998" i="16"/>
  <c r="X997" i="16"/>
  <c r="Z997" i="16" s="1"/>
  <c r="O997" i="16"/>
  <c r="Q997" i="16" s="1"/>
  <c r="E997" i="16"/>
  <c r="F997" i="16" s="1"/>
  <c r="G997" i="16" s="1"/>
  <c r="H997" i="16" s="1"/>
  <c r="D997" i="16"/>
  <c r="C997" i="16"/>
  <c r="X996" i="16"/>
  <c r="Z996" i="16" s="1"/>
  <c r="O996" i="16"/>
  <c r="Q996" i="16" s="1"/>
  <c r="E996" i="16"/>
  <c r="F996" i="16" s="1"/>
  <c r="G996" i="16" s="1"/>
  <c r="H996" i="16" s="1"/>
  <c r="D996" i="16"/>
  <c r="C996" i="16"/>
  <c r="X995" i="16"/>
  <c r="Z995" i="16" s="1"/>
  <c r="O995" i="16"/>
  <c r="Q995" i="16" s="1"/>
  <c r="E995" i="16"/>
  <c r="F995" i="16" s="1"/>
  <c r="G995" i="16" s="1"/>
  <c r="H995" i="16" s="1"/>
  <c r="D995" i="16"/>
  <c r="C995" i="16"/>
  <c r="X994" i="16"/>
  <c r="Z994" i="16" s="1"/>
  <c r="O994" i="16"/>
  <c r="Q994" i="16" s="1"/>
  <c r="E994" i="16"/>
  <c r="F994" i="16" s="1"/>
  <c r="G994" i="16" s="1"/>
  <c r="H994" i="16" s="1"/>
  <c r="D994" i="16"/>
  <c r="C994" i="16"/>
  <c r="X993" i="16"/>
  <c r="Z993" i="16" s="1"/>
  <c r="O993" i="16"/>
  <c r="Q993" i="16" s="1"/>
  <c r="E993" i="16"/>
  <c r="F993" i="16" s="1"/>
  <c r="G993" i="16" s="1"/>
  <c r="H993" i="16" s="1"/>
  <c r="D993" i="16"/>
  <c r="C993" i="16"/>
  <c r="X992" i="16"/>
  <c r="Z992" i="16" s="1"/>
  <c r="O992" i="16"/>
  <c r="Q992" i="16" s="1"/>
  <c r="E992" i="16"/>
  <c r="F992" i="16" s="1"/>
  <c r="G992" i="16" s="1"/>
  <c r="H992" i="16" s="1"/>
  <c r="D992" i="16"/>
  <c r="C992" i="16"/>
  <c r="X991" i="16"/>
  <c r="Z991" i="16" s="1"/>
  <c r="O991" i="16"/>
  <c r="Q991" i="16" s="1"/>
  <c r="E991" i="16"/>
  <c r="F991" i="16" s="1"/>
  <c r="G991" i="16" s="1"/>
  <c r="H991" i="16" s="1"/>
  <c r="D991" i="16"/>
  <c r="C991" i="16"/>
  <c r="X990" i="16"/>
  <c r="Z990" i="16" s="1"/>
  <c r="O990" i="16"/>
  <c r="Q990" i="16" s="1"/>
  <c r="E990" i="16"/>
  <c r="F990" i="16" s="1"/>
  <c r="G990" i="16" s="1"/>
  <c r="H990" i="16" s="1"/>
  <c r="D990" i="16"/>
  <c r="C990" i="16"/>
  <c r="X989" i="16"/>
  <c r="Z989" i="16" s="1"/>
  <c r="O989" i="16"/>
  <c r="Q989" i="16" s="1"/>
  <c r="E989" i="16"/>
  <c r="F989" i="16" s="1"/>
  <c r="G989" i="16" s="1"/>
  <c r="H989" i="16" s="1"/>
  <c r="D989" i="16"/>
  <c r="C989" i="16"/>
  <c r="X988" i="16"/>
  <c r="Z988" i="16" s="1"/>
  <c r="O988" i="16"/>
  <c r="Q988" i="16" s="1"/>
  <c r="E988" i="16"/>
  <c r="F988" i="16" s="1"/>
  <c r="G988" i="16" s="1"/>
  <c r="H988" i="16" s="1"/>
  <c r="D988" i="16"/>
  <c r="C988" i="16"/>
  <c r="X987" i="16"/>
  <c r="Z987" i="16" s="1"/>
  <c r="O987" i="16"/>
  <c r="Q987" i="16" s="1"/>
  <c r="E987" i="16"/>
  <c r="F987" i="16" s="1"/>
  <c r="G987" i="16" s="1"/>
  <c r="H987" i="16" s="1"/>
  <c r="D987" i="16"/>
  <c r="C987" i="16"/>
  <c r="X986" i="16"/>
  <c r="Q986" i="16"/>
  <c r="O986" i="16"/>
  <c r="H986" i="16"/>
  <c r="X985" i="16"/>
  <c r="Z985" i="16" s="1"/>
  <c r="O985" i="16"/>
  <c r="Q985" i="16" s="1"/>
  <c r="E985" i="16"/>
  <c r="F985" i="16" s="1"/>
  <c r="G985" i="16" s="1"/>
  <c r="H985" i="16" s="1"/>
  <c r="D985" i="16"/>
  <c r="C985" i="16"/>
  <c r="X984" i="16"/>
  <c r="Z984" i="16" s="1"/>
  <c r="O984" i="16"/>
  <c r="Q984" i="16" s="1"/>
  <c r="E984" i="16"/>
  <c r="F984" i="16" s="1"/>
  <c r="G984" i="16" s="1"/>
  <c r="H984" i="16" s="1"/>
  <c r="D984" i="16"/>
  <c r="C984" i="16"/>
  <c r="X983" i="16"/>
  <c r="Z983" i="16" s="1"/>
  <c r="O983" i="16"/>
  <c r="Q983" i="16" s="1"/>
  <c r="E983" i="16"/>
  <c r="F983" i="16" s="1"/>
  <c r="G983" i="16" s="1"/>
  <c r="H983" i="16" s="1"/>
  <c r="D983" i="16"/>
  <c r="C983" i="16"/>
  <c r="X982" i="16"/>
  <c r="Z982" i="16" s="1"/>
  <c r="O982" i="16"/>
  <c r="Q982" i="16" s="1"/>
  <c r="E982" i="16"/>
  <c r="F982" i="16" s="1"/>
  <c r="G982" i="16" s="1"/>
  <c r="H982" i="16" s="1"/>
  <c r="D982" i="16"/>
  <c r="C982" i="16"/>
  <c r="X981" i="16"/>
  <c r="Z981" i="16" s="1"/>
  <c r="O981" i="16"/>
  <c r="Q981" i="16" s="1"/>
  <c r="E981" i="16"/>
  <c r="F981" i="16" s="1"/>
  <c r="G981" i="16" s="1"/>
  <c r="H981" i="16" s="1"/>
  <c r="D981" i="16"/>
  <c r="C981" i="16"/>
  <c r="X980" i="16"/>
  <c r="Z980" i="16" s="1"/>
  <c r="O980" i="16"/>
  <c r="Q980" i="16" s="1"/>
  <c r="E980" i="16"/>
  <c r="F980" i="16" s="1"/>
  <c r="G980" i="16" s="1"/>
  <c r="H980" i="16" s="1"/>
  <c r="D980" i="16"/>
  <c r="C980" i="16"/>
  <c r="X979" i="16"/>
  <c r="Z979" i="16" s="1"/>
  <c r="O979" i="16"/>
  <c r="Q979" i="16" s="1"/>
  <c r="E979" i="16"/>
  <c r="F979" i="16" s="1"/>
  <c r="G979" i="16" s="1"/>
  <c r="H979" i="16" s="1"/>
  <c r="D979" i="16"/>
  <c r="C979" i="16"/>
  <c r="X978" i="16"/>
  <c r="Z978" i="16" s="1"/>
  <c r="O978" i="16"/>
  <c r="Q978" i="16" s="1"/>
  <c r="E978" i="16"/>
  <c r="F978" i="16" s="1"/>
  <c r="G978" i="16" s="1"/>
  <c r="H978" i="16" s="1"/>
  <c r="D978" i="16"/>
  <c r="C978" i="16"/>
  <c r="X977" i="16"/>
  <c r="Z977" i="16" s="1"/>
  <c r="O977" i="16"/>
  <c r="Q977" i="16" s="1"/>
  <c r="E977" i="16"/>
  <c r="F977" i="16" s="1"/>
  <c r="G977" i="16" s="1"/>
  <c r="H977" i="16" s="1"/>
  <c r="D977" i="16"/>
  <c r="C977" i="16"/>
  <c r="X976" i="16"/>
  <c r="Z976" i="16" s="1"/>
  <c r="O976" i="16"/>
  <c r="Q976" i="16" s="1"/>
  <c r="E976" i="16"/>
  <c r="F976" i="16" s="1"/>
  <c r="G976" i="16" s="1"/>
  <c r="H976" i="16" s="1"/>
  <c r="D976" i="16"/>
  <c r="C976" i="16"/>
  <c r="X975" i="16"/>
  <c r="Z975" i="16" s="1"/>
  <c r="O975" i="16"/>
  <c r="Q975" i="16" s="1"/>
  <c r="E975" i="16"/>
  <c r="F975" i="16" s="1"/>
  <c r="G975" i="16" s="1"/>
  <c r="H975" i="16" s="1"/>
  <c r="X974" i="16"/>
  <c r="Z974" i="16" s="1"/>
  <c r="O974" i="16"/>
  <c r="Q974" i="16" s="1"/>
  <c r="E974" i="16"/>
  <c r="F974" i="16" s="1"/>
  <c r="G974" i="16" s="1"/>
  <c r="H974" i="16" s="1"/>
  <c r="X973" i="16"/>
  <c r="Z973" i="16" s="1"/>
  <c r="O973" i="16"/>
  <c r="Q973" i="16" s="1"/>
  <c r="E973" i="16"/>
  <c r="F973" i="16" s="1"/>
  <c r="G973" i="16" s="1"/>
  <c r="H973" i="16" s="1"/>
  <c r="X972" i="16"/>
  <c r="Z972" i="16" s="1"/>
  <c r="O972" i="16"/>
  <c r="Q972" i="16" s="1"/>
  <c r="E972" i="16"/>
  <c r="F972" i="16" s="1"/>
  <c r="G972" i="16" s="1"/>
  <c r="H972" i="16" s="1"/>
  <c r="X971" i="16"/>
  <c r="Z971" i="16" s="1"/>
  <c r="O971" i="16"/>
  <c r="Q971" i="16" s="1"/>
  <c r="E971" i="16"/>
  <c r="F971" i="16" s="1"/>
  <c r="G971" i="16" s="1"/>
  <c r="H971" i="16" s="1"/>
  <c r="X970" i="16"/>
  <c r="Z970" i="16" s="1"/>
  <c r="O970" i="16"/>
  <c r="Q970" i="16" s="1"/>
  <c r="E970" i="16"/>
  <c r="F970" i="16" s="1"/>
  <c r="G970" i="16" s="1"/>
  <c r="H970" i="16" s="1"/>
  <c r="X969" i="16"/>
  <c r="Z969" i="16" s="1"/>
  <c r="O969" i="16"/>
  <c r="Q969" i="16" s="1"/>
  <c r="E969" i="16"/>
  <c r="F969" i="16" s="1"/>
  <c r="G969" i="16" s="1"/>
  <c r="H969" i="16" s="1"/>
  <c r="X968" i="16"/>
  <c r="Z968" i="16" s="1"/>
  <c r="O968" i="16"/>
  <c r="Q968" i="16" s="1"/>
  <c r="E968" i="16"/>
  <c r="F968" i="16" s="1"/>
  <c r="G968" i="16" s="1"/>
  <c r="H968" i="16" s="1"/>
  <c r="X967" i="16"/>
  <c r="Z967" i="16" s="1"/>
  <c r="O967" i="16"/>
  <c r="Q967" i="16" s="1"/>
  <c r="E967" i="16"/>
  <c r="F967" i="16" s="1"/>
  <c r="G967" i="16" s="1"/>
  <c r="H967" i="16" s="1"/>
  <c r="X966" i="16"/>
  <c r="Z966" i="16" s="1"/>
  <c r="O966" i="16"/>
  <c r="Q966" i="16" s="1"/>
  <c r="E966" i="16"/>
  <c r="F966" i="16" s="1"/>
  <c r="G966" i="16" s="1"/>
  <c r="H966" i="16" s="1"/>
  <c r="X965" i="16"/>
  <c r="Z965" i="16" s="1"/>
  <c r="O965" i="16"/>
  <c r="Q965" i="16" s="1"/>
  <c r="E965" i="16"/>
  <c r="F965" i="16" s="1"/>
  <c r="G965" i="16" s="1"/>
  <c r="H965" i="16" s="1"/>
  <c r="X964" i="16"/>
  <c r="Z964" i="16" s="1"/>
  <c r="O964" i="16"/>
  <c r="Q964" i="16" s="1"/>
  <c r="E964" i="16"/>
  <c r="F964" i="16" s="1"/>
  <c r="G964" i="16" s="1"/>
  <c r="H964" i="16" s="1"/>
  <c r="X963" i="16"/>
  <c r="Z963" i="16" s="1"/>
  <c r="O963" i="16"/>
  <c r="Q963" i="16" s="1"/>
  <c r="E963" i="16"/>
  <c r="F963" i="16" s="1"/>
  <c r="G963" i="16" s="1"/>
  <c r="H963" i="16" s="1"/>
  <c r="X962" i="16"/>
  <c r="Z962" i="16" s="1"/>
  <c r="O962" i="16"/>
  <c r="Q962" i="16" s="1"/>
  <c r="E962" i="16"/>
  <c r="F962" i="16" s="1"/>
  <c r="G962" i="16" s="1"/>
  <c r="H962" i="16" s="1"/>
  <c r="X961" i="16"/>
  <c r="Z961" i="16" s="1"/>
  <c r="O961" i="16"/>
  <c r="Q961" i="16" s="1"/>
  <c r="E961" i="16"/>
  <c r="F961" i="16" s="1"/>
  <c r="G961" i="16" s="1"/>
  <c r="H961" i="16" s="1"/>
  <c r="X960" i="16"/>
  <c r="Z960" i="16" s="1"/>
  <c r="O960" i="16"/>
  <c r="Q960" i="16" s="1"/>
  <c r="E960" i="16"/>
  <c r="F960" i="16" s="1"/>
  <c r="G960" i="16" s="1"/>
  <c r="H960" i="16" s="1"/>
  <c r="X959" i="16"/>
  <c r="Z959" i="16" s="1"/>
  <c r="O959" i="16"/>
  <c r="Q959" i="16" s="1"/>
  <c r="E959" i="16"/>
  <c r="F959" i="16" s="1"/>
  <c r="G959" i="16" s="1"/>
  <c r="H959" i="16" s="1"/>
  <c r="X958" i="16"/>
  <c r="Z958" i="16" s="1"/>
  <c r="O958" i="16"/>
  <c r="Q958" i="16" s="1"/>
  <c r="E958" i="16"/>
  <c r="F958" i="16" s="1"/>
  <c r="G958" i="16" s="1"/>
  <c r="H958" i="16" s="1"/>
  <c r="D958" i="16"/>
  <c r="C958" i="16"/>
  <c r="X957" i="16"/>
  <c r="Z957" i="16" s="1"/>
  <c r="O957" i="16"/>
  <c r="Q957" i="16" s="1"/>
  <c r="E957" i="16"/>
  <c r="F957" i="16" s="1"/>
  <c r="G957" i="16" s="1"/>
  <c r="H957" i="16" s="1"/>
  <c r="D957" i="16"/>
  <c r="C957" i="16"/>
  <c r="X956" i="16"/>
  <c r="Z956" i="16" s="1"/>
  <c r="O956" i="16"/>
  <c r="Q956" i="16" s="1"/>
  <c r="E956" i="16"/>
  <c r="F956" i="16" s="1"/>
  <c r="G956" i="16" s="1"/>
  <c r="H956" i="16" s="1"/>
  <c r="D956" i="16"/>
  <c r="C956" i="16"/>
  <c r="X955" i="16"/>
  <c r="Z955" i="16" s="1"/>
  <c r="O955" i="16"/>
  <c r="Q955" i="16" s="1"/>
  <c r="E955" i="16"/>
  <c r="F955" i="16" s="1"/>
  <c r="G955" i="16" s="1"/>
  <c r="H955" i="16" s="1"/>
  <c r="D955" i="16"/>
  <c r="C955" i="16"/>
  <c r="X954" i="16"/>
  <c r="Z954" i="16" s="1"/>
  <c r="O954" i="16"/>
  <c r="Q954" i="16" s="1"/>
  <c r="E954" i="16"/>
  <c r="F954" i="16" s="1"/>
  <c r="G954" i="16" s="1"/>
  <c r="H954" i="16" s="1"/>
  <c r="D954" i="16"/>
  <c r="C954" i="16"/>
  <c r="X953" i="16"/>
  <c r="Z953" i="16" s="1"/>
  <c r="O953" i="16"/>
  <c r="Q953" i="16" s="1"/>
  <c r="E953" i="16"/>
  <c r="F953" i="16" s="1"/>
  <c r="G953" i="16" s="1"/>
  <c r="H953" i="16" s="1"/>
  <c r="D953" i="16"/>
  <c r="C953" i="16"/>
  <c r="X952" i="16"/>
  <c r="Z952" i="16" s="1"/>
  <c r="O952" i="16"/>
  <c r="Q952" i="16" s="1"/>
  <c r="E952" i="16"/>
  <c r="F952" i="16" s="1"/>
  <c r="G952" i="16" s="1"/>
  <c r="H952" i="16" s="1"/>
  <c r="D952" i="16"/>
  <c r="C952" i="16"/>
  <c r="X951" i="16"/>
  <c r="Z951" i="16" s="1"/>
  <c r="O951" i="16"/>
  <c r="Q951" i="16" s="1"/>
  <c r="E951" i="16"/>
  <c r="F951" i="16" s="1"/>
  <c r="G951" i="16" s="1"/>
  <c r="H951" i="16" s="1"/>
  <c r="D951" i="16"/>
  <c r="C951" i="16"/>
  <c r="X950" i="16"/>
  <c r="Z950" i="16" s="1"/>
  <c r="O950" i="16"/>
  <c r="Q950" i="16" s="1"/>
  <c r="E950" i="16"/>
  <c r="F950" i="16" s="1"/>
  <c r="G950" i="16" s="1"/>
  <c r="H950" i="16" s="1"/>
  <c r="D950" i="16"/>
  <c r="C950" i="16"/>
  <c r="X949" i="16"/>
  <c r="Z949" i="16" s="1"/>
  <c r="O949" i="16"/>
  <c r="Q949" i="16" s="1"/>
  <c r="E949" i="16"/>
  <c r="F949" i="16" s="1"/>
  <c r="G949" i="16" s="1"/>
  <c r="H949" i="16" s="1"/>
  <c r="D949" i="16"/>
  <c r="C949" i="16"/>
  <c r="X948" i="16"/>
  <c r="Z948" i="16" s="1"/>
  <c r="O948" i="16"/>
  <c r="Q948" i="16" s="1"/>
  <c r="E948" i="16"/>
  <c r="F948" i="16" s="1"/>
  <c r="G948" i="16" s="1"/>
  <c r="H948" i="16" s="1"/>
  <c r="X947" i="16"/>
  <c r="O947" i="16"/>
  <c r="Q947" i="16" s="1"/>
  <c r="E947" i="16"/>
  <c r="F947" i="16" s="1"/>
  <c r="G947" i="16" s="1"/>
  <c r="H947" i="16" s="1"/>
  <c r="D947" i="16"/>
  <c r="C947" i="16"/>
  <c r="X946" i="16"/>
  <c r="O946" i="16"/>
  <c r="Q946" i="16" s="1"/>
  <c r="E946" i="16"/>
  <c r="F946" i="16" s="1"/>
  <c r="G946" i="16" s="1"/>
  <c r="H946" i="16" s="1"/>
  <c r="D946" i="16"/>
  <c r="C946" i="16"/>
  <c r="X945" i="16"/>
  <c r="O945" i="16"/>
  <c r="Q945" i="16" s="1"/>
  <c r="E945" i="16"/>
  <c r="F945" i="16" s="1"/>
  <c r="G945" i="16" s="1"/>
  <c r="H945" i="16" s="1"/>
  <c r="D945" i="16"/>
  <c r="C945" i="16"/>
  <c r="X944" i="16"/>
  <c r="O944" i="16"/>
  <c r="Q944" i="16" s="1"/>
  <c r="E944" i="16"/>
  <c r="F944" i="16" s="1"/>
  <c r="G944" i="16" s="1"/>
  <c r="H944" i="16" s="1"/>
  <c r="D944" i="16"/>
  <c r="C944" i="16"/>
  <c r="X943" i="16"/>
  <c r="O943" i="16"/>
  <c r="Q943" i="16" s="1"/>
  <c r="E943" i="16"/>
  <c r="F943" i="16" s="1"/>
  <c r="G943" i="16" s="1"/>
  <c r="H943" i="16" s="1"/>
  <c r="D943" i="16"/>
  <c r="C943" i="16"/>
  <c r="X942" i="16"/>
  <c r="O942" i="16"/>
  <c r="Q942" i="16" s="1"/>
  <c r="E942" i="16"/>
  <c r="F942" i="16" s="1"/>
  <c r="G942" i="16" s="1"/>
  <c r="H942" i="16" s="1"/>
  <c r="D942" i="16"/>
  <c r="C942" i="16"/>
  <c r="X941" i="16"/>
  <c r="Z941" i="16" s="1"/>
  <c r="O941" i="16"/>
  <c r="Q941" i="16" s="1"/>
  <c r="E941" i="16"/>
  <c r="F941" i="16" s="1"/>
  <c r="G941" i="16" s="1"/>
  <c r="H941" i="16" s="1"/>
  <c r="X940" i="16"/>
  <c r="Z940" i="16" s="1"/>
  <c r="O940" i="16"/>
  <c r="Q940" i="16" s="1"/>
  <c r="E940" i="16"/>
  <c r="F940" i="16" s="1"/>
  <c r="G940" i="16" s="1"/>
  <c r="H940" i="16" s="1"/>
  <c r="X939" i="16"/>
  <c r="Z939" i="16" s="1"/>
  <c r="O939" i="16"/>
  <c r="Q939" i="16" s="1"/>
  <c r="E939" i="16"/>
  <c r="F939" i="16" s="1"/>
  <c r="G939" i="16" s="1"/>
  <c r="H939" i="16" s="1"/>
  <c r="X938" i="16"/>
  <c r="Z938" i="16" s="1"/>
  <c r="O938" i="16"/>
  <c r="Q938" i="16" s="1"/>
  <c r="E938" i="16"/>
  <c r="F938" i="16" s="1"/>
  <c r="G938" i="16" s="1"/>
  <c r="H938" i="16" s="1"/>
  <c r="X937" i="16"/>
  <c r="Z937" i="16" s="1"/>
  <c r="O937" i="16"/>
  <c r="Q937" i="16" s="1"/>
  <c r="E937" i="16"/>
  <c r="F937" i="16" s="1"/>
  <c r="G937" i="16" s="1"/>
  <c r="H937" i="16" s="1"/>
  <c r="X936" i="16"/>
  <c r="Z936" i="16" s="1"/>
  <c r="O936" i="16"/>
  <c r="Q936" i="16" s="1"/>
  <c r="E936" i="16"/>
  <c r="F936" i="16" s="1"/>
  <c r="G936" i="16" s="1"/>
  <c r="H936" i="16" s="1"/>
  <c r="D936" i="16"/>
  <c r="C936" i="16"/>
  <c r="X935" i="16"/>
  <c r="Z935" i="16" s="1"/>
  <c r="O935" i="16"/>
  <c r="Q935" i="16" s="1"/>
  <c r="E935" i="16"/>
  <c r="F935" i="16" s="1"/>
  <c r="G935" i="16" s="1"/>
  <c r="H935" i="16" s="1"/>
  <c r="X934" i="16"/>
  <c r="Z934" i="16" s="1"/>
  <c r="O934" i="16"/>
  <c r="Q934" i="16" s="1"/>
  <c r="E934" i="16"/>
  <c r="F934" i="16" s="1"/>
  <c r="G934" i="16" s="1"/>
  <c r="H934" i="16" s="1"/>
  <c r="X933" i="16"/>
  <c r="Z933" i="16" s="1"/>
  <c r="O933" i="16"/>
  <c r="Q933" i="16" s="1"/>
  <c r="E933" i="16"/>
  <c r="F933" i="16" s="1"/>
  <c r="G933" i="16" s="1"/>
  <c r="H933" i="16" s="1"/>
  <c r="D933" i="16"/>
  <c r="C933" i="16"/>
  <c r="X932" i="16"/>
  <c r="Z932" i="16" s="1"/>
  <c r="O932" i="16"/>
  <c r="Q932" i="16" s="1"/>
  <c r="E932" i="16"/>
  <c r="F932" i="16" s="1"/>
  <c r="G932" i="16" s="1"/>
  <c r="H932" i="16" s="1"/>
  <c r="D932" i="16"/>
  <c r="C932" i="16"/>
  <c r="X931" i="16"/>
  <c r="Z931" i="16" s="1"/>
  <c r="O931" i="16"/>
  <c r="Q931" i="16" s="1"/>
  <c r="E931" i="16"/>
  <c r="F931" i="16" s="1"/>
  <c r="G931" i="16" s="1"/>
  <c r="H931" i="16" s="1"/>
  <c r="D931" i="16"/>
  <c r="C931" i="16"/>
  <c r="X930" i="16"/>
  <c r="Z930" i="16" s="1"/>
  <c r="O930" i="16"/>
  <c r="Q930" i="16" s="1"/>
  <c r="E930" i="16"/>
  <c r="F930" i="16" s="1"/>
  <c r="G930" i="16" s="1"/>
  <c r="H930" i="16" s="1"/>
  <c r="D930" i="16"/>
  <c r="C930" i="16"/>
  <c r="X929" i="16"/>
  <c r="Z929" i="16" s="1"/>
  <c r="O929" i="16"/>
  <c r="Q929" i="16" s="1"/>
  <c r="E929" i="16"/>
  <c r="F929" i="16" s="1"/>
  <c r="G929" i="16" s="1"/>
  <c r="H929" i="16" s="1"/>
  <c r="D929" i="16"/>
  <c r="C929" i="16"/>
  <c r="X928" i="16"/>
  <c r="Z928" i="16" s="1"/>
  <c r="O928" i="16"/>
  <c r="Q928" i="16" s="1"/>
  <c r="E928" i="16"/>
  <c r="F928" i="16" s="1"/>
  <c r="G928" i="16" s="1"/>
  <c r="H928" i="16" s="1"/>
  <c r="D928" i="16"/>
  <c r="C928" i="16"/>
  <c r="X927" i="16"/>
  <c r="Z927" i="16" s="1"/>
  <c r="O927" i="16"/>
  <c r="Q927" i="16" s="1"/>
  <c r="E927" i="16"/>
  <c r="F927" i="16" s="1"/>
  <c r="G927" i="16" s="1"/>
  <c r="H927" i="16" s="1"/>
  <c r="D927" i="16"/>
  <c r="C927" i="16"/>
  <c r="X926" i="16"/>
  <c r="Z926" i="16" s="1"/>
  <c r="O926" i="16"/>
  <c r="Q926" i="16" s="1"/>
  <c r="E926" i="16"/>
  <c r="F926" i="16" s="1"/>
  <c r="G926" i="16" s="1"/>
  <c r="H926" i="16" s="1"/>
  <c r="D926" i="16"/>
  <c r="C926" i="16"/>
  <c r="X925" i="16"/>
  <c r="Z925" i="16" s="1"/>
  <c r="O925" i="16"/>
  <c r="Q925" i="16" s="1"/>
  <c r="E925" i="16"/>
  <c r="F925" i="16" s="1"/>
  <c r="G925" i="16" s="1"/>
  <c r="H925" i="16" s="1"/>
  <c r="D925" i="16"/>
  <c r="C925" i="16"/>
  <c r="X924" i="16"/>
  <c r="Z924" i="16" s="1"/>
  <c r="O924" i="16"/>
  <c r="Q924" i="16" s="1"/>
  <c r="E924" i="16"/>
  <c r="F924" i="16" s="1"/>
  <c r="G924" i="16" s="1"/>
  <c r="H924" i="16" s="1"/>
  <c r="D924" i="16"/>
  <c r="C924" i="16"/>
  <c r="X923" i="16"/>
  <c r="Z923" i="16" s="1"/>
  <c r="O923" i="16"/>
  <c r="Q923" i="16" s="1"/>
  <c r="E923" i="16"/>
  <c r="F923" i="16" s="1"/>
  <c r="G923" i="16" s="1"/>
  <c r="H923" i="16" s="1"/>
  <c r="D923" i="16"/>
  <c r="C923" i="16"/>
  <c r="Y922" i="16"/>
  <c r="X922" i="16"/>
  <c r="O922" i="16"/>
  <c r="Q922" i="16" s="1"/>
  <c r="E922" i="16"/>
  <c r="F922" i="16" s="1"/>
  <c r="G922" i="16" s="1"/>
  <c r="H922" i="16" s="1"/>
  <c r="D922" i="16"/>
  <c r="C922" i="16"/>
  <c r="X921" i="16"/>
  <c r="Z921" i="16" s="1"/>
  <c r="O921" i="16"/>
  <c r="Q921" i="16" s="1"/>
  <c r="E921" i="16"/>
  <c r="F921" i="16" s="1"/>
  <c r="G921" i="16" s="1"/>
  <c r="H921" i="16" s="1"/>
  <c r="D921" i="16"/>
  <c r="C921" i="16"/>
  <c r="X920" i="16"/>
  <c r="Z920" i="16" s="1"/>
  <c r="O920" i="16"/>
  <c r="Q920" i="16" s="1"/>
  <c r="E920" i="16"/>
  <c r="F920" i="16" s="1"/>
  <c r="G920" i="16" s="1"/>
  <c r="H920" i="16" s="1"/>
  <c r="X919" i="16"/>
  <c r="Z919" i="16" s="1"/>
  <c r="O919" i="16"/>
  <c r="Q919" i="16" s="1"/>
  <c r="E919" i="16"/>
  <c r="F919" i="16" s="1"/>
  <c r="G919" i="16" s="1"/>
  <c r="H919" i="16" s="1"/>
  <c r="D919" i="16"/>
  <c r="C919" i="16"/>
  <c r="X918" i="16"/>
  <c r="Z918" i="16" s="1"/>
  <c r="O918" i="16"/>
  <c r="Q918" i="16" s="1"/>
  <c r="E918" i="16"/>
  <c r="F918" i="16" s="1"/>
  <c r="G918" i="16" s="1"/>
  <c r="H918" i="16" s="1"/>
  <c r="D918" i="16"/>
  <c r="C918" i="16"/>
  <c r="X917" i="16"/>
  <c r="Z917" i="16" s="1"/>
  <c r="O917" i="16"/>
  <c r="Q917" i="16" s="1"/>
  <c r="E917" i="16"/>
  <c r="F917" i="16" s="1"/>
  <c r="G917" i="16" s="1"/>
  <c r="H917" i="16" s="1"/>
  <c r="D917" i="16"/>
  <c r="C917" i="16"/>
  <c r="X916" i="16"/>
  <c r="Z916" i="16" s="1"/>
  <c r="O916" i="16"/>
  <c r="Q916" i="16" s="1"/>
  <c r="E916" i="16"/>
  <c r="F916" i="16" s="1"/>
  <c r="G916" i="16" s="1"/>
  <c r="H916" i="16" s="1"/>
  <c r="D916" i="16"/>
  <c r="C916" i="16"/>
  <c r="X915" i="16"/>
  <c r="Z915" i="16" s="1"/>
  <c r="O915" i="16"/>
  <c r="Q915" i="16" s="1"/>
  <c r="E915" i="16"/>
  <c r="F915" i="16" s="1"/>
  <c r="G915" i="16" s="1"/>
  <c r="H915" i="16" s="1"/>
  <c r="X914" i="16"/>
  <c r="Z914" i="16" s="1"/>
  <c r="O914" i="16"/>
  <c r="Q914" i="16" s="1"/>
  <c r="E914" i="16"/>
  <c r="F914" i="16" s="1"/>
  <c r="G914" i="16" s="1"/>
  <c r="H914" i="16" s="1"/>
  <c r="X913" i="16"/>
  <c r="Z913" i="16" s="1"/>
  <c r="O913" i="16"/>
  <c r="Q913" i="16" s="1"/>
  <c r="E913" i="16"/>
  <c r="F913" i="16" s="1"/>
  <c r="G913" i="16" s="1"/>
  <c r="H913" i="16" s="1"/>
  <c r="X912" i="16"/>
  <c r="Z912" i="16" s="1"/>
  <c r="O912" i="16"/>
  <c r="Q912" i="16" s="1"/>
  <c r="E912" i="16"/>
  <c r="F912" i="16" s="1"/>
  <c r="G912" i="16" s="1"/>
  <c r="H912" i="16" s="1"/>
  <c r="X911" i="16"/>
  <c r="Z911" i="16" s="1"/>
  <c r="O911" i="16"/>
  <c r="Q911" i="16" s="1"/>
  <c r="E911" i="16"/>
  <c r="F911" i="16" s="1"/>
  <c r="G911" i="16" s="1"/>
  <c r="H911" i="16" s="1"/>
  <c r="X910" i="16"/>
  <c r="Z910" i="16" s="1"/>
  <c r="O910" i="16"/>
  <c r="Q910" i="16" s="1"/>
  <c r="E910" i="16"/>
  <c r="F910" i="16" s="1"/>
  <c r="G910" i="16" s="1"/>
  <c r="H910" i="16" s="1"/>
  <c r="X909" i="16"/>
  <c r="Z909" i="16" s="1"/>
  <c r="O909" i="16"/>
  <c r="Q909" i="16" s="1"/>
  <c r="E909" i="16"/>
  <c r="F909" i="16" s="1"/>
  <c r="G909" i="16" s="1"/>
  <c r="H909" i="16" s="1"/>
  <c r="D909" i="16"/>
  <c r="C909" i="16"/>
  <c r="X908" i="16"/>
  <c r="Z908" i="16" s="1"/>
  <c r="O908" i="16"/>
  <c r="Q908" i="16" s="1"/>
  <c r="E908" i="16"/>
  <c r="F908" i="16" s="1"/>
  <c r="G908" i="16" s="1"/>
  <c r="H908" i="16" s="1"/>
  <c r="X907" i="16"/>
  <c r="Z907" i="16" s="1"/>
  <c r="O907" i="16"/>
  <c r="Q907" i="16" s="1"/>
  <c r="E907" i="16"/>
  <c r="F907" i="16" s="1"/>
  <c r="G907" i="16" s="1"/>
  <c r="H907" i="16" s="1"/>
  <c r="X906" i="16"/>
  <c r="Z906" i="16" s="1"/>
  <c r="O906" i="16"/>
  <c r="Q906" i="16" s="1"/>
  <c r="E906" i="16"/>
  <c r="F906" i="16" s="1"/>
  <c r="G906" i="16" s="1"/>
  <c r="H906" i="16" s="1"/>
  <c r="X905" i="16"/>
  <c r="Z905" i="16" s="1"/>
  <c r="O905" i="16"/>
  <c r="Q905" i="16" s="1"/>
  <c r="E905" i="16"/>
  <c r="F905" i="16" s="1"/>
  <c r="G905" i="16" s="1"/>
  <c r="H905" i="16" s="1"/>
  <c r="D905" i="16"/>
  <c r="C905" i="16"/>
  <c r="X904" i="16"/>
  <c r="Z904" i="16" s="1"/>
  <c r="O904" i="16"/>
  <c r="Q904" i="16" s="1"/>
  <c r="E904" i="16"/>
  <c r="F904" i="16" s="1"/>
  <c r="G904" i="16" s="1"/>
  <c r="H904" i="16" s="1"/>
  <c r="X903" i="16"/>
  <c r="Z903" i="16" s="1"/>
  <c r="O903" i="16"/>
  <c r="Q903" i="16" s="1"/>
  <c r="E903" i="16"/>
  <c r="F903" i="16" s="1"/>
  <c r="G903" i="16" s="1"/>
  <c r="H903" i="16" s="1"/>
  <c r="D903" i="16"/>
  <c r="C903" i="16"/>
  <c r="X902" i="16"/>
  <c r="Z902" i="16" s="1"/>
  <c r="O902" i="16"/>
  <c r="Q902" i="16" s="1"/>
  <c r="E902" i="16"/>
  <c r="F902" i="16" s="1"/>
  <c r="G902" i="16" s="1"/>
  <c r="H902" i="16" s="1"/>
  <c r="X901" i="16"/>
  <c r="Z901" i="16" s="1"/>
  <c r="O901" i="16"/>
  <c r="Q901" i="16" s="1"/>
  <c r="E901" i="16"/>
  <c r="F901" i="16" s="1"/>
  <c r="G901" i="16" s="1"/>
  <c r="H901" i="16" s="1"/>
  <c r="X900" i="16"/>
  <c r="Z900" i="16" s="1"/>
  <c r="O900" i="16"/>
  <c r="Q900" i="16" s="1"/>
  <c r="E900" i="16"/>
  <c r="F900" i="16" s="1"/>
  <c r="G900" i="16" s="1"/>
  <c r="H900" i="16" s="1"/>
  <c r="D900" i="16"/>
  <c r="C900" i="16"/>
  <c r="X899" i="16"/>
  <c r="Z899" i="16" s="1"/>
  <c r="O899" i="16"/>
  <c r="Q899" i="16" s="1"/>
  <c r="E899" i="16"/>
  <c r="F899" i="16" s="1"/>
  <c r="G899" i="16" s="1"/>
  <c r="H899" i="16" s="1"/>
  <c r="D899" i="16"/>
  <c r="C899" i="16"/>
  <c r="X898" i="16"/>
  <c r="Z898" i="16" s="1"/>
  <c r="O898" i="16"/>
  <c r="Q898" i="16" s="1"/>
  <c r="E898" i="16"/>
  <c r="F898" i="16" s="1"/>
  <c r="G898" i="16" s="1"/>
  <c r="H898" i="16" s="1"/>
  <c r="D898" i="16"/>
  <c r="C898" i="16"/>
  <c r="X897" i="16"/>
  <c r="Z897" i="16" s="1"/>
  <c r="O897" i="16"/>
  <c r="Q897" i="16" s="1"/>
  <c r="E897" i="16"/>
  <c r="F897" i="16" s="1"/>
  <c r="G897" i="16" s="1"/>
  <c r="H897" i="16" s="1"/>
  <c r="D897" i="16"/>
  <c r="C897" i="16"/>
  <c r="X896" i="16"/>
  <c r="Z896" i="16" s="1"/>
  <c r="O896" i="16"/>
  <c r="Q896" i="16" s="1"/>
  <c r="E896" i="16"/>
  <c r="F896" i="16" s="1"/>
  <c r="G896" i="16" s="1"/>
  <c r="H896" i="16" s="1"/>
  <c r="D896" i="16"/>
  <c r="C896" i="16"/>
  <c r="X895" i="16"/>
  <c r="Z895" i="16" s="1"/>
  <c r="O895" i="16"/>
  <c r="Q895" i="16" s="1"/>
  <c r="E895" i="16"/>
  <c r="F895" i="16" s="1"/>
  <c r="G895" i="16" s="1"/>
  <c r="H895" i="16" s="1"/>
  <c r="D895" i="16"/>
  <c r="C895" i="16"/>
  <c r="X894" i="16"/>
  <c r="Z894" i="16" s="1"/>
  <c r="O894" i="16"/>
  <c r="Q894" i="16" s="1"/>
  <c r="E894" i="16"/>
  <c r="F894" i="16" s="1"/>
  <c r="G894" i="16" s="1"/>
  <c r="H894" i="16" s="1"/>
  <c r="D894" i="16"/>
  <c r="C894" i="16"/>
  <c r="X893" i="16"/>
  <c r="Z893" i="16" s="1"/>
  <c r="O893" i="16"/>
  <c r="Q893" i="16" s="1"/>
  <c r="E893" i="16"/>
  <c r="F893" i="16" s="1"/>
  <c r="G893" i="16" s="1"/>
  <c r="H893" i="16" s="1"/>
  <c r="D893" i="16"/>
  <c r="C893" i="16"/>
  <c r="X892" i="16"/>
  <c r="Z892" i="16" s="1"/>
  <c r="O892" i="16"/>
  <c r="Q892" i="16" s="1"/>
  <c r="E892" i="16"/>
  <c r="F892" i="16" s="1"/>
  <c r="G892" i="16" s="1"/>
  <c r="H892" i="16" s="1"/>
  <c r="D892" i="16"/>
  <c r="C892" i="16"/>
  <c r="X891" i="16"/>
  <c r="Z891" i="16" s="1"/>
  <c r="O891" i="16"/>
  <c r="Q891" i="16" s="1"/>
  <c r="E891" i="16"/>
  <c r="F891" i="16" s="1"/>
  <c r="G891" i="16" s="1"/>
  <c r="H891" i="16" s="1"/>
  <c r="D891" i="16"/>
  <c r="C891" i="16"/>
  <c r="X890" i="16"/>
  <c r="Z890" i="16" s="1"/>
  <c r="O890" i="16"/>
  <c r="Q890" i="16" s="1"/>
  <c r="E890" i="16"/>
  <c r="F890" i="16" s="1"/>
  <c r="G890" i="16" s="1"/>
  <c r="H890" i="16" s="1"/>
  <c r="D890" i="16"/>
  <c r="C890" i="16"/>
  <c r="X889" i="16"/>
  <c r="Z889" i="16" s="1"/>
  <c r="O889" i="16"/>
  <c r="Q889" i="16" s="1"/>
  <c r="E889" i="16"/>
  <c r="F889" i="16" s="1"/>
  <c r="G889" i="16" s="1"/>
  <c r="H889" i="16" s="1"/>
  <c r="D889" i="16"/>
  <c r="C889" i="16"/>
  <c r="X888" i="16"/>
  <c r="Z888" i="16" s="1"/>
  <c r="O888" i="16"/>
  <c r="Q888" i="16" s="1"/>
  <c r="E888" i="16"/>
  <c r="F888" i="16" s="1"/>
  <c r="G888" i="16" s="1"/>
  <c r="H888" i="16" s="1"/>
  <c r="D888" i="16"/>
  <c r="C888" i="16"/>
  <c r="X887" i="16"/>
  <c r="Z887" i="16" s="1"/>
  <c r="O887" i="16"/>
  <c r="Q887" i="16" s="1"/>
  <c r="E887" i="16"/>
  <c r="F887" i="16" s="1"/>
  <c r="G887" i="16" s="1"/>
  <c r="H887" i="16" s="1"/>
  <c r="D887" i="16"/>
  <c r="C887" i="16"/>
  <c r="X886" i="16"/>
  <c r="Z886" i="16" s="1"/>
  <c r="O886" i="16"/>
  <c r="Q886" i="16" s="1"/>
  <c r="E886" i="16"/>
  <c r="F886" i="16" s="1"/>
  <c r="G886" i="16" s="1"/>
  <c r="H886" i="16" s="1"/>
  <c r="D886" i="16"/>
  <c r="C886" i="16"/>
  <c r="X885" i="16"/>
  <c r="Z885" i="16" s="1"/>
  <c r="O885" i="16"/>
  <c r="Q885" i="16" s="1"/>
  <c r="E885" i="16"/>
  <c r="F885" i="16" s="1"/>
  <c r="G885" i="16" s="1"/>
  <c r="H885" i="16" s="1"/>
  <c r="D885" i="16"/>
  <c r="C885" i="16"/>
  <c r="X884" i="16"/>
  <c r="Z884" i="16" s="1"/>
  <c r="O884" i="16"/>
  <c r="Q884" i="16" s="1"/>
  <c r="E884" i="16"/>
  <c r="F884" i="16" s="1"/>
  <c r="G884" i="16" s="1"/>
  <c r="H884" i="16" s="1"/>
  <c r="D884" i="16"/>
  <c r="C884" i="16"/>
  <c r="X883" i="16"/>
  <c r="Z883" i="16" s="1"/>
  <c r="O883" i="16"/>
  <c r="Q883" i="16" s="1"/>
  <c r="E883" i="16"/>
  <c r="F883" i="16" s="1"/>
  <c r="G883" i="16" s="1"/>
  <c r="H883" i="16" s="1"/>
  <c r="D883" i="16"/>
  <c r="C883" i="16"/>
  <c r="X882" i="16"/>
  <c r="Z882" i="16" s="1"/>
  <c r="O882" i="16"/>
  <c r="Q882" i="16" s="1"/>
  <c r="E882" i="16"/>
  <c r="F882" i="16" s="1"/>
  <c r="G882" i="16" s="1"/>
  <c r="H882" i="16" s="1"/>
  <c r="D882" i="16"/>
  <c r="C882" i="16"/>
  <c r="X881" i="16"/>
  <c r="Z881" i="16" s="1"/>
  <c r="O881" i="16"/>
  <c r="Q881" i="16" s="1"/>
  <c r="E881" i="16"/>
  <c r="F881" i="16" s="1"/>
  <c r="G881" i="16" s="1"/>
  <c r="H881" i="16" s="1"/>
  <c r="D881" i="16"/>
  <c r="C881" i="16"/>
  <c r="X880" i="16"/>
  <c r="Z880" i="16" s="1"/>
  <c r="O880" i="16"/>
  <c r="Q880" i="16" s="1"/>
  <c r="E880" i="16"/>
  <c r="F880" i="16" s="1"/>
  <c r="G880" i="16" s="1"/>
  <c r="H880" i="16" s="1"/>
  <c r="D880" i="16"/>
  <c r="C880" i="16"/>
  <c r="X879" i="16"/>
  <c r="Z879" i="16" s="1"/>
  <c r="O879" i="16"/>
  <c r="Q879" i="16" s="1"/>
  <c r="E879" i="16"/>
  <c r="F879" i="16" s="1"/>
  <c r="G879" i="16" s="1"/>
  <c r="H879" i="16" s="1"/>
  <c r="D879" i="16"/>
  <c r="C879" i="16"/>
  <c r="X878" i="16"/>
  <c r="Z878" i="16" s="1"/>
  <c r="O878" i="16"/>
  <c r="Q878" i="16" s="1"/>
  <c r="E878" i="16"/>
  <c r="F878" i="16" s="1"/>
  <c r="G878" i="16" s="1"/>
  <c r="H878" i="16" s="1"/>
  <c r="D878" i="16"/>
  <c r="C878" i="16"/>
  <c r="X877" i="16"/>
  <c r="Z877" i="16" s="1"/>
  <c r="O877" i="16"/>
  <c r="Q877" i="16" s="1"/>
  <c r="E877" i="16"/>
  <c r="F877" i="16" s="1"/>
  <c r="G877" i="16" s="1"/>
  <c r="H877" i="16" s="1"/>
  <c r="D877" i="16"/>
  <c r="C877" i="16"/>
  <c r="X876" i="16"/>
  <c r="O876" i="16"/>
  <c r="Q876" i="16" s="1"/>
  <c r="E876" i="16"/>
  <c r="F876" i="16" s="1"/>
  <c r="G876" i="16" s="1"/>
  <c r="H876" i="16" s="1"/>
  <c r="D876" i="16"/>
  <c r="C876" i="16"/>
  <c r="X875" i="16"/>
  <c r="O875" i="16"/>
  <c r="Q875" i="16" s="1"/>
  <c r="E875" i="16"/>
  <c r="F875" i="16" s="1"/>
  <c r="G875" i="16" s="1"/>
  <c r="H875" i="16" s="1"/>
  <c r="D875" i="16"/>
  <c r="C875" i="16"/>
  <c r="X874" i="16"/>
  <c r="O874" i="16"/>
  <c r="Q874" i="16" s="1"/>
  <c r="E874" i="16"/>
  <c r="F874" i="16" s="1"/>
  <c r="G874" i="16" s="1"/>
  <c r="H874" i="16" s="1"/>
  <c r="D874" i="16"/>
  <c r="C874" i="16"/>
  <c r="X873" i="16"/>
  <c r="O873" i="16"/>
  <c r="Q873" i="16" s="1"/>
  <c r="E873" i="16"/>
  <c r="F873" i="16" s="1"/>
  <c r="G873" i="16" s="1"/>
  <c r="H873" i="16" s="1"/>
  <c r="D873" i="16"/>
  <c r="C873" i="16"/>
  <c r="X872" i="16"/>
  <c r="O872" i="16"/>
  <c r="Q872" i="16" s="1"/>
  <c r="E872" i="16"/>
  <c r="F872" i="16" s="1"/>
  <c r="G872" i="16" s="1"/>
  <c r="H872" i="16" s="1"/>
  <c r="D872" i="16"/>
  <c r="C872" i="16"/>
  <c r="X871" i="16"/>
  <c r="O871" i="16"/>
  <c r="Q871" i="16" s="1"/>
  <c r="E871" i="16"/>
  <c r="F871" i="16" s="1"/>
  <c r="G871" i="16" s="1"/>
  <c r="H871" i="16" s="1"/>
  <c r="D871" i="16"/>
  <c r="C871" i="16"/>
  <c r="X870" i="16"/>
  <c r="Z870" i="16" s="1"/>
  <c r="O870" i="16"/>
  <c r="Q870" i="16" s="1"/>
  <c r="E870" i="16"/>
  <c r="F870" i="16" s="1"/>
  <c r="G870" i="16" s="1"/>
  <c r="H870" i="16" s="1"/>
  <c r="X869" i="16"/>
  <c r="Z869" i="16" s="1"/>
  <c r="O869" i="16"/>
  <c r="Q869" i="16" s="1"/>
  <c r="E869" i="16"/>
  <c r="F869" i="16" s="1"/>
  <c r="G869" i="16" s="1"/>
  <c r="H869" i="16" s="1"/>
  <c r="X868" i="16"/>
  <c r="Z868" i="16" s="1"/>
  <c r="O868" i="16"/>
  <c r="Q868" i="16" s="1"/>
  <c r="E868" i="16"/>
  <c r="F868" i="16" s="1"/>
  <c r="G868" i="16" s="1"/>
  <c r="H868" i="16" s="1"/>
  <c r="X867" i="16"/>
  <c r="Z867" i="16" s="1"/>
  <c r="O867" i="16"/>
  <c r="Q867" i="16" s="1"/>
  <c r="E867" i="16"/>
  <c r="F867" i="16" s="1"/>
  <c r="G867" i="16" s="1"/>
  <c r="H867" i="16" s="1"/>
  <c r="X866" i="16"/>
  <c r="Z866" i="16" s="1"/>
  <c r="O866" i="16"/>
  <c r="Q866" i="16" s="1"/>
  <c r="E866" i="16"/>
  <c r="F866" i="16" s="1"/>
  <c r="G866" i="16" s="1"/>
  <c r="H866" i="16" s="1"/>
  <c r="X865" i="16"/>
  <c r="Z865" i="16" s="1"/>
  <c r="O865" i="16"/>
  <c r="Q865" i="16" s="1"/>
  <c r="E865" i="16"/>
  <c r="F865" i="16" s="1"/>
  <c r="G865" i="16" s="1"/>
  <c r="H865" i="16" s="1"/>
  <c r="X864" i="16"/>
  <c r="Z864" i="16" s="1"/>
  <c r="O864" i="16"/>
  <c r="Q864" i="16" s="1"/>
  <c r="E864" i="16"/>
  <c r="F864" i="16" s="1"/>
  <c r="G864" i="16" s="1"/>
  <c r="H864" i="16" s="1"/>
  <c r="X863" i="16"/>
  <c r="Z863" i="16" s="1"/>
  <c r="O863" i="16"/>
  <c r="Q863" i="16" s="1"/>
  <c r="E863" i="16"/>
  <c r="F863" i="16" s="1"/>
  <c r="G863" i="16" s="1"/>
  <c r="H863" i="16" s="1"/>
  <c r="X862" i="16"/>
  <c r="Z862" i="16" s="1"/>
  <c r="O862" i="16"/>
  <c r="Q862" i="16" s="1"/>
  <c r="E862" i="16"/>
  <c r="F862" i="16" s="1"/>
  <c r="G862" i="16" s="1"/>
  <c r="H862" i="16" s="1"/>
  <c r="X861" i="16"/>
  <c r="Z861" i="16" s="1"/>
  <c r="O861" i="16"/>
  <c r="Q861" i="16" s="1"/>
  <c r="E861" i="16"/>
  <c r="F861" i="16" s="1"/>
  <c r="G861" i="16" s="1"/>
  <c r="H861" i="16" s="1"/>
  <c r="X860" i="16"/>
  <c r="Z860" i="16" s="1"/>
  <c r="O860" i="16"/>
  <c r="Q860" i="16" s="1"/>
  <c r="E860" i="16"/>
  <c r="F860" i="16" s="1"/>
  <c r="G860" i="16" s="1"/>
  <c r="H860" i="16" s="1"/>
  <c r="X859" i="16"/>
  <c r="Z859" i="16" s="1"/>
  <c r="O859" i="16"/>
  <c r="Q859" i="16" s="1"/>
  <c r="E859" i="16"/>
  <c r="F859" i="16" s="1"/>
  <c r="G859" i="16" s="1"/>
  <c r="H859" i="16" s="1"/>
  <c r="X858" i="16"/>
  <c r="Z858" i="16" s="1"/>
  <c r="O858" i="16"/>
  <c r="Q858" i="16" s="1"/>
  <c r="E858" i="16"/>
  <c r="F858" i="16" s="1"/>
  <c r="G858" i="16" s="1"/>
  <c r="H858" i="16" s="1"/>
  <c r="X857" i="16"/>
  <c r="Z857" i="16" s="1"/>
  <c r="O857" i="16"/>
  <c r="Q857" i="16" s="1"/>
  <c r="E857" i="16"/>
  <c r="F857" i="16" s="1"/>
  <c r="G857" i="16" s="1"/>
  <c r="H857" i="16" s="1"/>
  <c r="X856" i="16"/>
  <c r="Z856" i="16" s="1"/>
  <c r="O856" i="16"/>
  <c r="Q856" i="16" s="1"/>
  <c r="E856" i="16"/>
  <c r="F856" i="16" s="1"/>
  <c r="G856" i="16" s="1"/>
  <c r="H856" i="16" s="1"/>
  <c r="X855" i="16"/>
  <c r="Z855" i="16" s="1"/>
  <c r="O855" i="16"/>
  <c r="Q855" i="16" s="1"/>
  <c r="E855" i="16"/>
  <c r="F855" i="16" s="1"/>
  <c r="G855" i="16" s="1"/>
  <c r="H855" i="16" s="1"/>
  <c r="X854" i="16"/>
  <c r="Z854" i="16" s="1"/>
  <c r="O854" i="16"/>
  <c r="Q854" i="16" s="1"/>
  <c r="E854" i="16"/>
  <c r="F854" i="16" s="1"/>
  <c r="G854" i="16" s="1"/>
  <c r="H854" i="16" s="1"/>
  <c r="X853" i="16"/>
  <c r="Z853" i="16" s="1"/>
  <c r="O853" i="16"/>
  <c r="Q853" i="16" s="1"/>
  <c r="E853" i="16"/>
  <c r="F853" i="16" s="1"/>
  <c r="G853" i="16" s="1"/>
  <c r="H853" i="16" s="1"/>
  <c r="X852" i="16"/>
  <c r="Z852" i="16" s="1"/>
  <c r="O852" i="16"/>
  <c r="Q852" i="16" s="1"/>
  <c r="E852" i="16"/>
  <c r="F852" i="16" s="1"/>
  <c r="G852" i="16" s="1"/>
  <c r="H852" i="16" s="1"/>
  <c r="X851" i="16"/>
  <c r="Z851" i="16" s="1"/>
  <c r="O851" i="16"/>
  <c r="Q851" i="16" s="1"/>
  <c r="E851" i="16"/>
  <c r="F851" i="16" s="1"/>
  <c r="G851" i="16" s="1"/>
  <c r="H851" i="16" s="1"/>
  <c r="X850" i="16"/>
  <c r="Z850" i="16" s="1"/>
  <c r="O850" i="16"/>
  <c r="Q850" i="16" s="1"/>
  <c r="E850" i="16"/>
  <c r="F850" i="16" s="1"/>
  <c r="G850" i="16" s="1"/>
  <c r="H850" i="16" s="1"/>
  <c r="X849" i="16"/>
  <c r="Z849" i="16" s="1"/>
  <c r="O849" i="16"/>
  <c r="Q849" i="16" s="1"/>
  <c r="E849" i="16"/>
  <c r="F849" i="16" s="1"/>
  <c r="G849" i="16" s="1"/>
  <c r="H849" i="16" s="1"/>
  <c r="X848" i="16"/>
  <c r="Z848" i="16" s="1"/>
  <c r="O848" i="16"/>
  <c r="Q848" i="16" s="1"/>
  <c r="E848" i="16"/>
  <c r="F848" i="16" s="1"/>
  <c r="G848" i="16" s="1"/>
  <c r="H848" i="16" s="1"/>
  <c r="X847" i="16"/>
  <c r="Z847" i="16" s="1"/>
  <c r="O847" i="16"/>
  <c r="Q847" i="16" s="1"/>
  <c r="E847" i="16"/>
  <c r="F847" i="16" s="1"/>
  <c r="G847" i="16" s="1"/>
  <c r="H847" i="16" s="1"/>
  <c r="X846" i="16"/>
  <c r="Z846" i="16" s="1"/>
  <c r="O846" i="16"/>
  <c r="Q846" i="16" s="1"/>
  <c r="E846" i="16"/>
  <c r="F846" i="16" s="1"/>
  <c r="G846" i="16" s="1"/>
  <c r="H846" i="16" s="1"/>
  <c r="X845" i="16"/>
  <c r="Z845" i="16" s="1"/>
  <c r="O845" i="16"/>
  <c r="Q845" i="16" s="1"/>
  <c r="E845" i="16"/>
  <c r="F845" i="16" s="1"/>
  <c r="G845" i="16" s="1"/>
  <c r="H845" i="16" s="1"/>
  <c r="X844" i="16"/>
  <c r="Z844" i="16" s="1"/>
  <c r="O844" i="16"/>
  <c r="Q844" i="16" s="1"/>
  <c r="E844" i="16"/>
  <c r="F844" i="16" s="1"/>
  <c r="G844" i="16" s="1"/>
  <c r="H844" i="16" s="1"/>
  <c r="X843" i="16"/>
  <c r="Z843" i="16" s="1"/>
  <c r="O843" i="16"/>
  <c r="Q843" i="16" s="1"/>
  <c r="E843" i="16"/>
  <c r="F843" i="16" s="1"/>
  <c r="G843" i="16" s="1"/>
  <c r="H843" i="16" s="1"/>
  <c r="X842" i="16"/>
  <c r="Z842" i="16" s="1"/>
  <c r="O842" i="16"/>
  <c r="Q842" i="16" s="1"/>
  <c r="E842" i="16"/>
  <c r="F842" i="16" s="1"/>
  <c r="G842" i="16" s="1"/>
  <c r="H842" i="16" s="1"/>
  <c r="X841" i="16"/>
  <c r="Z841" i="16" s="1"/>
  <c r="O841" i="16"/>
  <c r="Q841" i="16" s="1"/>
  <c r="E841" i="16"/>
  <c r="F841" i="16" s="1"/>
  <c r="G841" i="16" s="1"/>
  <c r="H841" i="16" s="1"/>
  <c r="X840" i="16"/>
  <c r="Z840" i="16" s="1"/>
  <c r="O840" i="16"/>
  <c r="Q840" i="16" s="1"/>
  <c r="E840" i="16"/>
  <c r="F840" i="16" s="1"/>
  <c r="G840" i="16" s="1"/>
  <c r="H840" i="16" s="1"/>
  <c r="X839" i="16"/>
  <c r="Z839" i="16" s="1"/>
  <c r="O839" i="16"/>
  <c r="E839" i="16"/>
  <c r="F839" i="16" s="1"/>
  <c r="G839" i="16" s="1"/>
  <c r="H839" i="16" s="1"/>
  <c r="X838" i="16"/>
  <c r="O838" i="16"/>
  <c r="E838" i="16"/>
  <c r="F838" i="16" s="1"/>
  <c r="G838" i="16" s="1"/>
  <c r="H838" i="16" s="1"/>
  <c r="X837" i="16"/>
  <c r="O837" i="16"/>
  <c r="E837" i="16"/>
  <c r="F837" i="16" s="1"/>
  <c r="G837" i="16" s="1"/>
  <c r="H837" i="16" s="1"/>
  <c r="X836" i="16"/>
  <c r="O836" i="16"/>
  <c r="E836" i="16"/>
  <c r="F836" i="16" s="1"/>
  <c r="G836" i="16" s="1"/>
  <c r="H836" i="16" s="1"/>
  <c r="X835" i="16"/>
  <c r="O835" i="16"/>
  <c r="E835" i="16"/>
  <c r="F835" i="16" s="1"/>
  <c r="G835" i="16" s="1"/>
  <c r="H835" i="16" s="1"/>
  <c r="X834" i="16"/>
  <c r="O834" i="16"/>
  <c r="E834" i="16"/>
  <c r="F834" i="16" s="1"/>
  <c r="G834" i="16" s="1"/>
  <c r="H834" i="16" s="1"/>
  <c r="X833" i="16"/>
  <c r="O833" i="16"/>
  <c r="E833" i="16"/>
  <c r="F833" i="16" s="1"/>
  <c r="G833" i="16" s="1"/>
  <c r="H833" i="16" s="1"/>
  <c r="X832" i="16"/>
  <c r="O832" i="16"/>
  <c r="E832" i="16"/>
  <c r="F832" i="16" s="1"/>
  <c r="G832" i="16" s="1"/>
  <c r="H832" i="16" s="1"/>
  <c r="X831" i="16"/>
  <c r="O831" i="16"/>
  <c r="E831" i="16"/>
  <c r="F831" i="16" s="1"/>
  <c r="G831" i="16" s="1"/>
  <c r="H831" i="16" s="1"/>
  <c r="X830" i="16"/>
  <c r="O830" i="16"/>
  <c r="E830" i="16"/>
  <c r="F830" i="16" s="1"/>
  <c r="G830" i="16" s="1"/>
  <c r="H830" i="16" s="1"/>
  <c r="X829" i="16"/>
  <c r="O829" i="16"/>
  <c r="E829" i="16"/>
  <c r="F829" i="16" s="1"/>
  <c r="G829" i="16" s="1"/>
  <c r="H829" i="16" s="1"/>
  <c r="X828" i="16"/>
  <c r="O828" i="16"/>
  <c r="E828" i="16"/>
  <c r="F828" i="16" s="1"/>
  <c r="G828" i="16" s="1"/>
  <c r="H828" i="16" s="1"/>
  <c r="X827" i="16"/>
  <c r="O827" i="16"/>
  <c r="E827" i="16"/>
  <c r="F827" i="16" s="1"/>
  <c r="G827" i="16" s="1"/>
  <c r="H827" i="16" s="1"/>
  <c r="X826" i="16"/>
  <c r="O826" i="16"/>
  <c r="E826" i="16"/>
  <c r="F826" i="16" s="1"/>
  <c r="G826" i="16" s="1"/>
  <c r="H826" i="16" s="1"/>
  <c r="X825" i="16"/>
  <c r="O825" i="16"/>
  <c r="E825" i="16"/>
  <c r="F825" i="16" s="1"/>
  <c r="G825" i="16" s="1"/>
  <c r="H825" i="16" s="1"/>
  <c r="X824" i="16"/>
  <c r="O824" i="16"/>
  <c r="E824" i="16"/>
  <c r="F824" i="16" s="1"/>
  <c r="G824" i="16" s="1"/>
  <c r="H824" i="16" s="1"/>
  <c r="X823" i="16"/>
  <c r="O823" i="16"/>
  <c r="E823" i="16"/>
  <c r="F823" i="16" s="1"/>
  <c r="G823" i="16" s="1"/>
  <c r="H823" i="16" s="1"/>
  <c r="X822" i="16"/>
  <c r="O822" i="16"/>
  <c r="E822" i="16"/>
  <c r="F822" i="16" s="1"/>
  <c r="G822" i="16" s="1"/>
  <c r="H822" i="16" s="1"/>
  <c r="X821" i="16"/>
  <c r="O821" i="16"/>
  <c r="E821" i="16"/>
  <c r="F821" i="16" s="1"/>
  <c r="G821" i="16" s="1"/>
  <c r="H821" i="16" s="1"/>
  <c r="X820" i="16"/>
  <c r="O820" i="16"/>
  <c r="E820" i="16"/>
  <c r="F820" i="16" s="1"/>
  <c r="G820" i="16" s="1"/>
  <c r="H820" i="16" s="1"/>
  <c r="X819" i="16"/>
  <c r="O819" i="16"/>
  <c r="E819" i="16"/>
  <c r="F819" i="16" s="1"/>
  <c r="G819" i="16" s="1"/>
  <c r="H819" i="16" s="1"/>
  <c r="X818" i="16"/>
  <c r="O818" i="16"/>
  <c r="E818" i="16"/>
  <c r="F818" i="16" s="1"/>
  <c r="G818" i="16" s="1"/>
  <c r="H818" i="16" s="1"/>
  <c r="X817" i="16"/>
  <c r="O817" i="16"/>
  <c r="E817" i="16"/>
  <c r="F817" i="16" s="1"/>
  <c r="G817" i="16" s="1"/>
  <c r="H817" i="16" s="1"/>
  <c r="X816" i="16"/>
  <c r="O816" i="16"/>
  <c r="E816" i="16"/>
  <c r="F816" i="16" s="1"/>
  <c r="G816" i="16" s="1"/>
  <c r="H816" i="16" s="1"/>
  <c r="X815" i="16"/>
  <c r="O815" i="16"/>
  <c r="E815" i="16"/>
  <c r="F815" i="16" s="1"/>
  <c r="G815" i="16" s="1"/>
  <c r="H815" i="16" s="1"/>
  <c r="X814" i="16"/>
  <c r="O814" i="16"/>
  <c r="E814" i="16"/>
  <c r="F814" i="16" s="1"/>
  <c r="G814" i="16" s="1"/>
  <c r="H814" i="16" s="1"/>
  <c r="X813" i="16"/>
  <c r="O813" i="16"/>
  <c r="E813" i="16"/>
  <c r="F813" i="16" s="1"/>
  <c r="G813" i="16" s="1"/>
  <c r="H813" i="16" s="1"/>
  <c r="X812" i="16"/>
  <c r="O812" i="16"/>
  <c r="E812" i="16"/>
  <c r="F812" i="16" s="1"/>
  <c r="G812" i="16" s="1"/>
  <c r="H812" i="16" s="1"/>
  <c r="X811" i="16"/>
  <c r="O811" i="16"/>
  <c r="E811" i="16"/>
  <c r="F811" i="16" s="1"/>
  <c r="G811" i="16" s="1"/>
  <c r="H811" i="16" s="1"/>
  <c r="X810" i="16"/>
  <c r="O810" i="16"/>
  <c r="E810" i="16"/>
  <c r="F810" i="16" s="1"/>
  <c r="G810" i="16" s="1"/>
  <c r="H810" i="16" s="1"/>
  <c r="X809" i="16"/>
  <c r="O809" i="16"/>
  <c r="E809" i="16"/>
  <c r="F809" i="16" s="1"/>
  <c r="G809" i="16" s="1"/>
  <c r="H809" i="16" s="1"/>
  <c r="X808" i="16"/>
  <c r="O808" i="16"/>
  <c r="E808" i="16"/>
  <c r="F808" i="16" s="1"/>
  <c r="G808" i="16" s="1"/>
  <c r="H808" i="16" s="1"/>
  <c r="X807" i="16"/>
  <c r="O807" i="16"/>
  <c r="E807" i="16"/>
  <c r="F807" i="16" s="1"/>
  <c r="G807" i="16" s="1"/>
  <c r="H807" i="16" s="1"/>
  <c r="X806" i="16"/>
  <c r="O806" i="16"/>
  <c r="E806" i="16"/>
  <c r="F806" i="16" s="1"/>
  <c r="G806" i="16" s="1"/>
  <c r="H806" i="16" s="1"/>
  <c r="X805" i="16"/>
  <c r="O805" i="16"/>
  <c r="E805" i="16"/>
  <c r="F805" i="16" s="1"/>
  <c r="G805" i="16" s="1"/>
  <c r="H805" i="16" s="1"/>
  <c r="X804" i="16"/>
  <c r="O804" i="16"/>
  <c r="E804" i="16"/>
  <c r="F804" i="16" s="1"/>
  <c r="G804" i="16" s="1"/>
  <c r="H804" i="16" s="1"/>
  <c r="X803" i="16"/>
  <c r="O803" i="16"/>
  <c r="E803" i="16"/>
  <c r="F803" i="16" s="1"/>
  <c r="G803" i="16" s="1"/>
  <c r="H803" i="16" s="1"/>
  <c r="X802" i="16"/>
  <c r="Y802" i="16" s="1"/>
  <c r="O802" i="16"/>
  <c r="E802" i="16"/>
  <c r="F802" i="16" s="1"/>
  <c r="G802" i="16" s="1"/>
  <c r="H802" i="16" s="1"/>
  <c r="X801" i="16"/>
  <c r="Y801" i="16" s="1"/>
  <c r="O801" i="16"/>
  <c r="E801" i="16"/>
  <c r="F801" i="16" s="1"/>
  <c r="G801" i="16" s="1"/>
  <c r="H801" i="16" s="1"/>
  <c r="X800" i="16"/>
  <c r="Y800" i="16" s="1"/>
  <c r="O800" i="16"/>
  <c r="E800" i="16"/>
  <c r="F800" i="16" s="1"/>
  <c r="G800" i="16" s="1"/>
  <c r="H800" i="16" s="1"/>
  <c r="X799" i="16"/>
  <c r="O799" i="16"/>
  <c r="E799" i="16"/>
  <c r="F799" i="16" s="1"/>
  <c r="G799" i="16" s="1"/>
  <c r="H799" i="16" s="1"/>
  <c r="X798" i="16"/>
  <c r="O798" i="16"/>
  <c r="E798" i="16"/>
  <c r="F798" i="16" s="1"/>
  <c r="G798" i="16" s="1"/>
  <c r="H798" i="16" s="1"/>
  <c r="X797" i="16"/>
  <c r="O797" i="16"/>
  <c r="E797" i="16"/>
  <c r="F797" i="16" s="1"/>
  <c r="G797" i="16" s="1"/>
  <c r="H797" i="16" s="1"/>
  <c r="X796" i="16"/>
  <c r="O796" i="16"/>
  <c r="E796" i="16"/>
  <c r="F796" i="16" s="1"/>
  <c r="G796" i="16" s="1"/>
  <c r="H796" i="16" s="1"/>
  <c r="X795" i="16"/>
  <c r="O795" i="16"/>
  <c r="E795" i="16"/>
  <c r="F795" i="16" s="1"/>
  <c r="G795" i="16" s="1"/>
  <c r="H795" i="16" s="1"/>
  <c r="X794" i="16"/>
  <c r="O794" i="16"/>
  <c r="E794" i="16"/>
  <c r="F794" i="16" s="1"/>
  <c r="G794" i="16" s="1"/>
  <c r="H794" i="16" s="1"/>
  <c r="X793" i="16"/>
  <c r="O793" i="16"/>
  <c r="E793" i="16"/>
  <c r="F793" i="16" s="1"/>
  <c r="G793" i="16" s="1"/>
  <c r="H793" i="16" s="1"/>
  <c r="X792" i="16"/>
  <c r="O792" i="16"/>
  <c r="E792" i="16"/>
  <c r="F792" i="16" s="1"/>
  <c r="G792" i="16" s="1"/>
  <c r="H792" i="16" s="1"/>
  <c r="X791" i="16"/>
  <c r="O791" i="16"/>
  <c r="E791" i="16"/>
  <c r="F791" i="16" s="1"/>
  <c r="G791" i="16" s="1"/>
  <c r="H791" i="16" s="1"/>
  <c r="X790" i="16"/>
  <c r="O790" i="16"/>
  <c r="E790" i="16"/>
  <c r="F790" i="16" s="1"/>
  <c r="G790" i="16" s="1"/>
  <c r="H790" i="16" s="1"/>
  <c r="X789" i="16"/>
  <c r="O789" i="16"/>
  <c r="E789" i="16"/>
  <c r="F789" i="16" s="1"/>
  <c r="G789" i="16" s="1"/>
  <c r="H789" i="16" s="1"/>
  <c r="X788" i="16"/>
  <c r="O788" i="16"/>
  <c r="E788" i="16"/>
  <c r="F788" i="16" s="1"/>
  <c r="G788" i="16" s="1"/>
  <c r="H788" i="16" s="1"/>
  <c r="X787" i="16"/>
  <c r="O787" i="16"/>
  <c r="E787" i="16"/>
  <c r="F787" i="16" s="1"/>
  <c r="G787" i="16" s="1"/>
  <c r="H787" i="16" s="1"/>
  <c r="X786" i="16"/>
  <c r="O786" i="16"/>
  <c r="E786" i="16"/>
  <c r="F786" i="16" s="1"/>
  <c r="G786" i="16" s="1"/>
  <c r="H786" i="16" s="1"/>
  <c r="X785" i="16"/>
  <c r="O785" i="16"/>
  <c r="E785" i="16"/>
  <c r="F785" i="16" s="1"/>
  <c r="G785" i="16" s="1"/>
  <c r="H785" i="16" s="1"/>
  <c r="X784" i="16"/>
  <c r="O784" i="16"/>
  <c r="E784" i="16"/>
  <c r="F784" i="16" s="1"/>
  <c r="G784" i="16" s="1"/>
  <c r="H784" i="16" s="1"/>
  <c r="X783" i="16"/>
  <c r="O783" i="16"/>
  <c r="E783" i="16"/>
  <c r="F783" i="16" s="1"/>
  <c r="G783" i="16" s="1"/>
  <c r="H783" i="16" s="1"/>
  <c r="X782" i="16"/>
  <c r="O782" i="16"/>
  <c r="E782" i="16"/>
  <c r="F782" i="16" s="1"/>
  <c r="G782" i="16" s="1"/>
  <c r="H782" i="16" s="1"/>
  <c r="X781" i="16"/>
  <c r="O781" i="16"/>
  <c r="E781" i="16"/>
  <c r="F781" i="16" s="1"/>
  <c r="G781" i="16" s="1"/>
  <c r="H781" i="16" s="1"/>
  <c r="X780" i="16"/>
  <c r="O780" i="16"/>
  <c r="E780" i="16"/>
  <c r="F780" i="16" s="1"/>
  <c r="G780" i="16" s="1"/>
  <c r="H780" i="16" s="1"/>
  <c r="X779" i="16"/>
  <c r="O779" i="16"/>
  <c r="E779" i="16"/>
  <c r="F779" i="16" s="1"/>
  <c r="G779" i="16" s="1"/>
  <c r="H779" i="16" s="1"/>
  <c r="X778" i="16"/>
  <c r="O778" i="16"/>
  <c r="E778" i="16"/>
  <c r="F778" i="16" s="1"/>
  <c r="G778" i="16" s="1"/>
  <c r="H778" i="16" s="1"/>
  <c r="X777" i="16"/>
  <c r="O777" i="16"/>
  <c r="E777" i="16"/>
  <c r="F777" i="16" s="1"/>
  <c r="G777" i="16" s="1"/>
  <c r="H777" i="16" s="1"/>
  <c r="X776" i="16"/>
  <c r="O776" i="16"/>
  <c r="E776" i="16"/>
  <c r="F776" i="16" s="1"/>
  <c r="G776" i="16" s="1"/>
  <c r="H776" i="16" s="1"/>
  <c r="X775" i="16"/>
  <c r="O775" i="16"/>
  <c r="E775" i="16"/>
  <c r="F775" i="16" s="1"/>
  <c r="G775" i="16" s="1"/>
  <c r="H775" i="16" s="1"/>
  <c r="X774" i="16"/>
  <c r="O774" i="16"/>
  <c r="E774" i="16"/>
  <c r="F774" i="16" s="1"/>
  <c r="G774" i="16" s="1"/>
  <c r="H774" i="16" s="1"/>
  <c r="X773" i="16"/>
  <c r="O773" i="16"/>
  <c r="E773" i="16"/>
  <c r="F773" i="16" s="1"/>
  <c r="G773" i="16" s="1"/>
  <c r="H773" i="16" s="1"/>
  <c r="X772" i="16"/>
  <c r="O772" i="16"/>
  <c r="E772" i="16"/>
  <c r="F772" i="16" s="1"/>
  <c r="G772" i="16" s="1"/>
  <c r="H772" i="16" s="1"/>
  <c r="X771" i="16"/>
  <c r="O771" i="16"/>
  <c r="E771" i="16"/>
  <c r="F771" i="16" s="1"/>
  <c r="G771" i="16" s="1"/>
  <c r="H771" i="16" s="1"/>
  <c r="X770" i="16"/>
  <c r="O770" i="16"/>
  <c r="E770" i="16"/>
  <c r="F770" i="16" s="1"/>
  <c r="G770" i="16" s="1"/>
  <c r="H770" i="16" s="1"/>
  <c r="X769" i="16"/>
  <c r="O769" i="16"/>
  <c r="E769" i="16"/>
  <c r="F769" i="16" s="1"/>
  <c r="G769" i="16" s="1"/>
  <c r="H769" i="16" s="1"/>
  <c r="X768" i="16"/>
  <c r="O768" i="16"/>
  <c r="E768" i="16"/>
  <c r="F768" i="16" s="1"/>
  <c r="G768" i="16" s="1"/>
  <c r="H768" i="16" s="1"/>
  <c r="X767" i="16"/>
  <c r="O767" i="16"/>
  <c r="E767" i="16"/>
  <c r="F767" i="16" s="1"/>
  <c r="G767" i="16" s="1"/>
  <c r="H767" i="16" s="1"/>
  <c r="X766" i="16"/>
  <c r="O766" i="16"/>
  <c r="E766" i="16"/>
  <c r="F766" i="16" s="1"/>
  <c r="G766" i="16" s="1"/>
  <c r="H766" i="16" s="1"/>
  <c r="X765" i="16"/>
  <c r="O765" i="16"/>
  <c r="E765" i="16"/>
  <c r="F765" i="16" s="1"/>
  <c r="G765" i="16" s="1"/>
  <c r="H765" i="16" s="1"/>
  <c r="X764" i="16"/>
  <c r="O764" i="16"/>
  <c r="E764" i="16"/>
  <c r="F764" i="16" s="1"/>
  <c r="G764" i="16" s="1"/>
  <c r="H764" i="16" s="1"/>
  <c r="X763" i="16"/>
  <c r="O763" i="16"/>
  <c r="E763" i="16"/>
  <c r="F763" i="16" s="1"/>
  <c r="G763" i="16" s="1"/>
  <c r="H763" i="16" s="1"/>
  <c r="X762" i="16"/>
  <c r="O762" i="16"/>
  <c r="E762" i="16"/>
  <c r="F762" i="16" s="1"/>
  <c r="G762" i="16" s="1"/>
  <c r="H762" i="16" s="1"/>
  <c r="X761" i="16"/>
  <c r="O761" i="16"/>
  <c r="E761" i="16"/>
  <c r="F761" i="16" s="1"/>
  <c r="G761" i="16" s="1"/>
  <c r="H761" i="16" s="1"/>
  <c r="X760" i="16"/>
  <c r="O760" i="16"/>
  <c r="E760" i="16"/>
  <c r="F760" i="16" s="1"/>
  <c r="G760" i="16" s="1"/>
  <c r="H760" i="16" s="1"/>
  <c r="X759" i="16"/>
  <c r="O759" i="16"/>
  <c r="E759" i="16"/>
  <c r="F759" i="16" s="1"/>
  <c r="G759" i="16" s="1"/>
  <c r="H759" i="16" s="1"/>
  <c r="X758" i="16"/>
  <c r="O758" i="16"/>
  <c r="E758" i="16"/>
  <c r="F758" i="16" s="1"/>
  <c r="G758" i="16" s="1"/>
  <c r="H758" i="16" s="1"/>
  <c r="X757" i="16"/>
  <c r="O757" i="16"/>
  <c r="E757" i="16"/>
  <c r="F757" i="16" s="1"/>
  <c r="G757" i="16" s="1"/>
  <c r="H757" i="16" s="1"/>
  <c r="X756" i="16"/>
  <c r="O756" i="16"/>
  <c r="E756" i="16"/>
  <c r="F756" i="16" s="1"/>
  <c r="G756" i="16" s="1"/>
  <c r="H756" i="16" s="1"/>
  <c r="X755" i="16"/>
  <c r="O755" i="16"/>
  <c r="E755" i="16"/>
  <c r="F755" i="16" s="1"/>
  <c r="G755" i="16" s="1"/>
  <c r="H755" i="16" s="1"/>
  <c r="X754" i="16"/>
  <c r="O754" i="16"/>
  <c r="E754" i="16"/>
  <c r="F754" i="16" s="1"/>
  <c r="G754" i="16" s="1"/>
  <c r="H754" i="16" s="1"/>
  <c r="X753" i="16"/>
  <c r="O753" i="16"/>
  <c r="E753" i="16"/>
  <c r="F753" i="16" s="1"/>
  <c r="G753" i="16" s="1"/>
  <c r="H753" i="16" s="1"/>
  <c r="X752" i="16"/>
  <c r="O752" i="16"/>
  <c r="E752" i="16"/>
  <c r="F752" i="16" s="1"/>
  <c r="G752" i="16" s="1"/>
  <c r="H752" i="16" s="1"/>
  <c r="X751" i="16"/>
  <c r="O751" i="16"/>
  <c r="E751" i="16"/>
  <c r="F751" i="16" s="1"/>
  <c r="G751" i="16" s="1"/>
  <c r="H751" i="16" s="1"/>
  <c r="X750" i="16"/>
  <c r="O750" i="16"/>
  <c r="E750" i="16"/>
  <c r="F750" i="16" s="1"/>
  <c r="G750" i="16" s="1"/>
  <c r="H750" i="16" s="1"/>
  <c r="X749" i="16"/>
  <c r="O749" i="16"/>
  <c r="E749" i="16"/>
  <c r="F749" i="16" s="1"/>
  <c r="G749" i="16" s="1"/>
  <c r="H749" i="16" s="1"/>
  <c r="X748" i="16"/>
  <c r="O748" i="16"/>
  <c r="E748" i="16"/>
  <c r="F748" i="16" s="1"/>
  <c r="G748" i="16" s="1"/>
  <c r="H748" i="16" s="1"/>
  <c r="X747" i="16"/>
  <c r="O747" i="16"/>
  <c r="E747" i="16"/>
  <c r="F747" i="16" s="1"/>
  <c r="G747" i="16" s="1"/>
  <c r="H747" i="16" s="1"/>
  <c r="X746" i="16"/>
  <c r="O746" i="16"/>
  <c r="E746" i="16"/>
  <c r="F746" i="16" s="1"/>
  <c r="G746" i="16" s="1"/>
  <c r="H746" i="16" s="1"/>
  <c r="X745" i="16"/>
  <c r="O745" i="16"/>
  <c r="E745" i="16"/>
  <c r="F745" i="16" s="1"/>
  <c r="G745" i="16" s="1"/>
  <c r="H745" i="16" s="1"/>
  <c r="X744" i="16"/>
  <c r="O744" i="16"/>
  <c r="E744" i="16"/>
  <c r="F744" i="16" s="1"/>
  <c r="G744" i="16" s="1"/>
  <c r="H744" i="16" s="1"/>
  <c r="X743" i="16"/>
  <c r="O743" i="16"/>
  <c r="E743" i="16"/>
  <c r="F743" i="16" s="1"/>
  <c r="G743" i="16" s="1"/>
  <c r="H743" i="16" s="1"/>
  <c r="X742" i="16"/>
  <c r="O742" i="16"/>
  <c r="E742" i="16"/>
  <c r="F742" i="16" s="1"/>
  <c r="G742" i="16" s="1"/>
  <c r="H742" i="16" s="1"/>
  <c r="X741" i="16"/>
  <c r="O741" i="16"/>
  <c r="E741" i="16"/>
  <c r="F741" i="16" s="1"/>
  <c r="G741" i="16" s="1"/>
  <c r="H741" i="16" s="1"/>
  <c r="X740" i="16"/>
  <c r="O740" i="16"/>
  <c r="E740" i="16"/>
  <c r="F740" i="16" s="1"/>
  <c r="G740" i="16" s="1"/>
  <c r="H740" i="16" s="1"/>
  <c r="X739" i="16"/>
  <c r="O739" i="16"/>
  <c r="E739" i="16"/>
  <c r="F739" i="16" s="1"/>
  <c r="G739" i="16" s="1"/>
  <c r="H739" i="16" s="1"/>
  <c r="X738" i="16"/>
  <c r="O738" i="16"/>
  <c r="E738" i="16"/>
  <c r="F738" i="16" s="1"/>
  <c r="G738" i="16" s="1"/>
  <c r="H738" i="16" s="1"/>
  <c r="X737" i="16"/>
  <c r="O737" i="16"/>
  <c r="E737" i="16"/>
  <c r="F737" i="16" s="1"/>
  <c r="G737" i="16" s="1"/>
  <c r="H737" i="16" s="1"/>
  <c r="X736" i="16"/>
  <c r="O736" i="16"/>
  <c r="E736" i="16"/>
  <c r="F736" i="16" s="1"/>
  <c r="G736" i="16" s="1"/>
  <c r="H736" i="16" s="1"/>
  <c r="X735" i="16"/>
  <c r="Y735" i="16" s="1"/>
  <c r="O735" i="16"/>
  <c r="E735" i="16"/>
  <c r="F735" i="16" s="1"/>
  <c r="G735" i="16" s="1"/>
  <c r="H735" i="16" s="1"/>
  <c r="X734" i="16"/>
  <c r="O734" i="16"/>
  <c r="E734" i="16"/>
  <c r="F734" i="16" s="1"/>
  <c r="G734" i="16" s="1"/>
  <c r="H734" i="16" s="1"/>
  <c r="X733" i="16"/>
  <c r="Y733" i="16" s="1"/>
  <c r="O733" i="16"/>
  <c r="E733" i="16"/>
  <c r="F733" i="16" s="1"/>
  <c r="G733" i="16" s="1"/>
  <c r="H733" i="16" s="1"/>
  <c r="X732" i="16"/>
  <c r="O732" i="16"/>
  <c r="E732" i="16"/>
  <c r="F732" i="16" s="1"/>
  <c r="G732" i="16" s="1"/>
  <c r="H732" i="16" s="1"/>
  <c r="X731" i="16"/>
  <c r="O731" i="16"/>
  <c r="E731" i="16"/>
  <c r="F731" i="16" s="1"/>
  <c r="G731" i="16" s="1"/>
  <c r="H731" i="16" s="1"/>
  <c r="X730" i="16"/>
  <c r="O730" i="16"/>
  <c r="E730" i="16"/>
  <c r="F730" i="16" s="1"/>
  <c r="G730" i="16" s="1"/>
  <c r="H730" i="16" s="1"/>
  <c r="X729" i="16"/>
  <c r="O729" i="16"/>
  <c r="E729" i="16"/>
  <c r="F729" i="16" s="1"/>
  <c r="G729" i="16" s="1"/>
  <c r="H729" i="16" s="1"/>
  <c r="X728" i="16"/>
  <c r="O728" i="16"/>
  <c r="E728" i="16"/>
  <c r="F728" i="16" s="1"/>
  <c r="G728" i="16" s="1"/>
  <c r="H728" i="16" s="1"/>
  <c r="X727" i="16"/>
  <c r="O727" i="16"/>
  <c r="E727" i="16"/>
  <c r="F727" i="16" s="1"/>
  <c r="G727" i="16" s="1"/>
  <c r="H727" i="16" s="1"/>
  <c r="X726" i="16"/>
  <c r="O726" i="16"/>
  <c r="E726" i="16"/>
  <c r="F726" i="16" s="1"/>
  <c r="G726" i="16" s="1"/>
  <c r="H726" i="16" s="1"/>
  <c r="X725" i="16"/>
  <c r="O725" i="16"/>
  <c r="E725" i="16"/>
  <c r="F725" i="16" s="1"/>
  <c r="G725" i="16" s="1"/>
  <c r="H725" i="16" s="1"/>
  <c r="X724" i="16"/>
  <c r="O724" i="16"/>
  <c r="E724" i="16"/>
  <c r="F724" i="16" s="1"/>
  <c r="G724" i="16" s="1"/>
  <c r="H724" i="16" s="1"/>
  <c r="X723" i="16"/>
  <c r="O723" i="16"/>
  <c r="E723" i="16"/>
  <c r="F723" i="16" s="1"/>
  <c r="G723" i="16" s="1"/>
  <c r="H723" i="16" s="1"/>
  <c r="X722" i="16"/>
  <c r="O722" i="16"/>
  <c r="E722" i="16"/>
  <c r="F722" i="16" s="1"/>
  <c r="G722" i="16" s="1"/>
  <c r="H722" i="16" s="1"/>
  <c r="X721" i="16"/>
  <c r="O721" i="16"/>
  <c r="E721" i="16"/>
  <c r="F721" i="16" s="1"/>
  <c r="G721" i="16" s="1"/>
  <c r="H721" i="16" s="1"/>
  <c r="X720" i="16"/>
  <c r="O720" i="16"/>
  <c r="E720" i="16"/>
  <c r="F720" i="16" s="1"/>
  <c r="G720" i="16" s="1"/>
  <c r="H720" i="16" s="1"/>
  <c r="X719" i="16"/>
  <c r="O719" i="16"/>
  <c r="E719" i="16"/>
  <c r="F719" i="16" s="1"/>
  <c r="G719" i="16" s="1"/>
  <c r="H719" i="16" s="1"/>
  <c r="X718" i="16"/>
  <c r="O718" i="16"/>
  <c r="E718" i="16"/>
  <c r="F718" i="16" s="1"/>
  <c r="G718" i="16" s="1"/>
  <c r="H718" i="16" s="1"/>
  <c r="X717" i="16"/>
  <c r="O717" i="16"/>
  <c r="E717" i="16"/>
  <c r="F717" i="16" s="1"/>
  <c r="G717" i="16" s="1"/>
  <c r="H717" i="16" s="1"/>
  <c r="X716" i="16"/>
  <c r="O716" i="16"/>
  <c r="E716" i="16"/>
  <c r="F716" i="16" s="1"/>
  <c r="G716" i="16" s="1"/>
  <c r="H716" i="16" s="1"/>
  <c r="X715" i="16"/>
  <c r="O715" i="16"/>
  <c r="E715" i="16"/>
  <c r="F715" i="16" s="1"/>
  <c r="G715" i="16" s="1"/>
  <c r="H715" i="16" s="1"/>
  <c r="X714" i="16"/>
  <c r="O714" i="16"/>
  <c r="E714" i="16"/>
  <c r="F714" i="16" s="1"/>
  <c r="G714" i="16" s="1"/>
  <c r="H714" i="16" s="1"/>
  <c r="X713" i="16"/>
  <c r="O713" i="16"/>
  <c r="E713" i="16"/>
  <c r="F713" i="16" s="1"/>
  <c r="G713" i="16" s="1"/>
  <c r="H713" i="16" s="1"/>
  <c r="X712" i="16"/>
  <c r="O712" i="16"/>
  <c r="E712" i="16"/>
  <c r="F712" i="16" s="1"/>
  <c r="G712" i="16" s="1"/>
  <c r="H712" i="16" s="1"/>
  <c r="X711" i="16"/>
  <c r="O711" i="16"/>
  <c r="E711" i="16"/>
  <c r="F711" i="16" s="1"/>
  <c r="G711" i="16" s="1"/>
  <c r="H711" i="16" s="1"/>
  <c r="X710" i="16"/>
  <c r="O710" i="16"/>
  <c r="E710" i="16"/>
  <c r="F710" i="16" s="1"/>
  <c r="G710" i="16" s="1"/>
  <c r="H710" i="16" s="1"/>
  <c r="X709" i="16"/>
  <c r="O709" i="16"/>
  <c r="E709" i="16"/>
  <c r="F709" i="16" s="1"/>
  <c r="G709" i="16" s="1"/>
  <c r="H709" i="16" s="1"/>
  <c r="X708" i="16"/>
  <c r="O708" i="16"/>
  <c r="E708" i="16"/>
  <c r="F708" i="16" s="1"/>
  <c r="G708" i="16" s="1"/>
  <c r="H708" i="16" s="1"/>
  <c r="X707" i="16"/>
  <c r="O707" i="16"/>
  <c r="E707" i="16"/>
  <c r="F707" i="16" s="1"/>
  <c r="G707" i="16" s="1"/>
  <c r="H707" i="16" s="1"/>
  <c r="X706" i="16"/>
  <c r="O706" i="16"/>
  <c r="E706" i="16"/>
  <c r="F706" i="16" s="1"/>
  <c r="G706" i="16" s="1"/>
  <c r="H706" i="16" s="1"/>
  <c r="X705" i="16"/>
  <c r="O705" i="16"/>
  <c r="E705" i="16"/>
  <c r="F705" i="16" s="1"/>
  <c r="G705" i="16" s="1"/>
  <c r="H705" i="16" s="1"/>
  <c r="X704" i="16"/>
  <c r="O704" i="16"/>
  <c r="E704" i="16"/>
  <c r="F704" i="16" s="1"/>
  <c r="G704" i="16" s="1"/>
  <c r="H704" i="16" s="1"/>
  <c r="X703" i="16"/>
  <c r="O703" i="16"/>
  <c r="E703" i="16"/>
  <c r="F703" i="16" s="1"/>
  <c r="G703" i="16" s="1"/>
  <c r="H703" i="16" s="1"/>
  <c r="X702" i="16"/>
  <c r="O702" i="16"/>
  <c r="E702" i="16"/>
  <c r="F702" i="16" s="1"/>
  <c r="G702" i="16" s="1"/>
  <c r="H702" i="16" s="1"/>
  <c r="X701" i="16"/>
  <c r="O701" i="16"/>
  <c r="E701" i="16"/>
  <c r="F701" i="16" s="1"/>
  <c r="G701" i="16" s="1"/>
  <c r="H701" i="16" s="1"/>
  <c r="X700" i="16"/>
  <c r="O700" i="16"/>
  <c r="E700" i="16"/>
  <c r="F700" i="16" s="1"/>
  <c r="G700" i="16" s="1"/>
  <c r="H700" i="16" s="1"/>
  <c r="X699" i="16"/>
  <c r="Z699" i="16" s="1"/>
  <c r="O699" i="16"/>
  <c r="E699" i="16"/>
  <c r="F699" i="16" s="1"/>
  <c r="G699" i="16" s="1"/>
  <c r="H699" i="16" s="1"/>
  <c r="X698" i="16"/>
  <c r="O698" i="16"/>
  <c r="E698" i="16"/>
  <c r="F698" i="16" s="1"/>
  <c r="G698" i="16" s="1"/>
  <c r="H698" i="16" s="1"/>
  <c r="X697" i="16"/>
  <c r="O697" i="16"/>
  <c r="E697" i="16"/>
  <c r="F697" i="16" s="1"/>
  <c r="G697" i="16" s="1"/>
  <c r="H697" i="16" s="1"/>
  <c r="X696" i="16"/>
  <c r="Y696" i="16" s="1"/>
  <c r="O696" i="16"/>
  <c r="E696" i="16"/>
  <c r="F696" i="16" s="1"/>
  <c r="G696" i="16" s="1"/>
  <c r="H696" i="16" s="1"/>
  <c r="X695" i="16"/>
  <c r="O695" i="16"/>
  <c r="E695" i="16"/>
  <c r="F695" i="16" s="1"/>
  <c r="G695" i="16" s="1"/>
  <c r="H695" i="16" s="1"/>
  <c r="X694" i="16"/>
  <c r="Y694" i="16" s="1"/>
  <c r="O694" i="16"/>
  <c r="E694" i="16"/>
  <c r="F694" i="16" s="1"/>
  <c r="G694" i="16" s="1"/>
  <c r="H694" i="16" s="1"/>
  <c r="X693" i="16"/>
  <c r="O693" i="16"/>
  <c r="E693" i="16"/>
  <c r="F693" i="16" s="1"/>
  <c r="G693" i="16" s="1"/>
  <c r="H693" i="16" s="1"/>
  <c r="X692" i="16"/>
  <c r="O692" i="16"/>
  <c r="E692" i="16"/>
  <c r="F692" i="16" s="1"/>
  <c r="G692" i="16" s="1"/>
  <c r="H692" i="16" s="1"/>
  <c r="X691" i="16"/>
  <c r="O691" i="16"/>
  <c r="E691" i="16"/>
  <c r="F691" i="16" s="1"/>
  <c r="G691" i="16" s="1"/>
  <c r="H691" i="16" s="1"/>
  <c r="X690" i="16"/>
  <c r="O690" i="16"/>
  <c r="E690" i="16"/>
  <c r="F690" i="16" s="1"/>
  <c r="G690" i="16" s="1"/>
  <c r="H690" i="16" s="1"/>
  <c r="X689" i="16"/>
  <c r="O689" i="16"/>
  <c r="E689" i="16"/>
  <c r="F689" i="16" s="1"/>
  <c r="G689" i="16" s="1"/>
  <c r="H689" i="16" s="1"/>
  <c r="X688" i="16"/>
  <c r="O688" i="16"/>
  <c r="E688" i="16"/>
  <c r="F688" i="16" s="1"/>
  <c r="G688" i="16" s="1"/>
  <c r="H688" i="16" s="1"/>
  <c r="X687" i="16"/>
  <c r="O687" i="16"/>
  <c r="E687" i="16"/>
  <c r="F687" i="16" s="1"/>
  <c r="G687" i="16" s="1"/>
  <c r="H687" i="16" s="1"/>
  <c r="X686" i="16"/>
  <c r="O686" i="16"/>
  <c r="E686" i="16"/>
  <c r="F686" i="16" s="1"/>
  <c r="G686" i="16" s="1"/>
  <c r="H686" i="16" s="1"/>
  <c r="X685" i="16"/>
  <c r="O685" i="16"/>
  <c r="E685" i="16"/>
  <c r="F685" i="16" s="1"/>
  <c r="G685" i="16" s="1"/>
  <c r="H685" i="16" s="1"/>
  <c r="X684" i="16"/>
  <c r="O684" i="16"/>
  <c r="E684" i="16"/>
  <c r="F684" i="16" s="1"/>
  <c r="G684" i="16" s="1"/>
  <c r="H684" i="16" s="1"/>
  <c r="X683" i="16"/>
  <c r="O683" i="16"/>
  <c r="E683" i="16"/>
  <c r="F683" i="16" s="1"/>
  <c r="G683" i="16" s="1"/>
  <c r="H683" i="16" s="1"/>
  <c r="X682" i="16"/>
  <c r="O682" i="16"/>
  <c r="E682" i="16"/>
  <c r="F682" i="16" s="1"/>
  <c r="G682" i="16" s="1"/>
  <c r="H682" i="16" s="1"/>
  <c r="X681" i="16"/>
  <c r="O681" i="16"/>
  <c r="E681" i="16"/>
  <c r="F681" i="16" s="1"/>
  <c r="G681" i="16" s="1"/>
  <c r="H681" i="16" s="1"/>
  <c r="X680" i="16"/>
  <c r="O680" i="16"/>
  <c r="E680" i="16"/>
  <c r="F680" i="16" s="1"/>
  <c r="G680" i="16" s="1"/>
  <c r="H680" i="16" s="1"/>
  <c r="X679" i="16"/>
  <c r="O679" i="16"/>
  <c r="E679" i="16"/>
  <c r="F679" i="16" s="1"/>
  <c r="G679" i="16" s="1"/>
  <c r="H679" i="16" s="1"/>
  <c r="X678" i="16"/>
  <c r="O678" i="16"/>
  <c r="E678" i="16"/>
  <c r="F678" i="16" s="1"/>
  <c r="G678" i="16" s="1"/>
  <c r="H678" i="16" s="1"/>
  <c r="X677" i="16"/>
  <c r="O677" i="16"/>
  <c r="E677" i="16"/>
  <c r="F677" i="16" s="1"/>
  <c r="G677" i="16" s="1"/>
  <c r="H677" i="16" s="1"/>
  <c r="X676" i="16"/>
  <c r="O676" i="16"/>
  <c r="E676" i="16"/>
  <c r="F676" i="16" s="1"/>
  <c r="G676" i="16" s="1"/>
  <c r="H676" i="16" s="1"/>
  <c r="X675" i="16"/>
  <c r="O675" i="16"/>
  <c r="E675" i="16"/>
  <c r="F675" i="16" s="1"/>
  <c r="G675" i="16" s="1"/>
  <c r="H675" i="16" s="1"/>
  <c r="X674" i="16"/>
  <c r="O674" i="16"/>
  <c r="E674" i="16"/>
  <c r="F674" i="16" s="1"/>
  <c r="G674" i="16" s="1"/>
  <c r="H674" i="16" s="1"/>
  <c r="X673" i="16"/>
  <c r="O673" i="16"/>
  <c r="E673" i="16"/>
  <c r="F673" i="16" s="1"/>
  <c r="G673" i="16" s="1"/>
  <c r="H673" i="16" s="1"/>
  <c r="X672" i="16"/>
  <c r="O672" i="16"/>
  <c r="E672" i="16"/>
  <c r="F672" i="16" s="1"/>
  <c r="G672" i="16" s="1"/>
  <c r="H672" i="16" s="1"/>
  <c r="X671" i="16"/>
  <c r="O671" i="16"/>
  <c r="E671" i="16"/>
  <c r="F671" i="16" s="1"/>
  <c r="G671" i="16" s="1"/>
  <c r="H671" i="16" s="1"/>
  <c r="X670" i="16"/>
  <c r="O670" i="16"/>
  <c r="E670" i="16"/>
  <c r="F670" i="16" s="1"/>
  <c r="G670" i="16" s="1"/>
  <c r="H670" i="16" s="1"/>
  <c r="X669" i="16"/>
  <c r="O669" i="16"/>
  <c r="E669" i="16"/>
  <c r="F669" i="16" s="1"/>
  <c r="G669" i="16" s="1"/>
  <c r="H669" i="16" s="1"/>
  <c r="AA668" i="16"/>
  <c r="X668" i="16"/>
  <c r="O668" i="16"/>
  <c r="E668" i="16"/>
  <c r="F668" i="16" s="1"/>
  <c r="G668" i="16" s="1"/>
  <c r="H668" i="16" s="1"/>
  <c r="X667" i="16"/>
  <c r="O667" i="16"/>
  <c r="E667" i="16"/>
  <c r="F667" i="16" s="1"/>
  <c r="G667" i="16" s="1"/>
  <c r="H667" i="16" s="1"/>
  <c r="X666" i="16"/>
  <c r="O666" i="16"/>
  <c r="E666" i="16"/>
  <c r="F666" i="16" s="1"/>
  <c r="G666" i="16" s="1"/>
  <c r="H666" i="16" s="1"/>
  <c r="X665" i="16"/>
  <c r="O665" i="16"/>
  <c r="E665" i="16"/>
  <c r="F665" i="16" s="1"/>
  <c r="G665" i="16" s="1"/>
  <c r="H665" i="16" s="1"/>
  <c r="X664" i="16"/>
  <c r="O664" i="16"/>
  <c r="E664" i="16"/>
  <c r="F664" i="16" s="1"/>
  <c r="G664" i="16" s="1"/>
  <c r="H664" i="16" s="1"/>
  <c r="X663" i="16"/>
  <c r="O663" i="16"/>
  <c r="E663" i="16"/>
  <c r="F663" i="16" s="1"/>
  <c r="G663" i="16" s="1"/>
  <c r="H663" i="16" s="1"/>
  <c r="X662" i="16"/>
  <c r="Y662" i="16" s="1"/>
  <c r="O662" i="16"/>
  <c r="E662" i="16"/>
  <c r="F662" i="16" s="1"/>
  <c r="G662" i="16" s="1"/>
  <c r="H662" i="16" s="1"/>
  <c r="X661" i="16"/>
  <c r="O661" i="16"/>
  <c r="E661" i="16"/>
  <c r="F661" i="16" s="1"/>
  <c r="G661" i="16" s="1"/>
  <c r="H661" i="16" s="1"/>
  <c r="X660" i="16"/>
  <c r="O660" i="16"/>
  <c r="E660" i="16"/>
  <c r="F660" i="16" s="1"/>
  <c r="G660" i="16" s="1"/>
  <c r="H660" i="16" s="1"/>
  <c r="X659" i="16"/>
  <c r="O659" i="16"/>
  <c r="E659" i="16"/>
  <c r="F659" i="16" s="1"/>
  <c r="G659" i="16" s="1"/>
  <c r="H659" i="16" s="1"/>
  <c r="X658" i="16"/>
  <c r="O658" i="16"/>
  <c r="E658" i="16"/>
  <c r="F658" i="16" s="1"/>
  <c r="G658" i="16" s="1"/>
  <c r="H658" i="16" s="1"/>
  <c r="X657" i="16"/>
  <c r="O657" i="16"/>
  <c r="E657" i="16"/>
  <c r="F657" i="16" s="1"/>
  <c r="G657" i="16" s="1"/>
  <c r="H657" i="16" s="1"/>
  <c r="X656" i="16"/>
  <c r="O656" i="16"/>
  <c r="E656" i="16"/>
  <c r="F656" i="16" s="1"/>
  <c r="G656" i="16" s="1"/>
  <c r="H656" i="16" s="1"/>
  <c r="X655" i="16"/>
  <c r="O655" i="16"/>
  <c r="E655" i="16"/>
  <c r="F655" i="16" s="1"/>
  <c r="G655" i="16" s="1"/>
  <c r="H655" i="16" s="1"/>
  <c r="X654" i="16"/>
  <c r="O654" i="16"/>
  <c r="E654" i="16"/>
  <c r="F654" i="16" s="1"/>
  <c r="G654" i="16" s="1"/>
  <c r="H654" i="16" s="1"/>
  <c r="X653" i="16"/>
  <c r="O653" i="16"/>
  <c r="E653" i="16"/>
  <c r="F653" i="16" s="1"/>
  <c r="G653" i="16" s="1"/>
  <c r="H653" i="16" s="1"/>
  <c r="X652" i="16"/>
  <c r="O652" i="16"/>
  <c r="E652" i="16"/>
  <c r="F652" i="16" s="1"/>
  <c r="G652" i="16" s="1"/>
  <c r="H652" i="16" s="1"/>
  <c r="X651" i="16"/>
  <c r="O651" i="16"/>
  <c r="E651" i="16"/>
  <c r="F651" i="16" s="1"/>
  <c r="G651" i="16" s="1"/>
  <c r="H651" i="16" s="1"/>
  <c r="X650" i="16"/>
  <c r="O650" i="16"/>
  <c r="E650" i="16"/>
  <c r="F650" i="16" s="1"/>
  <c r="G650" i="16" s="1"/>
  <c r="H650" i="16" s="1"/>
  <c r="X649" i="16"/>
  <c r="O649" i="16"/>
  <c r="E649" i="16"/>
  <c r="F649" i="16" s="1"/>
  <c r="G649" i="16" s="1"/>
  <c r="H649" i="16" s="1"/>
  <c r="X648" i="16"/>
  <c r="O648" i="16"/>
  <c r="E648" i="16"/>
  <c r="F648" i="16" s="1"/>
  <c r="G648" i="16" s="1"/>
  <c r="H648" i="16" s="1"/>
  <c r="X647" i="16"/>
  <c r="O647" i="16"/>
  <c r="E647" i="16"/>
  <c r="F647" i="16" s="1"/>
  <c r="G647" i="16" s="1"/>
  <c r="H647" i="16" s="1"/>
  <c r="X646" i="16"/>
  <c r="O646" i="16"/>
  <c r="E646" i="16"/>
  <c r="F646" i="16" s="1"/>
  <c r="G646" i="16" s="1"/>
  <c r="H646" i="16" s="1"/>
  <c r="X645" i="16"/>
  <c r="O645" i="16"/>
  <c r="E645" i="16"/>
  <c r="F645" i="16" s="1"/>
  <c r="G645" i="16" s="1"/>
  <c r="H645" i="16" s="1"/>
  <c r="X644" i="16"/>
  <c r="O644" i="16"/>
  <c r="E644" i="16"/>
  <c r="F644" i="16" s="1"/>
  <c r="G644" i="16" s="1"/>
  <c r="H644" i="16" s="1"/>
  <c r="X643" i="16"/>
  <c r="O643" i="16"/>
  <c r="E643" i="16"/>
  <c r="F643" i="16" s="1"/>
  <c r="G643" i="16" s="1"/>
  <c r="H643" i="16" s="1"/>
  <c r="X642" i="16"/>
  <c r="O642" i="16"/>
  <c r="E642" i="16"/>
  <c r="F642" i="16" s="1"/>
  <c r="G642" i="16" s="1"/>
  <c r="H642" i="16" s="1"/>
  <c r="X641" i="16"/>
  <c r="O641" i="16"/>
  <c r="E641" i="16"/>
  <c r="F641" i="16" s="1"/>
  <c r="G641" i="16" s="1"/>
  <c r="H641" i="16" s="1"/>
  <c r="X640" i="16"/>
  <c r="O640" i="16"/>
  <c r="E640" i="16"/>
  <c r="F640" i="16" s="1"/>
  <c r="G640" i="16" s="1"/>
  <c r="H640" i="16" s="1"/>
  <c r="X639" i="16"/>
  <c r="O639" i="16"/>
  <c r="E639" i="16"/>
  <c r="F639" i="16" s="1"/>
  <c r="G639" i="16" s="1"/>
  <c r="H639" i="16" s="1"/>
  <c r="X638" i="16"/>
  <c r="O638" i="16"/>
  <c r="E638" i="16"/>
  <c r="F638" i="16" s="1"/>
  <c r="G638" i="16" s="1"/>
  <c r="H638" i="16" s="1"/>
  <c r="X637" i="16"/>
  <c r="O637" i="16"/>
  <c r="E637" i="16"/>
  <c r="F637" i="16" s="1"/>
  <c r="G637" i="16" s="1"/>
  <c r="H637" i="16" s="1"/>
  <c r="X636" i="16"/>
  <c r="O636" i="16"/>
  <c r="E636" i="16"/>
  <c r="F636" i="16" s="1"/>
  <c r="G636" i="16" s="1"/>
  <c r="H636" i="16" s="1"/>
  <c r="X635" i="16"/>
  <c r="O635" i="16"/>
  <c r="E635" i="16"/>
  <c r="F635" i="16" s="1"/>
  <c r="G635" i="16" s="1"/>
  <c r="H635" i="16" s="1"/>
  <c r="X634" i="16"/>
  <c r="O634" i="16"/>
  <c r="E634" i="16"/>
  <c r="F634" i="16" s="1"/>
  <c r="G634" i="16" s="1"/>
  <c r="H634" i="16" s="1"/>
  <c r="X633" i="16"/>
  <c r="O633" i="16"/>
  <c r="E633" i="16"/>
  <c r="F633" i="16" s="1"/>
  <c r="G633" i="16" s="1"/>
  <c r="H633" i="16" s="1"/>
  <c r="X632" i="16"/>
  <c r="O632" i="16"/>
  <c r="E632" i="16"/>
  <c r="F632" i="16" s="1"/>
  <c r="G632" i="16" s="1"/>
  <c r="H632" i="16" s="1"/>
  <c r="X631" i="16"/>
  <c r="O631" i="16"/>
  <c r="E631" i="16"/>
  <c r="F631" i="16" s="1"/>
  <c r="G631" i="16" s="1"/>
  <c r="H631" i="16" s="1"/>
  <c r="X630" i="16"/>
  <c r="O630" i="16"/>
  <c r="E630" i="16"/>
  <c r="F630" i="16" s="1"/>
  <c r="G630" i="16" s="1"/>
  <c r="H630" i="16" s="1"/>
  <c r="X629" i="16"/>
  <c r="O629" i="16"/>
  <c r="E629" i="16"/>
  <c r="F629" i="16" s="1"/>
  <c r="G629" i="16" s="1"/>
  <c r="H629" i="16" s="1"/>
  <c r="X628" i="16"/>
  <c r="O628" i="16"/>
  <c r="E628" i="16"/>
  <c r="F628" i="16" s="1"/>
  <c r="G628" i="16" s="1"/>
  <c r="H628" i="16" s="1"/>
  <c r="X627" i="16"/>
  <c r="O627" i="16"/>
  <c r="E627" i="16"/>
  <c r="F627" i="16" s="1"/>
  <c r="G627" i="16" s="1"/>
  <c r="H627" i="16" s="1"/>
  <c r="X626" i="16"/>
  <c r="O626" i="16"/>
  <c r="E626" i="16"/>
  <c r="F626" i="16" s="1"/>
  <c r="G626" i="16" s="1"/>
  <c r="H626" i="16" s="1"/>
  <c r="X625" i="16"/>
  <c r="O625" i="16"/>
  <c r="E625" i="16"/>
  <c r="F625" i="16" s="1"/>
  <c r="G625" i="16" s="1"/>
  <c r="H625" i="16" s="1"/>
  <c r="X624" i="16"/>
  <c r="O624" i="16"/>
  <c r="E624" i="16"/>
  <c r="F624" i="16" s="1"/>
  <c r="G624" i="16" s="1"/>
  <c r="H624" i="16" s="1"/>
  <c r="X623" i="16"/>
  <c r="O623" i="16"/>
  <c r="E623" i="16"/>
  <c r="F623" i="16" s="1"/>
  <c r="G623" i="16" s="1"/>
  <c r="H623" i="16" s="1"/>
  <c r="X622" i="16"/>
  <c r="O622" i="16"/>
  <c r="E622" i="16"/>
  <c r="F622" i="16" s="1"/>
  <c r="G622" i="16" s="1"/>
  <c r="H622" i="16" s="1"/>
  <c r="X621" i="16"/>
  <c r="O621" i="16"/>
  <c r="E621" i="16"/>
  <c r="F621" i="16" s="1"/>
  <c r="G621" i="16" s="1"/>
  <c r="H621" i="16" s="1"/>
  <c r="AA620" i="16"/>
  <c r="X620" i="16"/>
  <c r="O620" i="16"/>
  <c r="E620" i="16"/>
  <c r="F620" i="16" s="1"/>
  <c r="G620" i="16" s="1"/>
  <c r="H620" i="16" s="1"/>
  <c r="X619" i="16"/>
  <c r="O619" i="16"/>
  <c r="E619" i="16"/>
  <c r="F619" i="16" s="1"/>
  <c r="G619" i="16" s="1"/>
  <c r="H619" i="16" s="1"/>
  <c r="X618" i="16"/>
  <c r="O618" i="16"/>
  <c r="E618" i="16"/>
  <c r="F618" i="16" s="1"/>
  <c r="G618" i="16" s="1"/>
  <c r="H618" i="16" s="1"/>
  <c r="X617" i="16"/>
  <c r="O617" i="16"/>
  <c r="E617" i="16"/>
  <c r="F617" i="16" s="1"/>
  <c r="G617" i="16" s="1"/>
  <c r="H617" i="16" s="1"/>
  <c r="X616" i="16"/>
  <c r="O616" i="16"/>
  <c r="E616" i="16"/>
  <c r="F616" i="16" s="1"/>
  <c r="G616" i="16" s="1"/>
  <c r="H616" i="16" s="1"/>
  <c r="X615" i="16"/>
  <c r="O615" i="16"/>
  <c r="E615" i="16"/>
  <c r="F615" i="16" s="1"/>
  <c r="G615" i="16" s="1"/>
  <c r="H615" i="16" s="1"/>
  <c r="X614" i="16"/>
  <c r="O614" i="16"/>
  <c r="E614" i="16"/>
  <c r="F614" i="16" s="1"/>
  <c r="G614" i="16" s="1"/>
  <c r="H614" i="16" s="1"/>
  <c r="X613" i="16"/>
  <c r="O613" i="16"/>
  <c r="E613" i="16"/>
  <c r="F613" i="16" s="1"/>
  <c r="G613" i="16" s="1"/>
  <c r="H613" i="16" s="1"/>
  <c r="X612" i="16"/>
  <c r="O612" i="16"/>
  <c r="E612" i="16"/>
  <c r="F612" i="16" s="1"/>
  <c r="G612" i="16" s="1"/>
  <c r="H612" i="16" s="1"/>
  <c r="X611" i="16"/>
  <c r="O611" i="16"/>
  <c r="E611" i="16"/>
  <c r="F611" i="16" s="1"/>
  <c r="G611" i="16" s="1"/>
  <c r="H611" i="16" s="1"/>
  <c r="X610" i="16"/>
  <c r="O610" i="16"/>
  <c r="E610" i="16"/>
  <c r="F610" i="16" s="1"/>
  <c r="G610" i="16" s="1"/>
  <c r="H610" i="16" s="1"/>
  <c r="X609" i="16"/>
  <c r="O609" i="16"/>
  <c r="E609" i="16"/>
  <c r="F609" i="16" s="1"/>
  <c r="G609" i="16" s="1"/>
  <c r="H609" i="16" s="1"/>
  <c r="X608" i="16"/>
  <c r="O608" i="16"/>
  <c r="E608" i="16"/>
  <c r="F608" i="16" s="1"/>
  <c r="G608" i="16" s="1"/>
  <c r="H608" i="16" s="1"/>
  <c r="X607" i="16"/>
  <c r="O607" i="16"/>
  <c r="E607" i="16"/>
  <c r="F607" i="16" s="1"/>
  <c r="G607" i="16" s="1"/>
  <c r="H607" i="16" s="1"/>
  <c r="X606" i="16"/>
  <c r="O606" i="16"/>
  <c r="E606" i="16"/>
  <c r="F606" i="16" s="1"/>
  <c r="G606" i="16" s="1"/>
  <c r="H606" i="16" s="1"/>
  <c r="X605" i="16"/>
  <c r="O605" i="16"/>
  <c r="E605" i="16"/>
  <c r="F605" i="16" s="1"/>
  <c r="G605" i="16" s="1"/>
  <c r="H605" i="16" s="1"/>
  <c r="X604" i="16"/>
  <c r="O604" i="16"/>
  <c r="E604" i="16"/>
  <c r="F604" i="16" s="1"/>
  <c r="G604" i="16" s="1"/>
  <c r="H604" i="16" s="1"/>
  <c r="X603" i="16"/>
  <c r="O603" i="16"/>
  <c r="E603" i="16"/>
  <c r="F603" i="16" s="1"/>
  <c r="G603" i="16" s="1"/>
  <c r="H603" i="16" s="1"/>
  <c r="X602" i="16"/>
  <c r="O602" i="16"/>
  <c r="E602" i="16"/>
  <c r="F602" i="16" s="1"/>
  <c r="G602" i="16" s="1"/>
  <c r="H602" i="16" s="1"/>
  <c r="X601" i="16"/>
  <c r="O601" i="16"/>
  <c r="E601" i="16"/>
  <c r="F601" i="16" s="1"/>
  <c r="G601" i="16" s="1"/>
  <c r="H601" i="16" s="1"/>
  <c r="X600" i="16"/>
  <c r="O600" i="16"/>
  <c r="E600" i="16"/>
  <c r="F600" i="16" s="1"/>
  <c r="G600" i="16" s="1"/>
  <c r="H600" i="16" s="1"/>
  <c r="X599" i="16"/>
  <c r="O599" i="16"/>
  <c r="E599" i="16"/>
  <c r="F599" i="16" s="1"/>
  <c r="G599" i="16" s="1"/>
  <c r="H599" i="16" s="1"/>
  <c r="X598" i="16"/>
  <c r="O598" i="16"/>
  <c r="E598" i="16"/>
  <c r="F598" i="16" s="1"/>
  <c r="G598" i="16" s="1"/>
  <c r="H598" i="16" s="1"/>
  <c r="X597" i="16"/>
  <c r="O597" i="16"/>
  <c r="E597" i="16"/>
  <c r="F597" i="16" s="1"/>
  <c r="G597" i="16" s="1"/>
  <c r="H597" i="16" s="1"/>
  <c r="X596" i="16"/>
  <c r="O596" i="16"/>
  <c r="E596" i="16"/>
  <c r="F596" i="16" s="1"/>
  <c r="G596" i="16" s="1"/>
  <c r="H596" i="16" s="1"/>
  <c r="X595" i="16"/>
  <c r="O595" i="16"/>
  <c r="E595" i="16"/>
  <c r="F595" i="16" s="1"/>
  <c r="G595" i="16" s="1"/>
  <c r="H595" i="16" s="1"/>
  <c r="X594" i="16"/>
  <c r="O594" i="16"/>
  <c r="E594" i="16"/>
  <c r="F594" i="16" s="1"/>
  <c r="G594" i="16" s="1"/>
  <c r="H594" i="16" s="1"/>
  <c r="X593" i="16"/>
  <c r="O593" i="16"/>
  <c r="E593" i="16"/>
  <c r="F593" i="16" s="1"/>
  <c r="G593" i="16" s="1"/>
  <c r="H593" i="16" s="1"/>
  <c r="X592" i="16"/>
  <c r="O592" i="16"/>
  <c r="E592" i="16"/>
  <c r="F592" i="16" s="1"/>
  <c r="G592" i="16" s="1"/>
  <c r="H592" i="16" s="1"/>
  <c r="X591" i="16"/>
  <c r="O591" i="16"/>
  <c r="E591" i="16"/>
  <c r="F591" i="16" s="1"/>
  <c r="G591" i="16" s="1"/>
  <c r="H591" i="16" s="1"/>
  <c r="X590" i="16"/>
  <c r="O590" i="16"/>
  <c r="E590" i="16"/>
  <c r="F590" i="16" s="1"/>
  <c r="G590" i="16" s="1"/>
  <c r="H590" i="16" s="1"/>
  <c r="X589" i="16"/>
  <c r="O589" i="16"/>
  <c r="E589" i="16"/>
  <c r="F589" i="16" s="1"/>
  <c r="G589" i="16" s="1"/>
  <c r="H589" i="16" s="1"/>
  <c r="X588" i="16"/>
  <c r="O588" i="16"/>
  <c r="E588" i="16"/>
  <c r="F588" i="16" s="1"/>
  <c r="G588" i="16" s="1"/>
  <c r="H588" i="16" s="1"/>
  <c r="X587" i="16"/>
  <c r="O587" i="16"/>
  <c r="E587" i="16"/>
  <c r="F587" i="16" s="1"/>
  <c r="G587" i="16" s="1"/>
  <c r="H587" i="16" s="1"/>
  <c r="X586" i="16"/>
  <c r="O586" i="16"/>
  <c r="E586" i="16"/>
  <c r="F586" i="16" s="1"/>
  <c r="G586" i="16" s="1"/>
  <c r="H586" i="16" s="1"/>
  <c r="X585" i="16"/>
  <c r="O585" i="16"/>
  <c r="E585" i="16"/>
  <c r="F585" i="16" s="1"/>
  <c r="G585" i="16" s="1"/>
  <c r="H585" i="16" s="1"/>
  <c r="X584" i="16"/>
  <c r="O584" i="16"/>
  <c r="E584" i="16"/>
  <c r="F584" i="16" s="1"/>
  <c r="G584" i="16" s="1"/>
  <c r="H584" i="16" s="1"/>
  <c r="X583" i="16"/>
  <c r="O583" i="16"/>
  <c r="E583" i="16"/>
  <c r="F583" i="16" s="1"/>
  <c r="G583" i="16" s="1"/>
  <c r="H583" i="16" s="1"/>
  <c r="X582" i="16"/>
  <c r="O582" i="16"/>
  <c r="E582" i="16"/>
  <c r="F582" i="16" s="1"/>
  <c r="G582" i="16" s="1"/>
  <c r="H582" i="16" s="1"/>
  <c r="X581" i="16"/>
  <c r="O581" i="16"/>
  <c r="E581" i="16"/>
  <c r="F581" i="16" s="1"/>
  <c r="G581" i="16" s="1"/>
  <c r="H581" i="16" s="1"/>
  <c r="X580" i="16"/>
  <c r="O580" i="16"/>
  <c r="E580" i="16"/>
  <c r="F580" i="16" s="1"/>
  <c r="G580" i="16" s="1"/>
  <c r="H580" i="16" s="1"/>
  <c r="X579" i="16"/>
  <c r="O579" i="16"/>
  <c r="E579" i="16"/>
  <c r="F579" i="16" s="1"/>
  <c r="G579" i="16" s="1"/>
  <c r="H579" i="16" s="1"/>
  <c r="X578" i="16"/>
  <c r="O578" i="16"/>
  <c r="E578" i="16"/>
  <c r="F578" i="16" s="1"/>
  <c r="G578" i="16" s="1"/>
  <c r="H578" i="16" s="1"/>
  <c r="X577" i="16"/>
  <c r="O577" i="16"/>
  <c r="E577" i="16"/>
  <c r="F577" i="16" s="1"/>
  <c r="G577" i="16" s="1"/>
  <c r="H577" i="16" s="1"/>
  <c r="X576" i="16"/>
  <c r="O576" i="16"/>
  <c r="E576" i="16"/>
  <c r="F576" i="16" s="1"/>
  <c r="G576" i="16" s="1"/>
  <c r="H576" i="16" s="1"/>
  <c r="X575" i="16"/>
  <c r="O575" i="16"/>
  <c r="E575" i="16"/>
  <c r="F575" i="16" s="1"/>
  <c r="G575" i="16" s="1"/>
  <c r="H575" i="16" s="1"/>
  <c r="X574" i="16"/>
  <c r="O574" i="16"/>
  <c r="E574" i="16"/>
  <c r="F574" i="16" s="1"/>
  <c r="G574" i="16" s="1"/>
  <c r="H574" i="16" s="1"/>
  <c r="X573" i="16"/>
  <c r="O573" i="16"/>
  <c r="E573" i="16"/>
  <c r="F573" i="16" s="1"/>
  <c r="G573" i="16" s="1"/>
  <c r="H573" i="16" s="1"/>
  <c r="X572" i="16"/>
  <c r="O572" i="16"/>
  <c r="E572" i="16"/>
  <c r="F572" i="16" s="1"/>
  <c r="G572" i="16" s="1"/>
  <c r="H572" i="16" s="1"/>
  <c r="X571" i="16"/>
  <c r="Y571" i="16" s="1"/>
  <c r="O571" i="16"/>
  <c r="E571" i="16"/>
  <c r="F571" i="16" s="1"/>
  <c r="G571" i="16" s="1"/>
  <c r="H571" i="16" s="1"/>
  <c r="X570" i="16"/>
  <c r="O570" i="16"/>
  <c r="E570" i="16"/>
  <c r="F570" i="16" s="1"/>
  <c r="G570" i="16" s="1"/>
  <c r="H570" i="16" s="1"/>
  <c r="X569" i="16"/>
  <c r="O569" i="16"/>
  <c r="E569" i="16"/>
  <c r="F569" i="16" s="1"/>
  <c r="G569" i="16" s="1"/>
  <c r="H569" i="16" s="1"/>
  <c r="X568" i="16"/>
  <c r="O568" i="16"/>
  <c r="E568" i="16"/>
  <c r="F568" i="16" s="1"/>
  <c r="G568" i="16" s="1"/>
  <c r="H568" i="16" s="1"/>
  <c r="X567" i="16"/>
  <c r="O567" i="16"/>
  <c r="E567" i="16"/>
  <c r="F567" i="16" s="1"/>
  <c r="G567" i="16" s="1"/>
  <c r="H567" i="16" s="1"/>
  <c r="X566" i="16"/>
  <c r="O566" i="16"/>
  <c r="E566" i="16"/>
  <c r="F566" i="16" s="1"/>
  <c r="G566" i="16" s="1"/>
  <c r="H566" i="16" s="1"/>
  <c r="X565" i="16"/>
  <c r="O565" i="16"/>
  <c r="E565" i="16"/>
  <c r="F565" i="16" s="1"/>
  <c r="G565" i="16" s="1"/>
  <c r="H565" i="16" s="1"/>
  <c r="X564" i="16"/>
  <c r="O564" i="16"/>
  <c r="E564" i="16"/>
  <c r="F564" i="16" s="1"/>
  <c r="G564" i="16" s="1"/>
  <c r="H564" i="16" s="1"/>
  <c r="X563" i="16"/>
  <c r="O563" i="16"/>
  <c r="E563" i="16"/>
  <c r="F563" i="16" s="1"/>
  <c r="G563" i="16" s="1"/>
  <c r="H563" i="16" s="1"/>
  <c r="X562" i="16"/>
  <c r="O562" i="16"/>
  <c r="E562" i="16"/>
  <c r="F562" i="16" s="1"/>
  <c r="G562" i="16" s="1"/>
  <c r="H562" i="16" s="1"/>
  <c r="X561" i="16"/>
  <c r="O561" i="16"/>
  <c r="E561" i="16"/>
  <c r="F561" i="16" s="1"/>
  <c r="G561" i="16" s="1"/>
  <c r="H561" i="16" s="1"/>
  <c r="X560" i="16"/>
  <c r="O560" i="16"/>
  <c r="E560" i="16"/>
  <c r="F560" i="16" s="1"/>
  <c r="G560" i="16" s="1"/>
  <c r="H560" i="16" s="1"/>
  <c r="X559" i="16"/>
  <c r="O559" i="16"/>
  <c r="E559" i="16"/>
  <c r="F559" i="16" s="1"/>
  <c r="G559" i="16" s="1"/>
  <c r="H559" i="16" s="1"/>
  <c r="X558" i="16"/>
  <c r="O558" i="16"/>
  <c r="E558" i="16"/>
  <c r="F558" i="16" s="1"/>
  <c r="G558" i="16" s="1"/>
  <c r="H558" i="16" s="1"/>
  <c r="X557" i="16"/>
  <c r="O557" i="16"/>
  <c r="E557" i="16"/>
  <c r="F557" i="16" s="1"/>
  <c r="G557" i="16" s="1"/>
  <c r="H557" i="16" s="1"/>
  <c r="X556" i="16"/>
  <c r="O556" i="16"/>
  <c r="E556" i="16"/>
  <c r="F556" i="16" s="1"/>
  <c r="G556" i="16" s="1"/>
  <c r="H556" i="16" s="1"/>
  <c r="X555" i="16"/>
  <c r="O555" i="16"/>
  <c r="E555" i="16"/>
  <c r="F555" i="16" s="1"/>
  <c r="G555" i="16" s="1"/>
  <c r="H555" i="16" s="1"/>
  <c r="X554" i="16"/>
  <c r="O554" i="16"/>
  <c r="E554" i="16"/>
  <c r="F554" i="16" s="1"/>
  <c r="G554" i="16" s="1"/>
  <c r="H554" i="16" s="1"/>
  <c r="X553" i="16"/>
  <c r="O553" i="16"/>
  <c r="E553" i="16"/>
  <c r="F553" i="16" s="1"/>
  <c r="G553" i="16" s="1"/>
  <c r="H553" i="16" s="1"/>
  <c r="X552" i="16"/>
  <c r="O552" i="16"/>
  <c r="E552" i="16"/>
  <c r="F552" i="16" s="1"/>
  <c r="G552" i="16" s="1"/>
  <c r="H552" i="16" s="1"/>
  <c r="X551" i="16"/>
  <c r="O551" i="16"/>
  <c r="E551" i="16"/>
  <c r="F551" i="16" s="1"/>
  <c r="G551" i="16" s="1"/>
  <c r="H551" i="16" s="1"/>
  <c r="X550" i="16"/>
  <c r="O550" i="16"/>
  <c r="E550" i="16"/>
  <c r="F550" i="16" s="1"/>
  <c r="G550" i="16" s="1"/>
  <c r="H550" i="16" s="1"/>
  <c r="X549" i="16"/>
  <c r="O549" i="16"/>
  <c r="E549" i="16"/>
  <c r="F549" i="16" s="1"/>
  <c r="G549" i="16" s="1"/>
  <c r="H549" i="16" s="1"/>
  <c r="X548" i="16"/>
  <c r="O548" i="16"/>
  <c r="E548" i="16"/>
  <c r="F548" i="16" s="1"/>
  <c r="G548" i="16" s="1"/>
  <c r="H548" i="16" s="1"/>
  <c r="X547" i="16"/>
  <c r="O547" i="16"/>
  <c r="E547" i="16"/>
  <c r="F547" i="16" s="1"/>
  <c r="G547" i="16" s="1"/>
  <c r="H547" i="16" s="1"/>
  <c r="X546" i="16"/>
  <c r="O546" i="16"/>
  <c r="E546" i="16"/>
  <c r="F546" i="16" s="1"/>
  <c r="G546" i="16" s="1"/>
  <c r="H546" i="16" s="1"/>
  <c r="X545" i="16"/>
  <c r="O545" i="16"/>
  <c r="E545" i="16"/>
  <c r="F545" i="16" s="1"/>
  <c r="G545" i="16" s="1"/>
  <c r="H545" i="16" s="1"/>
  <c r="X544" i="16"/>
  <c r="O544" i="16"/>
  <c r="E544" i="16"/>
  <c r="F544" i="16" s="1"/>
  <c r="G544" i="16" s="1"/>
  <c r="H544" i="16" s="1"/>
  <c r="X543" i="16"/>
  <c r="O543" i="16"/>
  <c r="E543" i="16"/>
  <c r="F543" i="16" s="1"/>
  <c r="G543" i="16" s="1"/>
  <c r="H543" i="16" s="1"/>
  <c r="X542" i="16"/>
  <c r="O542" i="16"/>
  <c r="E542" i="16"/>
  <c r="F542" i="16" s="1"/>
  <c r="G542" i="16" s="1"/>
  <c r="H542" i="16" s="1"/>
  <c r="X541" i="16"/>
  <c r="O541" i="16"/>
  <c r="E541" i="16"/>
  <c r="F541" i="16" s="1"/>
  <c r="G541" i="16" s="1"/>
  <c r="H541" i="16" s="1"/>
  <c r="X540" i="16"/>
  <c r="Z540" i="16" s="1"/>
  <c r="O540" i="16"/>
  <c r="E540" i="16"/>
  <c r="F540" i="16" s="1"/>
  <c r="G540" i="16" s="1"/>
  <c r="H540" i="16" s="1"/>
  <c r="X539" i="16"/>
  <c r="O539" i="16"/>
  <c r="E539" i="16"/>
  <c r="F539" i="16" s="1"/>
  <c r="G539" i="16" s="1"/>
  <c r="H539" i="16" s="1"/>
  <c r="X538" i="16"/>
  <c r="O538" i="16"/>
  <c r="E538" i="16"/>
  <c r="F538" i="16" s="1"/>
  <c r="G538" i="16" s="1"/>
  <c r="H538" i="16" s="1"/>
  <c r="X537" i="16"/>
  <c r="O537" i="16"/>
  <c r="E537" i="16"/>
  <c r="F537" i="16" s="1"/>
  <c r="G537" i="16" s="1"/>
  <c r="H537" i="16" s="1"/>
  <c r="X536" i="16"/>
  <c r="O536" i="16"/>
  <c r="E536" i="16"/>
  <c r="F536" i="16" s="1"/>
  <c r="G536" i="16" s="1"/>
  <c r="H536" i="16" s="1"/>
  <c r="X535" i="16"/>
  <c r="O535" i="16"/>
  <c r="E535" i="16"/>
  <c r="F535" i="16" s="1"/>
  <c r="G535" i="16" s="1"/>
  <c r="H535" i="16" s="1"/>
  <c r="X534" i="16"/>
  <c r="O534" i="16"/>
  <c r="E534" i="16"/>
  <c r="F534" i="16" s="1"/>
  <c r="G534" i="16" s="1"/>
  <c r="H534" i="16" s="1"/>
  <c r="X533" i="16"/>
  <c r="O533" i="16"/>
  <c r="E533" i="16"/>
  <c r="F533" i="16" s="1"/>
  <c r="G533" i="16" s="1"/>
  <c r="H533" i="16" s="1"/>
  <c r="X532" i="16"/>
  <c r="O532" i="16"/>
  <c r="E532" i="16"/>
  <c r="F532" i="16" s="1"/>
  <c r="G532" i="16" s="1"/>
  <c r="H532" i="16" s="1"/>
  <c r="X531" i="16"/>
  <c r="O531" i="16"/>
  <c r="E531" i="16"/>
  <c r="F531" i="16" s="1"/>
  <c r="G531" i="16" s="1"/>
  <c r="H531" i="16" s="1"/>
  <c r="X530" i="16"/>
  <c r="O530" i="16"/>
  <c r="E530" i="16"/>
  <c r="F530" i="16" s="1"/>
  <c r="G530" i="16" s="1"/>
  <c r="H530" i="16" s="1"/>
  <c r="X529" i="16"/>
  <c r="O529" i="16"/>
  <c r="E529" i="16"/>
  <c r="F529" i="16" s="1"/>
  <c r="G529" i="16" s="1"/>
  <c r="H529" i="16" s="1"/>
  <c r="X528" i="16"/>
  <c r="O528" i="16"/>
  <c r="E528" i="16"/>
  <c r="F528" i="16" s="1"/>
  <c r="G528" i="16" s="1"/>
  <c r="H528" i="16" s="1"/>
  <c r="X527" i="16"/>
  <c r="O527" i="16"/>
  <c r="E527" i="16"/>
  <c r="F527" i="16" s="1"/>
  <c r="G527" i="16" s="1"/>
  <c r="H527" i="16" s="1"/>
  <c r="X526" i="16"/>
  <c r="O526" i="16"/>
  <c r="E526" i="16"/>
  <c r="F526" i="16" s="1"/>
  <c r="G526" i="16" s="1"/>
  <c r="H526" i="16" s="1"/>
  <c r="X525" i="16"/>
  <c r="O525" i="16"/>
  <c r="E525" i="16"/>
  <c r="F525" i="16" s="1"/>
  <c r="G525" i="16" s="1"/>
  <c r="H525" i="16" s="1"/>
  <c r="X524" i="16"/>
  <c r="O524" i="16"/>
  <c r="E524" i="16"/>
  <c r="F524" i="16" s="1"/>
  <c r="G524" i="16" s="1"/>
  <c r="H524" i="16" s="1"/>
  <c r="X523" i="16"/>
  <c r="O523" i="16"/>
  <c r="E523" i="16"/>
  <c r="F523" i="16" s="1"/>
  <c r="G523" i="16" s="1"/>
  <c r="H523" i="16" s="1"/>
  <c r="X522" i="16"/>
  <c r="O522" i="16"/>
  <c r="E522" i="16"/>
  <c r="F522" i="16" s="1"/>
  <c r="G522" i="16" s="1"/>
  <c r="H522" i="16" s="1"/>
  <c r="X521" i="16"/>
  <c r="O521" i="16"/>
  <c r="E521" i="16"/>
  <c r="F521" i="16" s="1"/>
  <c r="G521" i="16" s="1"/>
  <c r="H521" i="16" s="1"/>
  <c r="X520" i="16"/>
  <c r="O520" i="16"/>
  <c r="E520" i="16"/>
  <c r="F520" i="16" s="1"/>
  <c r="G520" i="16" s="1"/>
  <c r="H520" i="16" s="1"/>
  <c r="X519" i="16"/>
  <c r="O519" i="16"/>
  <c r="E519" i="16"/>
  <c r="F519" i="16" s="1"/>
  <c r="G519" i="16" s="1"/>
  <c r="H519" i="16" s="1"/>
  <c r="X518" i="16"/>
  <c r="O518" i="16"/>
  <c r="E518" i="16"/>
  <c r="F518" i="16" s="1"/>
  <c r="G518" i="16" s="1"/>
  <c r="H518" i="16" s="1"/>
  <c r="X517" i="16"/>
  <c r="O517" i="16"/>
  <c r="E517" i="16"/>
  <c r="F517" i="16" s="1"/>
  <c r="G517" i="16" s="1"/>
  <c r="H517" i="16" s="1"/>
  <c r="X516" i="16"/>
  <c r="O516" i="16"/>
  <c r="E516" i="16"/>
  <c r="F516" i="16" s="1"/>
  <c r="G516" i="16" s="1"/>
  <c r="H516" i="16" s="1"/>
  <c r="X515" i="16"/>
  <c r="O515" i="16"/>
  <c r="E515" i="16"/>
  <c r="F515" i="16" s="1"/>
  <c r="G515" i="16" s="1"/>
  <c r="H515" i="16" s="1"/>
  <c r="X514" i="16"/>
  <c r="O514" i="16"/>
  <c r="E514" i="16"/>
  <c r="F514" i="16" s="1"/>
  <c r="G514" i="16" s="1"/>
  <c r="H514" i="16" s="1"/>
  <c r="X513" i="16"/>
  <c r="O513" i="16"/>
  <c r="E513" i="16"/>
  <c r="F513" i="16" s="1"/>
  <c r="G513" i="16" s="1"/>
  <c r="H513" i="16" s="1"/>
  <c r="X512" i="16"/>
  <c r="O512" i="16"/>
  <c r="E512" i="16"/>
  <c r="F512" i="16" s="1"/>
  <c r="G512" i="16" s="1"/>
  <c r="H512" i="16" s="1"/>
  <c r="X511" i="16"/>
  <c r="O511" i="16"/>
  <c r="E511" i="16"/>
  <c r="F511" i="16" s="1"/>
  <c r="G511" i="16" s="1"/>
  <c r="H511" i="16" s="1"/>
  <c r="X510" i="16"/>
  <c r="O510" i="16"/>
  <c r="E510" i="16"/>
  <c r="F510" i="16" s="1"/>
  <c r="G510" i="16" s="1"/>
  <c r="H510" i="16" s="1"/>
  <c r="X509" i="16"/>
  <c r="O509" i="16"/>
  <c r="E509" i="16"/>
  <c r="F509" i="16" s="1"/>
  <c r="G509" i="16" s="1"/>
  <c r="H509" i="16" s="1"/>
  <c r="X508" i="16"/>
  <c r="O508" i="16"/>
  <c r="E508" i="16"/>
  <c r="F508" i="16" s="1"/>
  <c r="G508" i="16" s="1"/>
  <c r="H508" i="16" s="1"/>
  <c r="X507" i="16"/>
  <c r="O507" i="16"/>
  <c r="E507" i="16"/>
  <c r="F507" i="16" s="1"/>
  <c r="G507" i="16" s="1"/>
  <c r="H507" i="16" s="1"/>
  <c r="X506" i="16"/>
  <c r="O506" i="16"/>
  <c r="E506" i="16"/>
  <c r="F506" i="16" s="1"/>
  <c r="G506" i="16" s="1"/>
  <c r="H506" i="16" s="1"/>
  <c r="X505" i="16"/>
  <c r="O505" i="16"/>
  <c r="E505" i="16"/>
  <c r="F505" i="16" s="1"/>
  <c r="G505" i="16" s="1"/>
  <c r="H505" i="16" s="1"/>
  <c r="X504" i="16"/>
  <c r="O504" i="16"/>
  <c r="E504" i="16"/>
  <c r="F504" i="16" s="1"/>
  <c r="G504" i="16" s="1"/>
  <c r="H504" i="16" s="1"/>
  <c r="X503" i="16"/>
  <c r="O503" i="16"/>
  <c r="E503" i="16"/>
  <c r="F503" i="16" s="1"/>
  <c r="G503" i="16" s="1"/>
  <c r="H503" i="16" s="1"/>
  <c r="X502" i="16"/>
  <c r="O502" i="16"/>
  <c r="E502" i="16"/>
  <c r="F502" i="16" s="1"/>
  <c r="G502" i="16" s="1"/>
  <c r="H502" i="16" s="1"/>
  <c r="X501" i="16"/>
  <c r="Y501" i="16" s="1"/>
  <c r="O501" i="16"/>
  <c r="E501" i="16"/>
  <c r="F501" i="16" s="1"/>
  <c r="G501" i="16" s="1"/>
  <c r="H501" i="16" s="1"/>
  <c r="X500" i="16"/>
  <c r="O500" i="16"/>
  <c r="E500" i="16"/>
  <c r="F500" i="16" s="1"/>
  <c r="G500" i="16" s="1"/>
  <c r="H500" i="16" s="1"/>
  <c r="X499" i="16"/>
  <c r="Y499" i="16" s="1"/>
  <c r="O499" i="16"/>
  <c r="E499" i="16"/>
  <c r="F499" i="16" s="1"/>
  <c r="G499" i="16" s="1"/>
  <c r="H499" i="16" s="1"/>
  <c r="X498" i="16"/>
  <c r="O498" i="16"/>
  <c r="E498" i="16"/>
  <c r="F498" i="16" s="1"/>
  <c r="G498" i="16" s="1"/>
  <c r="H498" i="16" s="1"/>
  <c r="X497" i="16"/>
  <c r="Y497" i="16" s="1"/>
  <c r="O497" i="16"/>
  <c r="E497" i="16"/>
  <c r="F497" i="16" s="1"/>
  <c r="G497" i="16" s="1"/>
  <c r="H497" i="16" s="1"/>
  <c r="X496" i="16"/>
  <c r="Y496" i="16" s="1"/>
  <c r="O496" i="16"/>
  <c r="E496" i="16"/>
  <c r="F496" i="16" s="1"/>
  <c r="G496" i="16" s="1"/>
  <c r="H496" i="16" s="1"/>
  <c r="X495" i="16"/>
  <c r="Y495" i="16" s="1"/>
  <c r="O495" i="16"/>
  <c r="E495" i="16"/>
  <c r="F495" i="16" s="1"/>
  <c r="G495" i="16" s="1"/>
  <c r="H495" i="16" s="1"/>
  <c r="X494" i="16"/>
  <c r="Y494" i="16" s="1"/>
  <c r="O494" i="16"/>
  <c r="E494" i="16"/>
  <c r="F494" i="16" s="1"/>
  <c r="G494" i="16" s="1"/>
  <c r="H494" i="16" s="1"/>
  <c r="X493" i="16"/>
  <c r="O493" i="16"/>
  <c r="E493" i="16"/>
  <c r="F493" i="16" s="1"/>
  <c r="G493" i="16" s="1"/>
  <c r="H493" i="16" s="1"/>
  <c r="X492" i="16"/>
  <c r="O492" i="16"/>
  <c r="E492" i="16"/>
  <c r="F492" i="16" s="1"/>
  <c r="G492" i="16" s="1"/>
  <c r="H492" i="16" s="1"/>
  <c r="X491" i="16"/>
  <c r="O491" i="16"/>
  <c r="E491" i="16"/>
  <c r="F491" i="16" s="1"/>
  <c r="G491" i="16" s="1"/>
  <c r="H491" i="16" s="1"/>
  <c r="X490" i="16"/>
  <c r="O490" i="16"/>
  <c r="E490" i="16"/>
  <c r="F490" i="16" s="1"/>
  <c r="G490" i="16" s="1"/>
  <c r="H490" i="16" s="1"/>
  <c r="X489" i="16"/>
  <c r="O489" i="16"/>
  <c r="E489" i="16"/>
  <c r="F489" i="16" s="1"/>
  <c r="G489" i="16" s="1"/>
  <c r="H489" i="16" s="1"/>
  <c r="X488" i="16"/>
  <c r="O488" i="16"/>
  <c r="E488" i="16"/>
  <c r="F488" i="16" s="1"/>
  <c r="G488" i="16" s="1"/>
  <c r="H488" i="16" s="1"/>
  <c r="X487" i="16"/>
  <c r="O487" i="16"/>
  <c r="E487" i="16"/>
  <c r="F487" i="16" s="1"/>
  <c r="G487" i="16" s="1"/>
  <c r="H487" i="16" s="1"/>
  <c r="X486" i="16"/>
  <c r="O486" i="16"/>
  <c r="E486" i="16"/>
  <c r="F486" i="16" s="1"/>
  <c r="G486" i="16" s="1"/>
  <c r="H486" i="16" s="1"/>
  <c r="X485" i="16"/>
  <c r="O485" i="16"/>
  <c r="E485" i="16"/>
  <c r="F485" i="16" s="1"/>
  <c r="G485" i="16" s="1"/>
  <c r="H485" i="16" s="1"/>
  <c r="X484" i="16"/>
  <c r="O484" i="16"/>
  <c r="E484" i="16"/>
  <c r="F484" i="16" s="1"/>
  <c r="G484" i="16" s="1"/>
  <c r="H484" i="16" s="1"/>
  <c r="X483" i="16"/>
  <c r="O483" i="16"/>
  <c r="E483" i="16"/>
  <c r="F483" i="16" s="1"/>
  <c r="G483" i="16" s="1"/>
  <c r="H483" i="16" s="1"/>
  <c r="X482" i="16"/>
  <c r="O482" i="16"/>
  <c r="E482" i="16"/>
  <c r="F482" i="16" s="1"/>
  <c r="G482" i="16" s="1"/>
  <c r="H482" i="16" s="1"/>
  <c r="X481" i="16"/>
  <c r="O481" i="16"/>
  <c r="E481" i="16"/>
  <c r="F481" i="16" s="1"/>
  <c r="G481" i="16" s="1"/>
  <c r="H481" i="16" s="1"/>
  <c r="X480" i="16"/>
  <c r="O480" i="16"/>
  <c r="E480" i="16"/>
  <c r="F480" i="16" s="1"/>
  <c r="G480" i="16" s="1"/>
  <c r="H480" i="16" s="1"/>
  <c r="X479" i="16"/>
  <c r="O479" i="16"/>
  <c r="E479" i="16"/>
  <c r="F479" i="16" s="1"/>
  <c r="G479" i="16" s="1"/>
  <c r="H479" i="16" s="1"/>
  <c r="X478" i="16"/>
  <c r="O478" i="16"/>
  <c r="E478" i="16"/>
  <c r="F478" i="16" s="1"/>
  <c r="G478" i="16" s="1"/>
  <c r="H478" i="16" s="1"/>
  <c r="X477" i="16"/>
  <c r="O477" i="16"/>
  <c r="E477" i="16"/>
  <c r="F477" i="16" s="1"/>
  <c r="G477" i="16" s="1"/>
  <c r="H477" i="16" s="1"/>
  <c r="X476" i="16"/>
  <c r="O476" i="16"/>
  <c r="E476" i="16"/>
  <c r="F476" i="16" s="1"/>
  <c r="G476" i="16" s="1"/>
  <c r="H476" i="16" s="1"/>
  <c r="X475" i="16"/>
  <c r="O475" i="16"/>
  <c r="E475" i="16"/>
  <c r="F475" i="16" s="1"/>
  <c r="G475" i="16" s="1"/>
  <c r="H475" i="16" s="1"/>
  <c r="X474" i="16"/>
  <c r="O474" i="16"/>
  <c r="E474" i="16"/>
  <c r="F474" i="16" s="1"/>
  <c r="G474" i="16" s="1"/>
  <c r="H474" i="16" s="1"/>
  <c r="X473" i="16"/>
  <c r="O473" i="16"/>
  <c r="E473" i="16"/>
  <c r="F473" i="16" s="1"/>
  <c r="G473" i="16" s="1"/>
  <c r="H473" i="16" s="1"/>
  <c r="X472" i="16"/>
  <c r="O472" i="16"/>
  <c r="E472" i="16"/>
  <c r="F472" i="16" s="1"/>
  <c r="G472" i="16" s="1"/>
  <c r="H472" i="16" s="1"/>
  <c r="X471" i="16"/>
  <c r="O471" i="16"/>
  <c r="E471" i="16"/>
  <c r="F471" i="16" s="1"/>
  <c r="G471" i="16" s="1"/>
  <c r="H471" i="16" s="1"/>
  <c r="X470" i="16"/>
  <c r="O470" i="16"/>
  <c r="E470" i="16"/>
  <c r="F470" i="16" s="1"/>
  <c r="G470" i="16" s="1"/>
  <c r="H470" i="16" s="1"/>
  <c r="X469" i="16"/>
  <c r="O469" i="16"/>
  <c r="E469" i="16"/>
  <c r="F469" i="16" s="1"/>
  <c r="G469" i="16" s="1"/>
  <c r="H469" i="16" s="1"/>
  <c r="X468" i="16"/>
  <c r="O468" i="16"/>
  <c r="E468" i="16"/>
  <c r="F468" i="16" s="1"/>
  <c r="G468" i="16" s="1"/>
  <c r="H468" i="16" s="1"/>
  <c r="X467" i="16"/>
  <c r="O467" i="16"/>
  <c r="E467" i="16"/>
  <c r="F467" i="16" s="1"/>
  <c r="G467" i="16" s="1"/>
  <c r="H467" i="16" s="1"/>
  <c r="X466" i="16"/>
  <c r="O466" i="16"/>
  <c r="E466" i="16"/>
  <c r="F466" i="16" s="1"/>
  <c r="G466" i="16" s="1"/>
  <c r="H466" i="16" s="1"/>
  <c r="X465" i="16"/>
  <c r="Y465" i="16" s="1"/>
  <c r="O465" i="16"/>
  <c r="E465" i="16"/>
  <c r="F465" i="16" s="1"/>
  <c r="G465" i="16" s="1"/>
  <c r="H465" i="16" s="1"/>
  <c r="X464" i="16"/>
  <c r="O464" i="16"/>
  <c r="E464" i="16"/>
  <c r="F464" i="16" s="1"/>
  <c r="G464" i="16" s="1"/>
  <c r="H464" i="16" s="1"/>
  <c r="X463" i="16"/>
  <c r="O463" i="16"/>
  <c r="E463" i="16"/>
  <c r="F463" i="16" s="1"/>
  <c r="G463" i="16" s="1"/>
  <c r="H463" i="16" s="1"/>
  <c r="X462" i="16"/>
  <c r="O462" i="16"/>
  <c r="E462" i="16"/>
  <c r="F462" i="16" s="1"/>
  <c r="G462" i="16" s="1"/>
  <c r="H462" i="16" s="1"/>
  <c r="X461" i="16"/>
  <c r="O461" i="16"/>
  <c r="E461" i="16"/>
  <c r="F461" i="16" s="1"/>
  <c r="G461" i="16" s="1"/>
  <c r="H461" i="16" s="1"/>
  <c r="X460" i="16"/>
  <c r="O460" i="16"/>
  <c r="E460" i="16"/>
  <c r="F460" i="16" s="1"/>
  <c r="G460" i="16" s="1"/>
  <c r="H460" i="16" s="1"/>
  <c r="X459" i="16"/>
  <c r="O459" i="16"/>
  <c r="E459" i="16"/>
  <c r="F459" i="16" s="1"/>
  <c r="G459" i="16" s="1"/>
  <c r="H459" i="16" s="1"/>
  <c r="X458" i="16"/>
  <c r="O458" i="16"/>
  <c r="E458" i="16"/>
  <c r="F458" i="16" s="1"/>
  <c r="G458" i="16" s="1"/>
  <c r="H458" i="16" s="1"/>
  <c r="X457" i="16"/>
  <c r="O457" i="16"/>
  <c r="E457" i="16"/>
  <c r="F457" i="16" s="1"/>
  <c r="G457" i="16" s="1"/>
  <c r="H457" i="16" s="1"/>
  <c r="X456" i="16"/>
  <c r="O456" i="16"/>
  <c r="E456" i="16"/>
  <c r="F456" i="16" s="1"/>
  <c r="G456" i="16" s="1"/>
  <c r="H456" i="16" s="1"/>
  <c r="X455" i="16"/>
  <c r="O455" i="16"/>
  <c r="E455" i="16"/>
  <c r="F455" i="16" s="1"/>
  <c r="G455" i="16" s="1"/>
  <c r="H455" i="16" s="1"/>
  <c r="X454" i="16"/>
  <c r="O454" i="16"/>
  <c r="E454" i="16"/>
  <c r="F454" i="16" s="1"/>
  <c r="G454" i="16" s="1"/>
  <c r="H454" i="16" s="1"/>
  <c r="X453" i="16"/>
  <c r="O453" i="16"/>
  <c r="E453" i="16"/>
  <c r="F453" i="16" s="1"/>
  <c r="G453" i="16" s="1"/>
  <c r="H453" i="16" s="1"/>
  <c r="X452" i="16"/>
  <c r="O452" i="16"/>
  <c r="E452" i="16"/>
  <c r="F452" i="16" s="1"/>
  <c r="G452" i="16" s="1"/>
  <c r="H452" i="16" s="1"/>
  <c r="X451" i="16"/>
  <c r="O451" i="16"/>
  <c r="E451" i="16"/>
  <c r="F451" i="16" s="1"/>
  <c r="G451" i="16" s="1"/>
  <c r="H451" i="16" s="1"/>
  <c r="X450" i="16"/>
  <c r="O450" i="16"/>
  <c r="E450" i="16"/>
  <c r="F450" i="16" s="1"/>
  <c r="G450" i="16" s="1"/>
  <c r="H450" i="16" s="1"/>
  <c r="X449" i="16"/>
  <c r="O449" i="16"/>
  <c r="E449" i="16"/>
  <c r="F449" i="16" s="1"/>
  <c r="G449" i="16" s="1"/>
  <c r="H449" i="16" s="1"/>
  <c r="X448" i="16"/>
  <c r="O448" i="16"/>
  <c r="E448" i="16"/>
  <c r="F448" i="16" s="1"/>
  <c r="G448" i="16" s="1"/>
  <c r="H448" i="16" s="1"/>
  <c r="X447" i="16"/>
  <c r="O447" i="16"/>
  <c r="E447" i="16"/>
  <c r="F447" i="16" s="1"/>
  <c r="G447" i="16" s="1"/>
  <c r="H447" i="16" s="1"/>
  <c r="X446" i="16"/>
  <c r="O446" i="16"/>
  <c r="E446" i="16"/>
  <c r="F446" i="16" s="1"/>
  <c r="G446" i="16" s="1"/>
  <c r="H446" i="16" s="1"/>
  <c r="X445" i="16"/>
  <c r="O445" i="16"/>
  <c r="E445" i="16"/>
  <c r="F445" i="16" s="1"/>
  <c r="G445" i="16" s="1"/>
  <c r="H445" i="16" s="1"/>
  <c r="X444" i="16"/>
  <c r="O444" i="16"/>
  <c r="E444" i="16"/>
  <c r="F444" i="16" s="1"/>
  <c r="G444" i="16" s="1"/>
  <c r="H444" i="16" s="1"/>
  <c r="X443" i="16"/>
  <c r="O443" i="16"/>
  <c r="E443" i="16"/>
  <c r="F443" i="16" s="1"/>
  <c r="G443" i="16" s="1"/>
  <c r="H443" i="16" s="1"/>
  <c r="X442" i="16"/>
  <c r="O442" i="16"/>
  <c r="E442" i="16"/>
  <c r="F442" i="16" s="1"/>
  <c r="G442" i="16" s="1"/>
  <c r="H442" i="16" s="1"/>
  <c r="X441" i="16"/>
  <c r="O441" i="16"/>
  <c r="E441" i="16"/>
  <c r="F441" i="16" s="1"/>
  <c r="G441" i="16" s="1"/>
  <c r="H441" i="16" s="1"/>
  <c r="X440" i="16"/>
  <c r="O440" i="16"/>
  <c r="E440" i="16"/>
  <c r="F440" i="16" s="1"/>
  <c r="G440" i="16" s="1"/>
  <c r="H440" i="16" s="1"/>
  <c r="X439" i="16"/>
  <c r="O439" i="16"/>
  <c r="E439" i="16"/>
  <c r="F439" i="16" s="1"/>
  <c r="G439" i="16" s="1"/>
  <c r="H439" i="16" s="1"/>
  <c r="X438" i="16"/>
  <c r="O438" i="16"/>
  <c r="E438" i="16"/>
  <c r="F438" i="16" s="1"/>
  <c r="G438" i="16" s="1"/>
  <c r="H438" i="16" s="1"/>
  <c r="X437" i="16"/>
  <c r="O437" i="16"/>
  <c r="E437" i="16"/>
  <c r="F437" i="16" s="1"/>
  <c r="G437" i="16" s="1"/>
  <c r="H437" i="16" s="1"/>
  <c r="X436" i="16"/>
  <c r="O436" i="16"/>
  <c r="E436" i="16"/>
  <c r="F436" i="16" s="1"/>
  <c r="G436" i="16" s="1"/>
  <c r="H436" i="16" s="1"/>
  <c r="X435" i="16"/>
  <c r="O435" i="16"/>
  <c r="E435" i="16"/>
  <c r="F435" i="16" s="1"/>
  <c r="G435" i="16" s="1"/>
  <c r="H435" i="16" s="1"/>
  <c r="X434" i="16"/>
  <c r="O434" i="16"/>
  <c r="E434" i="16"/>
  <c r="F434" i="16" s="1"/>
  <c r="G434" i="16" s="1"/>
  <c r="H434" i="16" s="1"/>
  <c r="X433" i="16"/>
  <c r="O433" i="16"/>
  <c r="E433" i="16"/>
  <c r="F433" i="16" s="1"/>
  <c r="G433" i="16" s="1"/>
  <c r="H433" i="16" s="1"/>
  <c r="X432" i="16"/>
  <c r="O432" i="16"/>
  <c r="E432" i="16"/>
  <c r="F432" i="16" s="1"/>
  <c r="G432" i="16" s="1"/>
  <c r="H432" i="16" s="1"/>
  <c r="X431" i="16"/>
  <c r="O431" i="16"/>
  <c r="E431" i="16"/>
  <c r="F431" i="16" s="1"/>
  <c r="G431" i="16" s="1"/>
  <c r="H431" i="16" s="1"/>
  <c r="X430" i="16"/>
  <c r="O430" i="16"/>
  <c r="E430" i="16"/>
  <c r="F430" i="16" s="1"/>
  <c r="G430" i="16" s="1"/>
  <c r="H430" i="16" s="1"/>
  <c r="X429" i="16"/>
  <c r="O429" i="16"/>
  <c r="E429" i="16"/>
  <c r="F429" i="16" s="1"/>
  <c r="G429" i="16" s="1"/>
  <c r="H429" i="16" s="1"/>
  <c r="X428" i="16"/>
  <c r="O428" i="16"/>
  <c r="E428" i="16"/>
  <c r="F428" i="16" s="1"/>
  <c r="G428" i="16" s="1"/>
  <c r="H428" i="16" s="1"/>
  <c r="X427" i="16"/>
  <c r="O427" i="16"/>
  <c r="E427" i="16"/>
  <c r="F427" i="16" s="1"/>
  <c r="G427" i="16" s="1"/>
  <c r="H427" i="16" s="1"/>
  <c r="X426" i="16"/>
  <c r="O426" i="16"/>
  <c r="E426" i="16"/>
  <c r="F426" i="16" s="1"/>
  <c r="G426" i="16" s="1"/>
  <c r="H426" i="16" s="1"/>
  <c r="X425" i="16"/>
  <c r="O425" i="16"/>
  <c r="E425" i="16"/>
  <c r="F425" i="16" s="1"/>
  <c r="G425" i="16" s="1"/>
  <c r="H425" i="16" s="1"/>
  <c r="X424" i="16"/>
  <c r="O424" i="16"/>
  <c r="E424" i="16"/>
  <c r="F424" i="16" s="1"/>
  <c r="G424" i="16" s="1"/>
  <c r="H424" i="16" s="1"/>
  <c r="X423" i="16"/>
  <c r="O423" i="16"/>
  <c r="E423" i="16"/>
  <c r="F423" i="16" s="1"/>
  <c r="G423" i="16" s="1"/>
  <c r="H423" i="16" s="1"/>
  <c r="X422" i="16"/>
  <c r="O422" i="16"/>
  <c r="E422" i="16"/>
  <c r="F422" i="16" s="1"/>
  <c r="G422" i="16" s="1"/>
  <c r="H422" i="16" s="1"/>
  <c r="X421" i="16"/>
  <c r="O421" i="16"/>
  <c r="E421" i="16"/>
  <c r="F421" i="16" s="1"/>
  <c r="G421" i="16" s="1"/>
  <c r="H421" i="16" s="1"/>
  <c r="X420" i="16"/>
  <c r="O420" i="16"/>
  <c r="E420" i="16"/>
  <c r="F420" i="16" s="1"/>
  <c r="G420" i="16" s="1"/>
  <c r="H420" i="16" s="1"/>
  <c r="X419" i="16"/>
  <c r="O419" i="16"/>
  <c r="E419" i="16"/>
  <c r="F419" i="16" s="1"/>
  <c r="G419" i="16" s="1"/>
  <c r="H419" i="16" s="1"/>
  <c r="X418" i="16"/>
  <c r="Y418" i="16" s="1"/>
  <c r="O418" i="16"/>
  <c r="E418" i="16"/>
  <c r="F418" i="16" s="1"/>
  <c r="G418" i="16" s="1"/>
  <c r="H418" i="16" s="1"/>
  <c r="X417" i="16"/>
  <c r="O417" i="16"/>
  <c r="E417" i="16"/>
  <c r="F417" i="16" s="1"/>
  <c r="G417" i="16" s="1"/>
  <c r="H417" i="16" s="1"/>
  <c r="X416" i="16"/>
  <c r="Y416" i="16" s="1"/>
  <c r="O416" i="16"/>
  <c r="E416" i="16"/>
  <c r="F416" i="16" s="1"/>
  <c r="G416" i="16" s="1"/>
  <c r="H416" i="16" s="1"/>
  <c r="X415" i="16"/>
  <c r="O415" i="16"/>
  <c r="E415" i="16"/>
  <c r="F415" i="16" s="1"/>
  <c r="G415" i="16" s="1"/>
  <c r="H415" i="16" s="1"/>
  <c r="X414" i="16"/>
  <c r="Y414" i="16" s="1"/>
  <c r="O414" i="16"/>
  <c r="E414" i="16"/>
  <c r="F414" i="16" s="1"/>
  <c r="G414" i="16" s="1"/>
  <c r="H414" i="16" s="1"/>
  <c r="X413" i="16"/>
  <c r="O413" i="16"/>
  <c r="E413" i="16"/>
  <c r="F413" i="16" s="1"/>
  <c r="G413" i="16" s="1"/>
  <c r="H413" i="16" s="1"/>
  <c r="X412" i="16"/>
  <c r="Y412" i="16" s="1"/>
  <c r="O412" i="16"/>
  <c r="E412" i="16"/>
  <c r="F412" i="16" s="1"/>
  <c r="G412" i="16" s="1"/>
  <c r="H412" i="16" s="1"/>
  <c r="X411" i="16"/>
  <c r="O411" i="16"/>
  <c r="E411" i="16"/>
  <c r="F411" i="16" s="1"/>
  <c r="G411" i="16" s="1"/>
  <c r="H411" i="16" s="1"/>
  <c r="X410" i="16"/>
  <c r="O410" i="16"/>
  <c r="E410" i="16"/>
  <c r="F410" i="16" s="1"/>
  <c r="G410" i="16" s="1"/>
  <c r="H410" i="16" s="1"/>
  <c r="X409" i="16"/>
  <c r="O409" i="16"/>
  <c r="E409" i="16"/>
  <c r="F409" i="16" s="1"/>
  <c r="G409" i="16" s="1"/>
  <c r="H409" i="16" s="1"/>
  <c r="X408" i="16"/>
  <c r="O408" i="16"/>
  <c r="E408" i="16"/>
  <c r="F408" i="16" s="1"/>
  <c r="G408" i="16" s="1"/>
  <c r="H408" i="16" s="1"/>
  <c r="X407" i="16"/>
  <c r="O407" i="16"/>
  <c r="E407" i="16"/>
  <c r="F407" i="16" s="1"/>
  <c r="G407" i="16" s="1"/>
  <c r="H407" i="16" s="1"/>
  <c r="X406" i="16"/>
  <c r="O406" i="16"/>
  <c r="E406" i="16"/>
  <c r="F406" i="16" s="1"/>
  <c r="G406" i="16" s="1"/>
  <c r="H406" i="16" s="1"/>
  <c r="X405" i="16"/>
  <c r="O405" i="16"/>
  <c r="E405" i="16"/>
  <c r="F405" i="16" s="1"/>
  <c r="G405" i="16" s="1"/>
  <c r="H405" i="16" s="1"/>
  <c r="X404" i="16"/>
  <c r="O404" i="16"/>
  <c r="E404" i="16"/>
  <c r="F404" i="16" s="1"/>
  <c r="G404" i="16" s="1"/>
  <c r="H404" i="16" s="1"/>
  <c r="X403" i="16"/>
  <c r="O403" i="16"/>
  <c r="E403" i="16"/>
  <c r="F403" i="16" s="1"/>
  <c r="G403" i="16" s="1"/>
  <c r="H403" i="16" s="1"/>
  <c r="X402" i="16"/>
  <c r="O402" i="16"/>
  <c r="E402" i="16"/>
  <c r="F402" i="16" s="1"/>
  <c r="G402" i="16" s="1"/>
  <c r="H402" i="16" s="1"/>
  <c r="X401" i="16"/>
  <c r="O401" i="16"/>
  <c r="E401" i="16"/>
  <c r="F401" i="16" s="1"/>
  <c r="G401" i="16" s="1"/>
  <c r="H401" i="16" s="1"/>
  <c r="X400" i="16"/>
  <c r="O400" i="16"/>
  <c r="E400" i="16"/>
  <c r="F400" i="16" s="1"/>
  <c r="G400" i="16" s="1"/>
  <c r="H400" i="16" s="1"/>
  <c r="X399" i="16"/>
  <c r="O399" i="16"/>
  <c r="E399" i="16"/>
  <c r="F399" i="16" s="1"/>
  <c r="G399" i="16" s="1"/>
  <c r="H399" i="16" s="1"/>
  <c r="X398" i="16"/>
  <c r="O398" i="16"/>
  <c r="E398" i="16"/>
  <c r="F398" i="16" s="1"/>
  <c r="G398" i="16" s="1"/>
  <c r="H398" i="16" s="1"/>
  <c r="X397" i="16"/>
  <c r="O397" i="16"/>
  <c r="E397" i="16"/>
  <c r="F397" i="16" s="1"/>
  <c r="G397" i="16" s="1"/>
  <c r="H397" i="16" s="1"/>
  <c r="X396" i="16"/>
  <c r="O396" i="16"/>
  <c r="E396" i="16"/>
  <c r="F396" i="16" s="1"/>
  <c r="G396" i="16" s="1"/>
  <c r="H396" i="16" s="1"/>
  <c r="X395" i="16"/>
  <c r="O395" i="16"/>
  <c r="E395" i="16"/>
  <c r="F395" i="16" s="1"/>
  <c r="G395" i="16" s="1"/>
  <c r="H395" i="16" s="1"/>
  <c r="X394" i="16"/>
  <c r="Q394" i="16"/>
  <c r="O394" i="16"/>
  <c r="E394" i="16"/>
  <c r="F394" i="16" s="1"/>
  <c r="G394" i="16" s="1"/>
  <c r="H394" i="16" s="1"/>
  <c r="X393" i="16"/>
  <c r="O393" i="16"/>
  <c r="E393" i="16"/>
  <c r="F393" i="16" s="1"/>
  <c r="G393" i="16" s="1"/>
  <c r="H393" i="16" s="1"/>
  <c r="X392" i="16"/>
  <c r="O392" i="16"/>
  <c r="E392" i="16"/>
  <c r="F392" i="16" s="1"/>
  <c r="G392" i="16" s="1"/>
  <c r="H392" i="16" s="1"/>
  <c r="X391" i="16"/>
  <c r="O391" i="16"/>
  <c r="E391" i="16"/>
  <c r="F391" i="16" s="1"/>
  <c r="G391" i="16" s="1"/>
  <c r="H391" i="16" s="1"/>
  <c r="X390" i="16"/>
  <c r="O390" i="16"/>
  <c r="E390" i="16"/>
  <c r="F390" i="16" s="1"/>
  <c r="G390" i="16" s="1"/>
  <c r="H390" i="16" s="1"/>
  <c r="X389" i="16"/>
  <c r="O389" i="16"/>
  <c r="E389" i="16"/>
  <c r="F389" i="16" s="1"/>
  <c r="G389" i="16" s="1"/>
  <c r="H389" i="16" s="1"/>
  <c r="X388" i="16"/>
  <c r="O388" i="16"/>
  <c r="E388" i="16"/>
  <c r="F388" i="16" s="1"/>
  <c r="G388" i="16" s="1"/>
  <c r="H388" i="16" s="1"/>
  <c r="X387" i="16"/>
  <c r="O387" i="16"/>
  <c r="E387" i="16"/>
  <c r="F387" i="16" s="1"/>
  <c r="G387" i="16" s="1"/>
  <c r="H387" i="16" s="1"/>
  <c r="X386" i="16"/>
  <c r="O386" i="16"/>
  <c r="E386" i="16"/>
  <c r="F386" i="16" s="1"/>
  <c r="G386" i="16" s="1"/>
  <c r="H386" i="16" s="1"/>
  <c r="X385" i="16"/>
  <c r="O385" i="16"/>
  <c r="E385" i="16"/>
  <c r="F385" i="16" s="1"/>
  <c r="G385" i="16" s="1"/>
  <c r="H385" i="16" s="1"/>
  <c r="X384" i="16"/>
  <c r="O384" i="16"/>
  <c r="E384" i="16"/>
  <c r="F384" i="16" s="1"/>
  <c r="G384" i="16" s="1"/>
  <c r="H384" i="16" s="1"/>
  <c r="X383" i="16"/>
  <c r="O383" i="16"/>
  <c r="E383" i="16"/>
  <c r="F383" i="16" s="1"/>
  <c r="G383" i="16" s="1"/>
  <c r="H383" i="16" s="1"/>
  <c r="X382" i="16"/>
  <c r="O382" i="16"/>
  <c r="E382" i="16"/>
  <c r="F382" i="16" s="1"/>
  <c r="G382" i="16" s="1"/>
  <c r="H382" i="16" s="1"/>
  <c r="X381" i="16"/>
  <c r="O381" i="16"/>
  <c r="E381" i="16"/>
  <c r="F381" i="16" s="1"/>
  <c r="G381" i="16" s="1"/>
  <c r="H381" i="16" s="1"/>
  <c r="X380" i="16"/>
  <c r="O380" i="16"/>
  <c r="E380" i="16"/>
  <c r="F380" i="16" s="1"/>
  <c r="G380" i="16" s="1"/>
  <c r="H380" i="16" s="1"/>
  <c r="X379" i="16"/>
  <c r="O379" i="16"/>
  <c r="E379" i="16"/>
  <c r="F379" i="16" s="1"/>
  <c r="G379" i="16" s="1"/>
  <c r="H379" i="16" s="1"/>
  <c r="X378" i="16"/>
  <c r="O378" i="16"/>
  <c r="E378" i="16"/>
  <c r="F378" i="16" s="1"/>
  <c r="G378" i="16" s="1"/>
  <c r="H378" i="16" s="1"/>
  <c r="X377" i="16"/>
  <c r="O377" i="16"/>
  <c r="E377" i="16"/>
  <c r="F377" i="16" s="1"/>
  <c r="G377" i="16" s="1"/>
  <c r="H377" i="16" s="1"/>
  <c r="X376" i="16"/>
  <c r="O376" i="16"/>
  <c r="E376" i="16"/>
  <c r="F376" i="16" s="1"/>
  <c r="G376" i="16" s="1"/>
  <c r="H376" i="16" s="1"/>
  <c r="X375" i="16"/>
  <c r="O375" i="16"/>
  <c r="E375" i="16"/>
  <c r="F375" i="16" s="1"/>
  <c r="G375" i="16" s="1"/>
  <c r="H375" i="16" s="1"/>
  <c r="X374" i="16"/>
  <c r="O374" i="16"/>
  <c r="E374" i="16"/>
  <c r="F374" i="16" s="1"/>
  <c r="G374" i="16" s="1"/>
  <c r="H374" i="16" s="1"/>
  <c r="X373" i="16"/>
  <c r="O373" i="16"/>
  <c r="E373" i="16"/>
  <c r="F373" i="16" s="1"/>
  <c r="G373" i="16" s="1"/>
  <c r="H373" i="16" s="1"/>
  <c r="X372" i="16"/>
  <c r="O372" i="16"/>
  <c r="E372" i="16"/>
  <c r="F372" i="16" s="1"/>
  <c r="G372" i="16" s="1"/>
  <c r="H372" i="16" s="1"/>
  <c r="X371" i="16"/>
  <c r="O371" i="16"/>
  <c r="E371" i="16"/>
  <c r="F371" i="16" s="1"/>
  <c r="G371" i="16" s="1"/>
  <c r="H371" i="16" s="1"/>
  <c r="X370" i="16"/>
  <c r="O370" i="16"/>
  <c r="E370" i="16"/>
  <c r="F370" i="16" s="1"/>
  <c r="G370" i="16" s="1"/>
  <c r="H370" i="16" s="1"/>
  <c r="X369" i="16"/>
  <c r="O369" i="16"/>
  <c r="E369" i="16"/>
  <c r="F369" i="16" s="1"/>
  <c r="G369" i="16" s="1"/>
  <c r="H369" i="16" s="1"/>
  <c r="X368" i="16"/>
  <c r="O368" i="16"/>
  <c r="E368" i="16"/>
  <c r="F368" i="16" s="1"/>
  <c r="G368" i="16" s="1"/>
  <c r="H368" i="16" s="1"/>
  <c r="X367" i="16"/>
  <c r="O367" i="16"/>
  <c r="E367" i="16"/>
  <c r="F367" i="16" s="1"/>
  <c r="G367" i="16" s="1"/>
  <c r="H367" i="16" s="1"/>
  <c r="X366" i="16"/>
  <c r="O366" i="16"/>
  <c r="E366" i="16"/>
  <c r="F366" i="16" s="1"/>
  <c r="G366" i="16" s="1"/>
  <c r="H366" i="16" s="1"/>
  <c r="X365" i="16"/>
  <c r="O365" i="16"/>
  <c r="E365" i="16"/>
  <c r="F365" i="16" s="1"/>
  <c r="G365" i="16" s="1"/>
  <c r="H365" i="16" s="1"/>
  <c r="X364" i="16"/>
  <c r="O364" i="16"/>
  <c r="E364" i="16"/>
  <c r="F364" i="16" s="1"/>
  <c r="G364" i="16" s="1"/>
  <c r="H364" i="16" s="1"/>
  <c r="X363" i="16"/>
  <c r="O363" i="16"/>
  <c r="E363" i="16"/>
  <c r="F363" i="16" s="1"/>
  <c r="G363" i="16" s="1"/>
  <c r="H363" i="16" s="1"/>
  <c r="X362" i="16"/>
  <c r="O362" i="16"/>
  <c r="E362" i="16"/>
  <c r="F362" i="16" s="1"/>
  <c r="G362" i="16" s="1"/>
  <c r="H362" i="16" s="1"/>
  <c r="X361" i="16"/>
  <c r="O361" i="16"/>
  <c r="E361" i="16"/>
  <c r="F361" i="16" s="1"/>
  <c r="G361" i="16" s="1"/>
  <c r="H361" i="16" s="1"/>
  <c r="X360" i="16"/>
  <c r="O360" i="16"/>
  <c r="E360" i="16"/>
  <c r="F360" i="16" s="1"/>
  <c r="G360" i="16" s="1"/>
  <c r="H360" i="16" s="1"/>
  <c r="X359" i="16"/>
  <c r="O359" i="16"/>
  <c r="E359" i="16"/>
  <c r="F359" i="16" s="1"/>
  <c r="G359" i="16" s="1"/>
  <c r="H359" i="16" s="1"/>
  <c r="X358" i="16"/>
  <c r="O358" i="16"/>
  <c r="E358" i="16"/>
  <c r="F358" i="16" s="1"/>
  <c r="G358" i="16" s="1"/>
  <c r="H358" i="16" s="1"/>
  <c r="X357" i="16"/>
  <c r="O357" i="16"/>
  <c r="E357" i="16"/>
  <c r="F357" i="16" s="1"/>
  <c r="G357" i="16" s="1"/>
  <c r="H357" i="16" s="1"/>
  <c r="X356" i="16"/>
  <c r="O356" i="16"/>
  <c r="E356" i="16"/>
  <c r="F356" i="16" s="1"/>
  <c r="G356" i="16" s="1"/>
  <c r="H356" i="16" s="1"/>
  <c r="X355" i="16"/>
  <c r="Q355" i="16"/>
  <c r="O355" i="16"/>
  <c r="E355" i="16"/>
  <c r="F355" i="16" s="1"/>
  <c r="G355" i="16" s="1"/>
  <c r="H355" i="16" s="1"/>
  <c r="X354" i="16"/>
  <c r="O354" i="16"/>
  <c r="E354" i="16"/>
  <c r="F354" i="16" s="1"/>
  <c r="G354" i="16" s="1"/>
  <c r="H354" i="16" s="1"/>
  <c r="X353" i="16"/>
  <c r="O353" i="16"/>
  <c r="E353" i="16"/>
  <c r="F353" i="16" s="1"/>
  <c r="G353" i="16" s="1"/>
  <c r="H353" i="16" s="1"/>
  <c r="X352" i="16"/>
  <c r="O352" i="16"/>
  <c r="E352" i="16"/>
  <c r="F352" i="16" s="1"/>
  <c r="G352" i="16" s="1"/>
  <c r="H352" i="16" s="1"/>
  <c r="X351" i="16"/>
  <c r="O351" i="16"/>
  <c r="E351" i="16"/>
  <c r="F351" i="16" s="1"/>
  <c r="G351" i="16" s="1"/>
  <c r="H351" i="16" s="1"/>
  <c r="X350" i="16"/>
  <c r="O350" i="16"/>
  <c r="E350" i="16"/>
  <c r="F350" i="16" s="1"/>
  <c r="G350" i="16" s="1"/>
  <c r="H350" i="16" s="1"/>
  <c r="X349" i="16"/>
  <c r="O349" i="16"/>
  <c r="E349" i="16"/>
  <c r="F349" i="16" s="1"/>
  <c r="G349" i="16" s="1"/>
  <c r="H349" i="16" s="1"/>
  <c r="X348" i="16"/>
  <c r="O348" i="16"/>
  <c r="E348" i="16"/>
  <c r="F348" i="16" s="1"/>
  <c r="G348" i="16" s="1"/>
  <c r="H348" i="16" s="1"/>
  <c r="X347" i="16"/>
  <c r="O347" i="16"/>
  <c r="E347" i="16"/>
  <c r="F347" i="16" s="1"/>
  <c r="G347" i="16" s="1"/>
  <c r="H347" i="16" s="1"/>
  <c r="X346" i="16"/>
  <c r="O346" i="16"/>
  <c r="E346" i="16"/>
  <c r="F346" i="16" s="1"/>
  <c r="G346" i="16" s="1"/>
  <c r="H346" i="16" s="1"/>
  <c r="X345" i="16"/>
  <c r="O345" i="16"/>
  <c r="E345" i="16"/>
  <c r="F345" i="16" s="1"/>
  <c r="G345" i="16" s="1"/>
  <c r="H345" i="16" s="1"/>
  <c r="X344" i="16"/>
  <c r="O344" i="16"/>
  <c r="E344" i="16"/>
  <c r="F344" i="16" s="1"/>
  <c r="G344" i="16" s="1"/>
  <c r="H344" i="16" s="1"/>
  <c r="X343" i="16"/>
  <c r="O343" i="16"/>
  <c r="E343" i="16"/>
  <c r="F343" i="16" s="1"/>
  <c r="G343" i="16" s="1"/>
  <c r="H343" i="16" s="1"/>
  <c r="X342" i="16"/>
  <c r="Y342" i="16" s="1"/>
  <c r="O342" i="16"/>
  <c r="E342" i="16"/>
  <c r="F342" i="16" s="1"/>
  <c r="G342" i="16" s="1"/>
  <c r="H342" i="16" s="1"/>
  <c r="X341" i="16"/>
  <c r="Y341" i="16" s="1"/>
  <c r="O341" i="16"/>
  <c r="E341" i="16"/>
  <c r="F341" i="16" s="1"/>
  <c r="G341" i="16" s="1"/>
  <c r="H341" i="16" s="1"/>
  <c r="X340" i="16"/>
  <c r="O340" i="16"/>
  <c r="E340" i="16"/>
  <c r="F340" i="16" s="1"/>
  <c r="G340" i="16" s="1"/>
  <c r="H340" i="16" s="1"/>
  <c r="X339" i="16"/>
  <c r="O339" i="16"/>
  <c r="E339" i="16"/>
  <c r="F339" i="16" s="1"/>
  <c r="G339" i="16" s="1"/>
  <c r="H339" i="16" s="1"/>
  <c r="X338" i="16"/>
  <c r="O338" i="16"/>
  <c r="E338" i="16"/>
  <c r="F338" i="16" s="1"/>
  <c r="G338" i="16" s="1"/>
  <c r="H338" i="16" s="1"/>
  <c r="X337" i="16"/>
  <c r="O337" i="16"/>
  <c r="E337" i="16"/>
  <c r="F337" i="16" s="1"/>
  <c r="G337" i="16" s="1"/>
  <c r="H337" i="16" s="1"/>
  <c r="X336" i="16"/>
  <c r="O336" i="16"/>
  <c r="E336" i="16"/>
  <c r="F336" i="16" s="1"/>
  <c r="G336" i="16" s="1"/>
  <c r="H336" i="16" s="1"/>
  <c r="X335" i="16"/>
  <c r="O335" i="16"/>
  <c r="E335" i="16"/>
  <c r="F335" i="16" s="1"/>
  <c r="G335" i="16" s="1"/>
  <c r="H335" i="16" s="1"/>
  <c r="X334" i="16"/>
  <c r="O334" i="16"/>
  <c r="E334" i="16"/>
  <c r="F334" i="16" s="1"/>
  <c r="G334" i="16" s="1"/>
  <c r="H334" i="16" s="1"/>
  <c r="X333" i="16"/>
  <c r="O333" i="16"/>
  <c r="E333" i="16"/>
  <c r="F333" i="16" s="1"/>
  <c r="G333" i="16" s="1"/>
  <c r="H333" i="16" s="1"/>
  <c r="X332" i="16"/>
  <c r="O332" i="16"/>
  <c r="E332" i="16"/>
  <c r="F332" i="16" s="1"/>
  <c r="G332" i="16" s="1"/>
  <c r="H332" i="16" s="1"/>
  <c r="X331" i="16"/>
  <c r="O331" i="16"/>
  <c r="E331" i="16"/>
  <c r="F331" i="16" s="1"/>
  <c r="G331" i="16" s="1"/>
  <c r="H331" i="16" s="1"/>
  <c r="X330" i="16"/>
  <c r="O330" i="16"/>
  <c r="E330" i="16"/>
  <c r="F330" i="16" s="1"/>
  <c r="G330" i="16" s="1"/>
  <c r="H330" i="16" s="1"/>
  <c r="X329" i="16"/>
  <c r="O329" i="16"/>
  <c r="E329" i="16"/>
  <c r="F329" i="16" s="1"/>
  <c r="G329" i="16" s="1"/>
  <c r="H329" i="16" s="1"/>
  <c r="X328" i="16"/>
  <c r="O328" i="16"/>
  <c r="E328" i="16"/>
  <c r="F328" i="16" s="1"/>
  <c r="G328" i="16" s="1"/>
  <c r="H328" i="16" s="1"/>
  <c r="X327" i="16"/>
  <c r="O327" i="16"/>
  <c r="E327" i="16"/>
  <c r="F327" i="16" s="1"/>
  <c r="G327" i="16" s="1"/>
  <c r="H327" i="16" s="1"/>
  <c r="X326" i="16"/>
  <c r="O326" i="16"/>
  <c r="E326" i="16"/>
  <c r="F326" i="16" s="1"/>
  <c r="G326" i="16" s="1"/>
  <c r="H326" i="16" s="1"/>
  <c r="X325" i="16"/>
  <c r="O325" i="16"/>
  <c r="E325" i="16"/>
  <c r="F325" i="16" s="1"/>
  <c r="G325" i="16" s="1"/>
  <c r="H325" i="16" s="1"/>
  <c r="X324" i="16"/>
  <c r="O324" i="16"/>
  <c r="E324" i="16"/>
  <c r="F324" i="16" s="1"/>
  <c r="G324" i="16" s="1"/>
  <c r="H324" i="16" s="1"/>
  <c r="X323" i="16"/>
  <c r="O323" i="16"/>
  <c r="E323" i="16"/>
  <c r="F323" i="16" s="1"/>
  <c r="G323" i="16" s="1"/>
  <c r="H323" i="16" s="1"/>
  <c r="X322" i="16"/>
  <c r="O322" i="16"/>
  <c r="E322" i="16"/>
  <c r="F322" i="16" s="1"/>
  <c r="G322" i="16" s="1"/>
  <c r="H322" i="16" s="1"/>
  <c r="X321" i="16"/>
  <c r="O321" i="16"/>
  <c r="E321" i="16"/>
  <c r="F321" i="16" s="1"/>
  <c r="G321" i="16" s="1"/>
  <c r="H321" i="16" s="1"/>
  <c r="X320" i="16"/>
  <c r="O320" i="16"/>
  <c r="E320" i="16"/>
  <c r="F320" i="16" s="1"/>
  <c r="G320" i="16" s="1"/>
  <c r="H320" i="16" s="1"/>
  <c r="X319" i="16"/>
  <c r="O319" i="16"/>
  <c r="E319" i="16"/>
  <c r="F319" i="16" s="1"/>
  <c r="G319" i="16" s="1"/>
  <c r="H319" i="16" s="1"/>
  <c r="X318" i="16"/>
  <c r="O318" i="16"/>
  <c r="E318" i="16"/>
  <c r="F318" i="16" s="1"/>
  <c r="G318" i="16" s="1"/>
  <c r="H318" i="16" s="1"/>
  <c r="X317" i="16"/>
  <c r="O317" i="16"/>
  <c r="E317" i="16"/>
  <c r="F317" i="16" s="1"/>
  <c r="G317" i="16" s="1"/>
  <c r="H317" i="16" s="1"/>
  <c r="X316" i="16"/>
  <c r="O316" i="16"/>
  <c r="E316" i="16"/>
  <c r="F316" i="16" s="1"/>
  <c r="G316" i="16" s="1"/>
  <c r="H316" i="16" s="1"/>
  <c r="X315" i="16"/>
  <c r="O315" i="16"/>
  <c r="E315" i="16"/>
  <c r="F315" i="16" s="1"/>
  <c r="G315" i="16" s="1"/>
  <c r="H315" i="16" s="1"/>
  <c r="X314" i="16"/>
  <c r="O314" i="16"/>
  <c r="E314" i="16"/>
  <c r="F314" i="16" s="1"/>
  <c r="G314" i="16" s="1"/>
  <c r="H314" i="16" s="1"/>
  <c r="X313" i="16"/>
  <c r="O313" i="16"/>
  <c r="E313" i="16"/>
  <c r="F313" i="16" s="1"/>
  <c r="G313" i="16" s="1"/>
  <c r="H313" i="16" s="1"/>
  <c r="X312" i="16"/>
  <c r="O312" i="16"/>
  <c r="E312" i="16"/>
  <c r="F312" i="16" s="1"/>
  <c r="G312" i="16" s="1"/>
  <c r="H312" i="16" s="1"/>
  <c r="X311" i="16"/>
  <c r="O311" i="16"/>
  <c r="E311" i="16"/>
  <c r="F311" i="16" s="1"/>
  <c r="G311" i="16" s="1"/>
  <c r="H311" i="16" s="1"/>
  <c r="X310" i="16"/>
  <c r="O310" i="16"/>
  <c r="E310" i="16"/>
  <c r="F310" i="16" s="1"/>
  <c r="G310" i="16" s="1"/>
  <c r="H310" i="16" s="1"/>
  <c r="X309" i="16"/>
  <c r="O309" i="16"/>
  <c r="E309" i="16"/>
  <c r="F309" i="16" s="1"/>
  <c r="G309" i="16" s="1"/>
  <c r="H309" i="16" s="1"/>
  <c r="X308" i="16"/>
  <c r="O308" i="16"/>
  <c r="E308" i="16"/>
  <c r="F308" i="16" s="1"/>
  <c r="G308" i="16" s="1"/>
  <c r="H308" i="16" s="1"/>
  <c r="X307" i="16"/>
  <c r="O307" i="16"/>
  <c r="E307" i="16"/>
  <c r="F307" i="16" s="1"/>
  <c r="G307" i="16" s="1"/>
  <c r="H307" i="16" s="1"/>
  <c r="X306" i="16"/>
  <c r="O306" i="16"/>
  <c r="E306" i="16"/>
  <c r="F306" i="16" s="1"/>
  <c r="G306" i="16" s="1"/>
  <c r="H306" i="16" s="1"/>
  <c r="X305" i="16"/>
  <c r="O305" i="16"/>
  <c r="E305" i="16"/>
  <c r="F305" i="16" s="1"/>
  <c r="G305" i="16" s="1"/>
  <c r="H305" i="16" s="1"/>
  <c r="X304" i="16"/>
  <c r="O304" i="16"/>
  <c r="E304" i="16"/>
  <c r="F304" i="16" s="1"/>
  <c r="G304" i="16" s="1"/>
  <c r="H304" i="16" s="1"/>
  <c r="X303" i="16"/>
  <c r="O303" i="16"/>
  <c r="E303" i="16"/>
  <c r="F303" i="16" s="1"/>
  <c r="G303" i="16" s="1"/>
  <c r="H303" i="16" s="1"/>
  <c r="X302" i="16"/>
  <c r="O302" i="16"/>
  <c r="E302" i="16"/>
  <c r="F302" i="16" s="1"/>
  <c r="G302" i="16" s="1"/>
  <c r="H302" i="16" s="1"/>
  <c r="X301" i="16"/>
  <c r="O301" i="16"/>
  <c r="E301" i="16"/>
  <c r="F301" i="16" s="1"/>
  <c r="G301" i="16" s="1"/>
  <c r="H301" i="16" s="1"/>
  <c r="X300" i="16"/>
  <c r="O300" i="16"/>
  <c r="E300" i="16"/>
  <c r="F300" i="16" s="1"/>
  <c r="G300" i="16" s="1"/>
  <c r="H300" i="16" s="1"/>
  <c r="X299" i="16"/>
  <c r="O299" i="16"/>
  <c r="E299" i="16"/>
  <c r="F299" i="16" s="1"/>
  <c r="G299" i="16" s="1"/>
  <c r="H299" i="16" s="1"/>
  <c r="X298" i="16"/>
  <c r="O298" i="16"/>
  <c r="E298" i="16"/>
  <c r="F298" i="16" s="1"/>
  <c r="G298" i="16" s="1"/>
  <c r="H298" i="16" s="1"/>
  <c r="X297" i="16"/>
  <c r="O297" i="16"/>
  <c r="E297" i="16"/>
  <c r="F297" i="16" s="1"/>
  <c r="G297" i="16" s="1"/>
  <c r="H297" i="16" s="1"/>
  <c r="X296" i="16"/>
  <c r="O296" i="16"/>
  <c r="E296" i="16"/>
  <c r="F296" i="16" s="1"/>
  <c r="G296" i="16" s="1"/>
  <c r="H296" i="16" s="1"/>
  <c r="X295" i="16"/>
  <c r="O295" i="16"/>
  <c r="E295" i="16"/>
  <c r="F295" i="16" s="1"/>
  <c r="G295" i="16" s="1"/>
  <c r="H295" i="16" s="1"/>
  <c r="X294" i="16"/>
  <c r="O294" i="16"/>
  <c r="E294" i="16"/>
  <c r="F294" i="16" s="1"/>
  <c r="G294" i="16" s="1"/>
  <c r="H294" i="16" s="1"/>
  <c r="X293" i="16"/>
  <c r="O293" i="16"/>
  <c r="E293" i="16"/>
  <c r="F293" i="16" s="1"/>
  <c r="G293" i="16" s="1"/>
  <c r="H293" i="16" s="1"/>
  <c r="X292" i="16"/>
  <c r="O292" i="16"/>
  <c r="E292" i="16"/>
  <c r="F292" i="16" s="1"/>
  <c r="G292" i="16" s="1"/>
  <c r="H292" i="16" s="1"/>
  <c r="X291" i="16"/>
  <c r="O291" i="16"/>
  <c r="E291" i="16"/>
  <c r="F291" i="16" s="1"/>
  <c r="G291" i="16" s="1"/>
  <c r="H291" i="16" s="1"/>
  <c r="X290" i="16"/>
  <c r="O290" i="16"/>
  <c r="E290" i="16"/>
  <c r="F290" i="16" s="1"/>
  <c r="G290" i="16" s="1"/>
  <c r="H290" i="16" s="1"/>
  <c r="X289" i="16"/>
  <c r="O289" i="16"/>
  <c r="E289" i="16"/>
  <c r="F289" i="16" s="1"/>
  <c r="G289" i="16" s="1"/>
  <c r="H289" i="16" s="1"/>
  <c r="X288" i="16"/>
  <c r="O288" i="16"/>
  <c r="E288" i="16"/>
  <c r="F288" i="16" s="1"/>
  <c r="G288" i="16" s="1"/>
  <c r="H288" i="16" s="1"/>
  <c r="X287" i="16"/>
  <c r="O287" i="16"/>
  <c r="E287" i="16"/>
  <c r="F287" i="16" s="1"/>
  <c r="G287" i="16" s="1"/>
  <c r="H287" i="16" s="1"/>
  <c r="X286" i="16"/>
  <c r="O286" i="16"/>
  <c r="E286" i="16"/>
  <c r="F286" i="16" s="1"/>
  <c r="G286" i="16" s="1"/>
  <c r="H286" i="16" s="1"/>
  <c r="X285" i="16"/>
  <c r="O285" i="16"/>
  <c r="E285" i="16"/>
  <c r="F285" i="16" s="1"/>
  <c r="G285" i="16" s="1"/>
  <c r="H285" i="16" s="1"/>
  <c r="X284" i="16"/>
  <c r="O284" i="16"/>
  <c r="E284" i="16"/>
  <c r="F284" i="16" s="1"/>
  <c r="G284" i="16" s="1"/>
  <c r="H284" i="16" s="1"/>
  <c r="X283" i="16"/>
  <c r="O283" i="16"/>
  <c r="E283" i="16"/>
  <c r="F283" i="16" s="1"/>
  <c r="G283" i="16" s="1"/>
  <c r="H283" i="16" s="1"/>
  <c r="X282" i="16"/>
  <c r="O282" i="16"/>
  <c r="E282" i="16"/>
  <c r="F282" i="16" s="1"/>
  <c r="G282" i="16" s="1"/>
  <c r="H282" i="16" s="1"/>
  <c r="X281" i="16"/>
  <c r="O281" i="16"/>
  <c r="E281" i="16"/>
  <c r="F281" i="16" s="1"/>
  <c r="G281" i="16" s="1"/>
  <c r="H281" i="16" s="1"/>
  <c r="X280" i="16"/>
  <c r="O280" i="16"/>
  <c r="E280" i="16"/>
  <c r="F280" i="16" s="1"/>
  <c r="G280" i="16" s="1"/>
  <c r="H280" i="16" s="1"/>
  <c r="X279" i="16"/>
  <c r="O279" i="16"/>
  <c r="E279" i="16"/>
  <c r="F279" i="16" s="1"/>
  <c r="G279" i="16" s="1"/>
  <c r="H279" i="16" s="1"/>
  <c r="X278" i="16"/>
  <c r="O278" i="16"/>
  <c r="E278" i="16"/>
  <c r="F278" i="16" s="1"/>
  <c r="G278" i="16" s="1"/>
  <c r="H278" i="16" s="1"/>
  <c r="X277" i="16"/>
  <c r="O277" i="16"/>
  <c r="E277" i="16"/>
  <c r="F277" i="16" s="1"/>
  <c r="G277" i="16" s="1"/>
  <c r="H277" i="16" s="1"/>
  <c r="X276" i="16"/>
  <c r="O276" i="16"/>
  <c r="E276" i="16"/>
  <c r="F276" i="16" s="1"/>
  <c r="G276" i="16" s="1"/>
  <c r="H276" i="16" s="1"/>
  <c r="X275" i="16"/>
  <c r="O275" i="16"/>
  <c r="E275" i="16"/>
  <c r="F275" i="16" s="1"/>
  <c r="G275" i="16" s="1"/>
  <c r="H275" i="16" s="1"/>
  <c r="X274" i="16"/>
  <c r="O274" i="16"/>
  <c r="E274" i="16"/>
  <c r="F274" i="16" s="1"/>
  <c r="G274" i="16" s="1"/>
  <c r="H274" i="16" s="1"/>
  <c r="X273" i="16"/>
  <c r="O273" i="16"/>
  <c r="E273" i="16"/>
  <c r="F273" i="16" s="1"/>
  <c r="G273" i="16" s="1"/>
  <c r="H273" i="16" s="1"/>
  <c r="X272" i="16"/>
  <c r="O272" i="16"/>
  <c r="E272" i="16"/>
  <c r="F272" i="16" s="1"/>
  <c r="G272" i="16" s="1"/>
  <c r="H272" i="16" s="1"/>
  <c r="X271" i="16"/>
  <c r="O271" i="16"/>
  <c r="E271" i="16"/>
  <c r="F271" i="16" s="1"/>
  <c r="G271" i="16" s="1"/>
  <c r="H271" i="16" s="1"/>
  <c r="X270" i="16"/>
  <c r="O270" i="16"/>
  <c r="E270" i="16"/>
  <c r="F270" i="16" s="1"/>
  <c r="G270" i="16" s="1"/>
  <c r="H270" i="16" s="1"/>
  <c r="X269" i="16"/>
  <c r="O269" i="16"/>
  <c r="E269" i="16"/>
  <c r="F269" i="16" s="1"/>
  <c r="G269" i="16" s="1"/>
  <c r="H269" i="16" s="1"/>
  <c r="X268" i="16"/>
  <c r="O268" i="16"/>
  <c r="E268" i="16"/>
  <c r="F268" i="16" s="1"/>
  <c r="G268" i="16" s="1"/>
  <c r="H268" i="16" s="1"/>
  <c r="X267" i="16"/>
  <c r="O267" i="16"/>
  <c r="E267" i="16"/>
  <c r="F267" i="16" s="1"/>
  <c r="G267" i="16" s="1"/>
  <c r="H267" i="16" s="1"/>
  <c r="X266" i="16"/>
  <c r="O266" i="16"/>
  <c r="E266" i="16"/>
  <c r="F266" i="16" s="1"/>
  <c r="G266" i="16" s="1"/>
  <c r="H266" i="16" s="1"/>
  <c r="X265" i="16"/>
  <c r="O265" i="16"/>
  <c r="E265" i="16"/>
  <c r="F265" i="16" s="1"/>
  <c r="G265" i="16" s="1"/>
  <c r="H265" i="16" s="1"/>
  <c r="X264" i="16"/>
  <c r="O264" i="16"/>
  <c r="E264" i="16"/>
  <c r="F264" i="16" s="1"/>
  <c r="G264" i="16" s="1"/>
  <c r="H264" i="16" s="1"/>
  <c r="X263" i="16"/>
  <c r="O263" i="16"/>
  <c r="E263" i="16"/>
  <c r="F263" i="16" s="1"/>
  <c r="G263" i="16" s="1"/>
  <c r="H263" i="16" s="1"/>
  <c r="X262" i="16"/>
  <c r="O262" i="16"/>
  <c r="E262" i="16"/>
  <c r="F262" i="16" s="1"/>
  <c r="G262" i="16" s="1"/>
  <c r="H262" i="16" s="1"/>
  <c r="X261" i="16"/>
  <c r="O261" i="16"/>
  <c r="E261" i="16"/>
  <c r="F261" i="16" s="1"/>
  <c r="G261" i="16" s="1"/>
  <c r="H261" i="16" s="1"/>
  <c r="X260" i="16"/>
  <c r="Y260" i="16" s="1"/>
  <c r="O260" i="16"/>
  <c r="E260" i="16"/>
  <c r="F260" i="16" s="1"/>
  <c r="G260" i="16" s="1"/>
  <c r="H260" i="16" s="1"/>
  <c r="X259" i="16"/>
  <c r="O259" i="16"/>
  <c r="E259" i="16"/>
  <c r="F259" i="16" s="1"/>
  <c r="G259" i="16" s="1"/>
  <c r="H259" i="16" s="1"/>
  <c r="X258" i="16"/>
  <c r="Y258" i="16" s="1"/>
  <c r="O258" i="16"/>
  <c r="E258" i="16"/>
  <c r="F258" i="16" s="1"/>
  <c r="G258" i="16" s="1"/>
  <c r="H258" i="16" s="1"/>
  <c r="X257" i="16"/>
  <c r="Y257" i="16" s="1"/>
  <c r="O257" i="16"/>
  <c r="E257" i="16"/>
  <c r="F257" i="16" s="1"/>
  <c r="G257" i="16" s="1"/>
  <c r="H257" i="16" s="1"/>
  <c r="X256" i="16"/>
  <c r="O256" i="16"/>
  <c r="E256" i="16"/>
  <c r="F256" i="16" s="1"/>
  <c r="G256" i="16" s="1"/>
  <c r="H256" i="16" s="1"/>
  <c r="X255" i="16"/>
  <c r="O255" i="16"/>
  <c r="E255" i="16"/>
  <c r="F255" i="16" s="1"/>
  <c r="G255" i="16" s="1"/>
  <c r="H255" i="16" s="1"/>
  <c r="X254" i="16"/>
  <c r="O254" i="16"/>
  <c r="E254" i="16"/>
  <c r="F254" i="16" s="1"/>
  <c r="G254" i="16" s="1"/>
  <c r="H254" i="16" s="1"/>
  <c r="X253" i="16"/>
  <c r="O253" i="16"/>
  <c r="E253" i="16"/>
  <c r="F253" i="16" s="1"/>
  <c r="G253" i="16" s="1"/>
  <c r="H253" i="16" s="1"/>
  <c r="X252" i="16"/>
  <c r="O252" i="16"/>
  <c r="E252" i="16"/>
  <c r="F252" i="16" s="1"/>
  <c r="G252" i="16" s="1"/>
  <c r="H252" i="16" s="1"/>
  <c r="X251" i="16"/>
  <c r="O251" i="16"/>
  <c r="E251" i="16"/>
  <c r="F251" i="16" s="1"/>
  <c r="G251" i="16" s="1"/>
  <c r="H251" i="16" s="1"/>
  <c r="X250" i="16"/>
  <c r="O250" i="16"/>
  <c r="E250" i="16"/>
  <c r="F250" i="16" s="1"/>
  <c r="G250" i="16" s="1"/>
  <c r="H250" i="16" s="1"/>
  <c r="X249" i="16"/>
  <c r="O249" i="16"/>
  <c r="E249" i="16"/>
  <c r="F249" i="16" s="1"/>
  <c r="G249" i="16" s="1"/>
  <c r="H249" i="16" s="1"/>
  <c r="X248" i="16"/>
  <c r="O248" i="16"/>
  <c r="E248" i="16"/>
  <c r="F248" i="16" s="1"/>
  <c r="G248" i="16" s="1"/>
  <c r="H248" i="16" s="1"/>
  <c r="X247" i="16"/>
  <c r="O247" i="16"/>
  <c r="E247" i="16"/>
  <c r="F247" i="16" s="1"/>
  <c r="G247" i="16" s="1"/>
  <c r="H247" i="16" s="1"/>
  <c r="X246" i="16"/>
  <c r="O246" i="16"/>
  <c r="E246" i="16"/>
  <c r="F246" i="16" s="1"/>
  <c r="G246" i="16" s="1"/>
  <c r="H246" i="16" s="1"/>
  <c r="X245" i="16"/>
  <c r="O245" i="16"/>
  <c r="E245" i="16"/>
  <c r="F245" i="16" s="1"/>
  <c r="G245" i="16" s="1"/>
  <c r="H245" i="16" s="1"/>
  <c r="X244" i="16"/>
  <c r="O244" i="16"/>
  <c r="E244" i="16"/>
  <c r="F244" i="16" s="1"/>
  <c r="G244" i="16" s="1"/>
  <c r="H244" i="16" s="1"/>
  <c r="X243" i="16"/>
  <c r="O243" i="16"/>
  <c r="E243" i="16"/>
  <c r="F243" i="16" s="1"/>
  <c r="G243" i="16" s="1"/>
  <c r="H243" i="16" s="1"/>
  <c r="X242" i="16"/>
  <c r="O242" i="16"/>
  <c r="E242" i="16"/>
  <c r="F242" i="16" s="1"/>
  <c r="G242" i="16" s="1"/>
  <c r="H242" i="16" s="1"/>
  <c r="X241" i="16"/>
  <c r="O241" i="16"/>
  <c r="E241" i="16"/>
  <c r="F241" i="16" s="1"/>
  <c r="G241" i="16" s="1"/>
  <c r="H241" i="16" s="1"/>
  <c r="X240" i="16"/>
  <c r="O240" i="16"/>
  <c r="E240" i="16"/>
  <c r="F240" i="16" s="1"/>
  <c r="G240" i="16" s="1"/>
  <c r="H240" i="16" s="1"/>
  <c r="X239" i="16"/>
  <c r="O239" i="16"/>
  <c r="E239" i="16"/>
  <c r="F239" i="16" s="1"/>
  <c r="G239" i="16" s="1"/>
  <c r="H239" i="16" s="1"/>
  <c r="X238" i="16"/>
  <c r="O238" i="16"/>
  <c r="E238" i="16"/>
  <c r="F238" i="16" s="1"/>
  <c r="G238" i="16" s="1"/>
  <c r="H238" i="16" s="1"/>
  <c r="X237" i="16"/>
  <c r="O237" i="16"/>
  <c r="E237" i="16"/>
  <c r="F237" i="16" s="1"/>
  <c r="G237" i="16" s="1"/>
  <c r="H237" i="16" s="1"/>
  <c r="X236" i="16"/>
  <c r="O236" i="16"/>
  <c r="E236" i="16"/>
  <c r="F236" i="16" s="1"/>
  <c r="G236" i="16" s="1"/>
  <c r="H236" i="16" s="1"/>
  <c r="X235" i="16"/>
  <c r="Y235" i="16" s="1"/>
  <c r="O235" i="16"/>
  <c r="E235" i="16"/>
  <c r="F235" i="16" s="1"/>
  <c r="G235" i="16" s="1"/>
  <c r="H235" i="16" s="1"/>
  <c r="X234" i="16"/>
  <c r="O234" i="16"/>
  <c r="E234" i="16"/>
  <c r="F234" i="16" s="1"/>
  <c r="G234" i="16" s="1"/>
  <c r="H234" i="16" s="1"/>
  <c r="X233" i="16"/>
  <c r="O233" i="16"/>
  <c r="E233" i="16"/>
  <c r="F233" i="16" s="1"/>
  <c r="G233" i="16" s="1"/>
  <c r="H233" i="16" s="1"/>
  <c r="X232" i="16"/>
  <c r="Y232" i="16" s="1"/>
  <c r="O232" i="16"/>
  <c r="E232" i="16"/>
  <c r="F232" i="16" s="1"/>
  <c r="G232" i="16" s="1"/>
  <c r="H232" i="16" s="1"/>
  <c r="X231" i="16"/>
  <c r="O231" i="16"/>
  <c r="E231" i="16"/>
  <c r="F231" i="16" s="1"/>
  <c r="G231" i="16" s="1"/>
  <c r="H231" i="16" s="1"/>
  <c r="X230" i="16"/>
  <c r="O230" i="16"/>
  <c r="E230" i="16"/>
  <c r="F230" i="16" s="1"/>
  <c r="G230" i="16" s="1"/>
  <c r="H230" i="16" s="1"/>
  <c r="X229" i="16"/>
  <c r="O229" i="16"/>
  <c r="E229" i="16"/>
  <c r="F229" i="16" s="1"/>
  <c r="G229" i="16" s="1"/>
  <c r="H229" i="16" s="1"/>
  <c r="X228" i="16"/>
  <c r="O228" i="16"/>
  <c r="E228" i="16"/>
  <c r="F228" i="16" s="1"/>
  <c r="G228" i="16" s="1"/>
  <c r="H228" i="16" s="1"/>
  <c r="X227" i="16"/>
  <c r="O227" i="16"/>
  <c r="E227" i="16"/>
  <c r="F227" i="16" s="1"/>
  <c r="G227" i="16" s="1"/>
  <c r="H227" i="16" s="1"/>
  <c r="X226" i="16"/>
  <c r="O226" i="16"/>
  <c r="E226" i="16"/>
  <c r="F226" i="16" s="1"/>
  <c r="G226" i="16" s="1"/>
  <c r="H226" i="16" s="1"/>
  <c r="X225" i="16"/>
  <c r="O225" i="16"/>
  <c r="E225" i="16"/>
  <c r="F225" i="16" s="1"/>
  <c r="G225" i="16" s="1"/>
  <c r="H225" i="16" s="1"/>
  <c r="X224" i="16"/>
  <c r="O224" i="16"/>
  <c r="E224" i="16"/>
  <c r="F224" i="16" s="1"/>
  <c r="G224" i="16" s="1"/>
  <c r="H224" i="16" s="1"/>
  <c r="X223" i="16"/>
  <c r="O223" i="16"/>
  <c r="E223" i="16"/>
  <c r="F223" i="16" s="1"/>
  <c r="G223" i="16" s="1"/>
  <c r="H223" i="16" s="1"/>
  <c r="X222" i="16"/>
  <c r="O222" i="16"/>
  <c r="E222" i="16"/>
  <c r="F222" i="16" s="1"/>
  <c r="G222" i="16" s="1"/>
  <c r="H222" i="16" s="1"/>
  <c r="X221" i="16"/>
  <c r="O221" i="16"/>
  <c r="E221" i="16"/>
  <c r="F221" i="16" s="1"/>
  <c r="G221" i="16" s="1"/>
  <c r="H221" i="16" s="1"/>
  <c r="X220" i="16"/>
  <c r="O220" i="16"/>
  <c r="E220" i="16"/>
  <c r="F220" i="16" s="1"/>
  <c r="G220" i="16" s="1"/>
  <c r="H220" i="16" s="1"/>
  <c r="X219" i="16"/>
  <c r="O219" i="16"/>
  <c r="E219" i="16"/>
  <c r="F219" i="16" s="1"/>
  <c r="G219" i="16" s="1"/>
  <c r="H219" i="16" s="1"/>
  <c r="X218" i="16"/>
  <c r="O218" i="16"/>
  <c r="E218" i="16"/>
  <c r="F218" i="16" s="1"/>
  <c r="G218" i="16" s="1"/>
  <c r="H218" i="16" s="1"/>
  <c r="X217" i="16"/>
  <c r="O217" i="16"/>
  <c r="E217" i="16"/>
  <c r="F217" i="16" s="1"/>
  <c r="G217" i="16" s="1"/>
  <c r="H217" i="16" s="1"/>
  <c r="X216" i="16"/>
  <c r="O216" i="16"/>
  <c r="E216" i="16"/>
  <c r="F216" i="16" s="1"/>
  <c r="G216" i="16" s="1"/>
  <c r="H216" i="16" s="1"/>
  <c r="X215" i="16"/>
  <c r="O215" i="16"/>
  <c r="E215" i="16"/>
  <c r="F215" i="16" s="1"/>
  <c r="G215" i="16" s="1"/>
  <c r="H215" i="16" s="1"/>
  <c r="X214" i="16"/>
  <c r="O214" i="16"/>
  <c r="E214" i="16"/>
  <c r="F214" i="16" s="1"/>
  <c r="G214" i="16" s="1"/>
  <c r="H214" i="16" s="1"/>
  <c r="X213" i="16"/>
  <c r="O213" i="16"/>
  <c r="E213" i="16"/>
  <c r="F213" i="16" s="1"/>
  <c r="G213" i="16" s="1"/>
  <c r="H213" i="16" s="1"/>
  <c r="X212" i="16"/>
  <c r="O212" i="16"/>
  <c r="E212" i="16"/>
  <c r="F212" i="16" s="1"/>
  <c r="G212" i="16" s="1"/>
  <c r="H212" i="16" s="1"/>
  <c r="X211" i="16"/>
  <c r="O211" i="16"/>
  <c r="E211" i="16"/>
  <c r="F211" i="16" s="1"/>
  <c r="G211" i="16" s="1"/>
  <c r="H211" i="16" s="1"/>
  <c r="X210" i="16"/>
  <c r="O210" i="16"/>
  <c r="E210" i="16"/>
  <c r="F210" i="16" s="1"/>
  <c r="G210" i="16" s="1"/>
  <c r="H210" i="16" s="1"/>
  <c r="X209" i="16"/>
  <c r="O209" i="16"/>
  <c r="E209" i="16"/>
  <c r="F209" i="16" s="1"/>
  <c r="G209" i="16" s="1"/>
  <c r="H209" i="16" s="1"/>
  <c r="X208" i="16"/>
  <c r="O208" i="16"/>
  <c r="E208" i="16"/>
  <c r="F208" i="16" s="1"/>
  <c r="G208" i="16" s="1"/>
  <c r="H208" i="16" s="1"/>
  <c r="X207" i="16"/>
  <c r="O207" i="16"/>
  <c r="E207" i="16"/>
  <c r="F207" i="16" s="1"/>
  <c r="G207" i="16" s="1"/>
  <c r="H207" i="16" s="1"/>
  <c r="X206" i="16"/>
  <c r="O206" i="16"/>
  <c r="E206" i="16"/>
  <c r="F206" i="16" s="1"/>
  <c r="G206" i="16" s="1"/>
  <c r="H206" i="16" s="1"/>
  <c r="X205" i="16"/>
  <c r="O205" i="16"/>
  <c r="E205" i="16"/>
  <c r="F205" i="16" s="1"/>
  <c r="G205" i="16" s="1"/>
  <c r="H205" i="16" s="1"/>
  <c r="X204" i="16"/>
  <c r="O204" i="16"/>
  <c r="E204" i="16"/>
  <c r="F204" i="16" s="1"/>
  <c r="G204" i="16" s="1"/>
  <c r="H204" i="16" s="1"/>
  <c r="X203" i="16"/>
  <c r="O203" i="16"/>
  <c r="E203" i="16"/>
  <c r="F203" i="16" s="1"/>
  <c r="G203" i="16" s="1"/>
  <c r="H203" i="16" s="1"/>
  <c r="X202" i="16"/>
  <c r="O202" i="16"/>
  <c r="E202" i="16"/>
  <c r="F202" i="16" s="1"/>
  <c r="G202" i="16" s="1"/>
  <c r="H202" i="16" s="1"/>
  <c r="X201" i="16"/>
  <c r="O201" i="16"/>
  <c r="E201" i="16"/>
  <c r="F201" i="16" s="1"/>
  <c r="G201" i="16" s="1"/>
  <c r="H201" i="16" s="1"/>
  <c r="X200" i="16"/>
  <c r="O200" i="16"/>
  <c r="E200" i="16"/>
  <c r="F200" i="16" s="1"/>
  <c r="G200" i="16" s="1"/>
  <c r="H200" i="16" s="1"/>
  <c r="X199" i="16"/>
  <c r="O199" i="16"/>
  <c r="E199" i="16"/>
  <c r="F199" i="16" s="1"/>
  <c r="G199" i="16" s="1"/>
  <c r="H199" i="16" s="1"/>
  <c r="X198" i="16"/>
  <c r="O198" i="16"/>
  <c r="E198" i="16"/>
  <c r="F198" i="16" s="1"/>
  <c r="G198" i="16" s="1"/>
  <c r="H198" i="16" s="1"/>
  <c r="X197" i="16"/>
  <c r="O197" i="16"/>
  <c r="E197" i="16"/>
  <c r="F197" i="16" s="1"/>
  <c r="G197" i="16" s="1"/>
  <c r="H197" i="16" s="1"/>
  <c r="X196" i="16"/>
  <c r="O196" i="16"/>
  <c r="E196" i="16"/>
  <c r="F196" i="16" s="1"/>
  <c r="G196" i="16" s="1"/>
  <c r="H196" i="16" s="1"/>
  <c r="X195" i="16"/>
  <c r="O195" i="16"/>
  <c r="E195" i="16"/>
  <c r="F195" i="16" s="1"/>
  <c r="G195" i="16" s="1"/>
  <c r="H195" i="16" s="1"/>
  <c r="X194" i="16"/>
  <c r="O194" i="16"/>
  <c r="E194" i="16"/>
  <c r="F194" i="16" s="1"/>
  <c r="G194" i="16" s="1"/>
  <c r="H194" i="16" s="1"/>
  <c r="X193" i="16"/>
  <c r="O193" i="16"/>
  <c r="E193" i="16"/>
  <c r="F193" i="16" s="1"/>
  <c r="G193" i="16" s="1"/>
  <c r="H193" i="16" s="1"/>
  <c r="X192" i="16"/>
  <c r="O192" i="16"/>
  <c r="E192" i="16"/>
  <c r="F192" i="16" s="1"/>
  <c r="G192" i="16" s="1"/>
  <c r="H192" i="16" s="1"/>
  <c r="X191" i="16"/>
  <c r="O191" i="16"/>
  <c r="E191" i="16"/>
  <c r="F191" i="16" s="1"/>
  <c r="G191" i="16" s="1"/>
  <c r="H191" i="16" s="1"/>
  <c r="X190" i="16"/>
  <c r="O190" i="16"/>
  <c r="E190" i="16"/>
  <c r="F190" i="16" s="1"/>
  <c r="G190" i="16" s="1"/>
  <c r="H190" i="16" s="1"/>
  <c r="X189" i="16"/>
  <c r="O189" i="16"/>
  <c r="E189" i="16"/>
  <c r="F189" i="16" s="1"/>
  <c r="G189" i="16" s="1"/>
  <c r="H189" i="16" s="1"/>
  <c r="X188" i="16"/>
  <c r="O188" i="16"/>
  <c r="E188" i="16"/>
  <c r="F188" i="16" s="1"/>
  <c r="G188" i="16" s="1"/>
  <c r="H188" i="16" s="1"/>
  <c r="X187" i="16"/>
  <c r="O187" i="16"/>
  <c r="E187" i="16"/>
  <c r="F187" i="16" s="1"/>
  <c r="G187" i="16" s="1"/>
  <c r="H187" i="16" s="1"/>
  <c r="X186" i="16"/>
  <c r="O186" i="16"/>
  <c r="E186" i="16"/>
  <c r="F186" i="16" s="1"/>
  <c r="G186" i="16" s="1"/>
  <c r="H186" i="16" s="1"/>
  <c r="X185" i="16"/>
  <c r="O185" i="16"/>
  <c r="E185" i="16"/>
  <c r="F185" i="16" s="1"/>
  <c r="G185" i="16" s="1"/>
  <c r="H185" i="16" s="1"/>
  <c r="X184" i="16"/>
  <c r="Y184" i="16" s="1"/>
  <c r="O184" i="16"/>
  <c r="E184" i="16"/>
  <c r="F184" i="16" s="1"/>
  <c r="G184" i="16" s="1"/>
  <c r="H184" i="16" s="1"/>
  <c r="X183" i="16"/>
  <c r="O183" i="16"/>
  <c r="E183" i="16"/>
  <c r="F183" i="16" s="1"/>
  <c r="G183" i="16" s="1"/>
  <c r="H183" i="16" s="1"/>
  <c r="X182" i="16"/>
  <c r="Y182" i="16" s="1"/>
  <c r="O182" i="16"/>
  <c r="E182" i="16"/>
  <c r="F182" i="16" s="1"/>
  <c r="G182" i="16" s="1"/>
  <c r="H182" i="16" s="1"/>
  <c r="X181" i="16"/>
  <c r="O181" i="16"/>
  <c r="E181" i="16"/>
  <c r="F181" i="16" s="1"/>
  <c r="G181" i="16" s="1"/>
  <c r="H181" i="16" s="1"/>
  <c r="X180" i="16"/>
  <c r="O180" i="16"/>
  <c r="E180" i="16"/>
  <c r="F180" i="16" s="1"/>
  <c r="G180" i="16" s="1"/>
  <c r="H180" i="16" s="1"/>
  <c r="X179" i="16"/>
  <c r="O179" i="16"/>
  <c r="E179" i="16"/>
  <c r="F179" i="16" s="1"/>
  <c r="G179" i="16" s="1"/>
  <c r="H179" i="16" s="1"/>
  <c r="X178" i="16"/>
  <c r="O178" i="16"/>
  <c r="E178" i="16"/>
  <c r="F178" i="16" s="1"/>
  <c r="G178" i="16" s="1"/>
  <c r="H178" i="16" s="1"/>
  <c r="X177" i="16"/>
  <c r="O177" i="16"/>
  <c r="E177" i="16"/>
  <c r="F177" i="16" s="1"/>
  <c r="G177" i="16" s="1"/>
  <c r="H177" i="16" s="1"/>
  <c r="X176" i="16"/>
  <c r="O176" i="16"/>
  <c r="E176" i="16"/>
  <c r="F176" i="16" s="1"/>
  <c r="G176" i="16" s="1"/>
  <c r="H176" i="16" s="1"/>
  <c r="X175" i="16"/>
  <c r="O175" i="16"/>
  <c r="E175" i="16"/>
  <c r="F175" i="16" s="1"/>
  <c r="G175" i="16" s="1"/>
  <c r="H175" i="16" s="1"/>
  <c r="X174" i="16"/>
  <c r="O174" i="16"/>
  <c r="E174" i="16"/>
  <c r="F174" i="16" s="1"/>
  <c r="G174" i="16" s="1"/>
  <c r="H174" i="16" s="1"/>
  <c r="X173" i="16"/>
  <c r="O173" i="16"/>
  <c r="E173" i="16"/>
  <c r="F173" i="16" s="1"/>
  <c r="G173" i="16" s="1"/>
  <c r="H173" i="16" s="1"/>
  <c r="X172" i="16"/>
  <c r="O172" i="16"/>
  <c r="E172" i="16"/>
  <c r="F172" i="16" s="1"/>
  <c r="G172" i="16" s="1"/>
  <c r="H172" i="16" s="1"/>
  <c r="X171" i="16"/>
  <c r="O171" i="16"/>
  <c r="E171" i="16"/>
  <c r="F171" i="16" s="1"/>
  <c r="G171" i="16" s="1"/>
  <c r="H171" i="16" s="1"/>
  <c r="X170" i="16"/>
  <c r="O170" i="16"/>
  <c r="E170" i="16"/>
  <c r="F170" i="16" s="1"/>
  <c r="G170" i="16" s="1"/>
  <c r="H170" i="16" s="1"/>
  <c r="X169" i="16"/>
  <c r="O169" i="16"/>
  <c r="E169" i="16"/>
  <c r="F169" i="16" s="1"/>
  <c r="G169" i="16" s="1"/>
  <c r="H169" i="16" s="1"/>
  <c r="X168" i="16"/>
  <c r="O168" i="16"/>
  <c r="E168" i="16"/>
  <c r="F168" i="16" s="1"/>
  <c r="G168" i="16" s="1"/>
  <c r="H168" i="16" s="1"/>
  <c r="X167" i="16"/>
  <c r="O167" i="16"/>
  <c r="E167" i="16"/>
  <c r="F167" i="16" s="1"/>
  <c r="G167" i="16" s="1"/>
  <c r="H167" i="16" s="1"/>
  <c r="X166" i="16"/>
  <c r="O166" i="16"/>
  <c r="E166" i="16"/>
  <c r="F166" i="16" s="1"/>
  <c r="G166" i="16" s="1"/>
  <c r="H166" i="16" s="1"/>
  <c r="X165" i="16"/>
  <c r="O165" i="16"/>
  <c r="E165" i="16"/>
  <c r="F165" i="16" s="1"/>
  <c r="G165" i="16" s="1"/>
  <c r="H165" i="16" s="1"/>
  <c r="X164" i="16"/>
  <c r="O164" i="16"/>
  <c r="E164" i="16"/>
  <c r="F164" i="16" s="1"/>
  <c r="G164" i="16" s="1"/>
  <c r="H164" i="16" s="1"/>
  <c r="X163" i="16"/>
  <c r="O163" i="16"/>
  <c r="E163" i="16"/>
  <c r="F163" i="16" s="1"/>
  <c r="G163" i="16" s="1"/>
  <c r="H163" i="16" s="1"/>
  <c r="X162" i="16"/>
  <c r="O162" i="16"/>
  <c r="E162" i="16"/>
  <c r="F162" i="16" s="1"/>
  <c r="G162" i="16" s="1"/>
  <c r="H162" i="16" s="1"/>
  <c r="X161" i="16"/>
  <c r="O161" i="16"/>
  <c r="E161" i="16"/>
  <c r="F161" i="16" s="1"/>
  <c r="G161" i="16" s="1"/>
  <c r="H161" i="16" s="1"/>
  <c r="X160" i="16"/>
  <c r="O160" i="16"/>
  <c r="E160" i="16"/>
  <c r="F160" i="16" s="1"/>
  <c r="G160" i="16" s="1"/>
  <c r="H160" i="16" s="1"/>
  <c r="X159" i="16"/>
  <c r="Y159" i="16" s="1"/>
  <c r="O159" i="16"/>
  <c r="E159" i="16"/>
  <c r="F159" i="16" s="1"/>
  <c r="G159" i="16" s="1"/>
  <c r="H159" i="16" s="1"/>
  <c r="X158" i="16"/>
  <c r="O158" i="16"/>
  <c r="E158" i="16"/>
  <c r="F158" i="16" s="1"/>
  <c r="G158" i="16" s="1"/>
  <c r="H158" i="16" s="1"/>
  <c r="X157" i="16"/>
  <c r="O157" i="16"/>
  <c r="E157" i="16"/>
  <c r="F157" i="16" s="1"/>
  <c r="G157" i="16" s="1"/>
  <c r="H157" i="16" s="1"/>
  <c r="X156" i="16"/>
  <c r="O156" i="16"/>
  <c r="E156" i="16"/>
  <c r="F156" i="16" s="1"/>
  <c r="G156" i="16" s="1"/>
  <c r="H156" i="16" s="1"/>
  <c r="X155" i="16"/>
  <c r="O155" i="16"/>
  <c r="E155" i="16"/>
  <c r="F155" i="16" s="1"/>
  <c r="G155" i="16" s="1"/>
  <c r="H155" i="16" s="1"/>
  <c r="X154" i="16"/>
  <c r="O154" i="16"/>
  <c r="E154" i="16"/>
  <c r="F154" i="16" s="1"/>
  <c r="G154" i="16" s="1"/>
  <c r="H154" i="16" s="1"/>
  <c r="X153" i="16"/>
  <c r="O153" i="16"/>
  <c r="E153" i="16"/>
  <c r="F153" i="16" s="1"/>
  <c r="G153" i="16" s="1"/>
  <c r="H153" i="16" s="1"/>
  <c r="X152" i="16"/>
  <c r="O152" i="16"/>
  <c r="E152" i="16"/>
  <c r="F152" i="16" s="1"/>
  <c r="G152" i="16" s="1"/>
  <c r="H152" i="16" s="1"/>
  <c r="X151" i="16"/>
  <c r="O151" i="16"/>
  <c r="E151" i="16"/>
  <c r="F151" i="16" s="1"/>
  <c r="G151" i="16" s="1"/>
  <c r="H151" i="16" s="1"/>
  <c r="X150" i="16"/>
  <c r="O150" i="16"/>
  <c r="E150" i="16"/>
  <c r="F150" i="16" s="1"/>
  <c r="G150" i="16" s="1"/>
  <c r="H150" i="16" s="1"/>
  <c r="X149" i="16"/>
  <c r="O149" i="16"/>
  <c r="E149" i="16"/>
  <c r="F149" i="16" s="1"/>
  <c r="G149" i="16" s="1"/>
  <c r="H149" i="16" s="1"/>
  <c r="X148" i="16"/>
  <c r="O148" i="16"/>
  <c r="E148" i="16"/>
  <c r="F148" i="16" s="1"/>
  <c r="G148" i="16" s="1"/>
  <c r="H148" i="16" s="1"/>
  <c r="X147" i="16"/>
  <c r="O147" i="16"/>
  <c r="E147" i="16"/>
  <c r="F147" i="16" s="1"/>
  <c r="G147" i="16" s="1"/>
  <c r="H147" i="16" s="1"/>
  <c r="X146" i="16"/>
  <c r="O146" i="16"/>
  <c r="E146" i="16"/>
  <c r="F146" i="16" s="1"/>
  <c r="G146" i="16" s="1"/>
  <c r="H146" i="16" s="1"/>
  <c r="X145" i="16"/>
  <c r="O145" i="16"/>
  <c r="E145" i="16"/>
  <c r="F145" i="16" s="1"/>
  <c r="G145" i="16" s="1"/>
  <c r="H145" i="16" s="1"/>
  <c r="X144" i="16"/>
  <c r="O144" i="16"/>
  <c r="E144" i="16"/>
  <c r="F144" i="16" s="1"/>
  <c r="G144" i="16" s="1"/>
  <c r="H144" i="16" s="1"/>
  <c r="X143" i="16"/>
  <c r="O143" i="16"/>
  <c r="E143" i="16"/>
  <c r="F143" i="16" s="1"/>
  <c r="G143" i="16" s="1"/>
  <c r="H143" i="16" s="1"/>
  <c r="X142" i="16"/>
  <c r="O142" i="16"/>
  <c r="E142" i="16"/>
  <c r="F142" i="16" s="1"/>
  <c r="G142" i="16" s="1"/>
  <c r="H142" i="16" s="1"/>
  <c r="X141" i="16"/>
  <c r="O141" i="16"/>
  <c r="E141" i="16"/>
  <c r="F141" i="16" s="1"/>
  <c r="G141" i="16" s="1"/>
  <c r="H141" i="16" s="1"/>
  <c r="X140" i="16"/>
  <c r="O140" i="16"/>
  <c r="E140" i="16"/>
  <c r="F140" i="16" s="1"/>
  <c r="G140" i="16" s="1"/>
  <c r="H140" i="16" s="1"/>
  <c r="X139" i="16"/>
  <c r="O139" i="16"/>
  <c r="E139" i="16"/>
  <c r="F139" i="16" s="1"/>
  <c r="G139" i="16" s="1"/>
  <c r="H139" i="16" s="1"/>
  <c r="X138" i="16"/>
  <c r="O138" i="16"/>
  <c r="E138" i="16"/>
  <c r="F138" i="16" s="1"/>
  <c r="G138" i="16" s="1"/>
  <c r="H138" i="16" s="1"/>
  <c r="X137" i="16"/>
  <c r="O137" i="16"/>
  <c r="E137" i="16"/>
  <c r="F137" i="16" s="1"/>
  <c r="G137" i="16" s="1"/>
  <c r="H137" i="16" s="1"/>
  <c r="X136" i="16"/>
  <c r="O136" i="16"/>
  <c r="E136" i="16"/>
  <c r="F136" i="16" s="1"/>
  <c r="G136" i="16" s="1"/>
  <c r="H136" i="16" s="1"/>
  <c r="X135" i="16"/>
  <c r="O135" i="16"/>
  <c r="E135" i="16"/>
  <c r="F135" i="16" s="1"/>
  <c r="G135" i="16" s="1"/>
  <c r="H135" i="16" s="1"/>
  <c r="X134" i="16"/>
  <c r="O134" i="16"/>
  <c r="E134" i="16"/>
  <c r="F134" i="16" s="1"/>
  <c r="G134" i="16" s="1"/>
  <c r="H134" i="16" s="1"/>
  <c r="X133" i="16"/>
  <c r="O133" i="16"/>
  <c r="E133" i="16"/>
  <c r="F133" i="16" s="1"/>
  <c r="G133" i="16" s="1"/>
  <c r="H133" i="16" s="1"/>
  <c r="X132" i="16"/>
  <c r="O132" i="16"/>
  <c r="E132" i="16"/>
  <c r="F132" i="16" s="1"/>
  <c r="G132" i="16" s="1"/>
  <c r="H132" i="16" s="1"/>
  <c r="X131" i="16"/>
  <c r="O131" i="16"/>
  <c r="E131" i="16"/>
  <c r="F131" i="16" s="1"/>
  <c r="G131" i="16" s="1"/>
  <c r="H131" i="16" s="1"/>
  <c r="X130" i="16"/>
  <c r="O130" i="16"/>
  <c r="E130" i="16"/>
  <c r="F130" i="16" s="1"/>
  <c r="G130" i="16" s="1"/>
  <c r="H130" i="16" s="1"/>
  <c r="X129" i="16"/>
  <c r="O129" i="16"/>
  <c r="E129" i="16"/>
  <c r="F129" i="16" s="1"/>
  <c r="G129" i="16" s="1"/>
  <c r="H129" i="16" s="1"/>
  <c r="X128" i="16"/>
  <c r="O128" i="16"/>
  <c r="E128" i="16"/>
  <c r="F128" i="16" s="1"/>
  <c r="G128" i="16" s="1"/>
  <c r="H128" i="16" s="1"/>
  <c r="X127" i="16"/>
  <c r="O127" i="16"/>
  <c r="E127" i="16"/>
  <c r="F127" i="16" s="1"/>
  <c r="G127" i="16" s="1"/>
  <c r="H127" i="16" s="1"/>
  <c r="X126" i="16"/>
  <c r="O126" i="16"/>
  <c r="E126" i="16"/>
  <c r="F126" i="16" s="1"/>
  <c r="G126" i="16" s="1"/>
  <c r="H126" i="16" s="1"/>
  <c r="X125" i="16"/>
  <c r="O125" i="16"/>
  <c r="E125" i="16"/>
  <c r="F125" i="16" s="1"/>
  <c r="G125" i="16" s="1"/>
  <c r="H125" i="16" s="1"/>
  <c r="X124" i="16"/>
  <c r="Y124" i="16" s="1"/>
  <c r="O124" i="16"/>
  <c r="E124" i="16"/>
  <c r="F124" i="16" s="1"/>
  <c r="G124" i="16" s="1"/>
  <c r="H124" i="16" s="1"/>
  <c r="X123" i="16"/>
  <c r="O123" i="16"/>
  <c r="E123" i="16"/>
  <c r="F123" i="16" s="1"/>
  <c r="G123" i="16" s="1"/>
  <c r="H123" i="16" s="1"/>
  <c r="X122" i="16"/>
  <c r="O122" i="16"/>
  <c r="E122" i="16"/>
  <c r="F122" i="16" s="1"/>
  <c r="G122" i="16" s="1"/>
  <c r="H122" i="16" s="1"/>
  <c r="X121" i="16"/>
  <c r="O121" i="16"/>
  <c r="E121" i="16"/>
  <c r="F121" i="16" s="1"/>
  <c r="G121" i="16" s="1"/>
  <c r="H121" i="16" s="1"/>
  <c r="X120" i="16"/>
  <c r="O120" i="16"/>
  <c r="E120" i="16"/>
  <c r="F120" i="16" s="1"/>
  <c r="G120" i="16" s="1"/>
  <c r="H120" i="16" s="1"/>
  <c r="X119" i="16"/>
  <c r="O119" i="16"/>
  <c r="E119" i="16"/>
  <c r="F119" i="16" s="1"/>
  <c r="G119" i="16" s="1"/>
  <c r="H119" i="16" s="1"/>
  <c r="X118" i="16"/>
  <c r="O118" i="16"/>
  <c r="E118" i="16"/>
  <c r="F118" i="16" s="1"/>
  <c r="G118" i="16" s="1"/>
  <c r="H118" i="16" s="1"/>
  <c r="X117" i="16"/>
  <c r="O117" i="16"/>
  <c r="E117" i="16"/>
  <c r="F117" i="16" s="1"/>
  <c r="G117" i="16" s="1"/>
  <c r="H117" i="16" s="1"/>
  <c r="X116" i="16"/>
  <c r="O116" i="16"/>
  <c r="E116" i="16"/>
  <c r="F116" i="16" s="1"/>
  <c r="G116" i="16" s="1"/>
  <c r="H116" i="16" s="1"/>
  <c r="X115" i="16"/>
  <c r="O115" i="16"/>
  <c r="E115" i="16"/>
  <c r="F115" i="16" s="1"/>
  <c r="G115" i="16" s="1"/>
  <c r="H115" i="16" s="1"/>
  <c r="X114" i="16"/>
  <c r="O114" i="16"/>
  <c r="E114" i="16"/>
  <c r="F114" i="16" s="1"/>
  <c r="G114" i="16" s="1"/>
  <c r="H114" i="16" s="1"/>
  <c r="X113" i="16"/>
  <c r="O113" i="16"/>
  <c r="E113" i="16"/>
  <c r="F113" i="16" s="1"/>
  <c r="G113" i="16" s="1"/>
  <c r="H113" i="16" s="1"/>
  <c r="X112" i="16"/>
  <c r="O112" i="16"/>
  <c r="E112" i="16"/>
  <c r="F112" i="16" s="1"/>
  <c r="G112" i="16" s="1"/>
  <c r="H112" i="16" s="1"/>
  <c r="X111" i="16"/>
  <c r="O111" i="16"/>
  <c r="E111" i="16"/>
  <c r="F111" i="16" s="1"/>
  <c r="G111" i="16" s="1"/>
  <c r="H111" i="16" s="1"/>
  <c r="X110" i="16"/>
  <c r="O110" i="16"/>
  <c r="E110" i="16"/>
  <c r="F110" i="16" s="1"/>
  <c r="G110" i="16" s="1"/>
  <c r="H110" i="16" s="1"/>
  <c r="X109" i="16"/>
  <c r="O109" i="16"/>
  <c r="E109" i="16"/>
  <c r="F109" i="16" s="1"/>
  <c r="G109" i="16" s="1"/>
  <c r="H109" i="16" s="1"/>
  <c r="X108" i="16"/>
  <c r="O108" i="16"/>
  <c r="E108" i="16"/>
  <c r="F108" i="16" s="1"/>
  <c r="G108" i="16" s="1"/>
  <c r="H108" i="16" s="1"/>
  <c r="X107" i="16"/>
  <c r="O107" i="16"/>
  <c r="E107" i="16"/>
  <c r="F107" i="16" s="1"/>
  <c r="G107" i="16" s="1"/>
  <c r="H107" i="16" s="1"/>
  <c r="X106" i="16"/>
  <c r="O106" i="16"/>
  <c r="E106" i="16"/>
  <c r="F106" i="16" s="1"/>
  <c r="G106" i="16" s="1"/>
  <c r="H106" i="16" s="1"/>
  <c r="X105" i="16"/>
  <c r="O105" i="16"/>
  <c r="E105" i="16"/>
  <c r="F105" i="16" s="1"/>
  <c r="G105" i="16" s="1"/>
  <c r="H105" i="16" s="1"/>
  <c r="X104" i="16"/>
  <c r="O104" i="16"/>
  <c r="E104" i="16"/>
  <c r="F104" i="16" s="1"/>
  <c r="G104" i="16" s="1"/>
  <c r="H104" i="16" s="1"/>
  <c r="X103" i="16"/>
  <c r="O103" i="16"/>
  <c r="E103" i="16"/>
  <c r="F103" i="16" s="1"/>
  <c r="G103" i="16" s="1"/>
  <c r="H103" i="16" s="1"/>
  <c r="X102" i="16"/>
  <c r="O102" i="16"/>
  <c r="E102" i="16"/>
  <c r="F102" i="16" s="1"/>
  <c r="G102" i="16" s="1"/>
  <c r="H102" i="16" s="1"/>
  <c r="X101" i="16"/>
  <c r="O101" i="16"/>
  <c r="E101" i="16"/>
  <c r="F101" i="16" s="1"/>
  <c r="G101" i="16" s="1"/>
  <c r="H101" i="16" s="1"/>
  <c r="X100" i="16"/>
  <c r="O100" i="16"/>
  <c r="E100" i="16"/>
  <c r="F100" i="16" s="1"/>
  <c r="G100" i="16" s="1"/>
  <c r="H100" i="16" s="1"/>
  <c r="X99" i="16"/>
  <c r="O99" i="16"/>
  <c r="E99" i="16"/>
  <c r="F99" i="16" s="1"/>
  <c r="G99" i="16" s="1"/>
  <c r="H99" i="16" s="1"/>
  <c r="X98" i="16"/>
  <c r="O98" i="16"/>
  <c r="E98" i="16"/>
  <c r="F98" i="16" s="1"/>
  <c r="G98" i="16" s="1"/>
  <c r="H98" i="16" s="1"/>
  <c r="X97" i="16"/>
  <c r="O97" i="16"/>
  <c r="E97" i="16"/>
  <c r="F97" i="16" s="1"/>
  <c r="G97" i="16" s="1"/>
  <c r="H97" i="16" s="1"/>
  <c r="X96" i="16"/>
  <c r="Q96" i="16"/>
  <c r="O96" i="16"/>
  <c r="E96" i="16"/>
  <c r="F96" i="16" s="1"/>
  <c r="G96" i="16" s="1"/>
  <c r="H96" i="16" s="1"/>
  <c r="X95" i="16"/>
  <c r="Q95" i="16"/>
  <c r="O95" i="16"/>
  <c r="E95" i="16"/>
  <c r="F95" i="16" s="1"/>
  <c r="G95" i="16" s="1"/>
  <c r="H95" i="16" s="1"/>
  <c r="X94" i="16"/>
  <c r="O94" i="16"/>
  <c r="E94" i="16"/>
  <c r="F94" i="16" s="1"/>
  <c r="G94" i="16" s="1"/>
  <c r="H94" i="16" s="1"/>
  <c r="X93" i="16"/>
  <c r="O93" i="16"/>
  <c r="E93" i="16"/>
  <c r="F93" i="16" s="1"/>
  <c r="G93" i="16" s="1"/>
  <c r="H93" i="16" s="1"/>
  <c r="X92" i="16"/>
  <c r="O92" i="16"/>
  <c r="E92" i="16"/>
  <c r="F92" i="16" s="1"/>
  <c r="G92" i="16" s="1"/>
  <c r="H92" i="16" s="1"/>
  <c r="X91" i="16"/>
  <c r="O91" i="16"/>
  <c r="E91" i="16"/>
  <c r="F91" i="16" s="1"/>
  <c r="G91" i="16" s="1"/>
  <c r="H91" i="16" s="1"/>
  <c r="X90" i="16"/>
  <c r="O90" i="16"/>
  <c r="E90" i="16"/>
  <c r="F90" i="16" s="1"/>
  <c r="G90" i="16" s="1"/>
  <c r="H90" i="16" s="1"/>
  <c r="X89" i="16"/>
  <c r="O89" i="16"/>
  <c r="E89" i="16"/>
  <c r="F89" i="16" s="1"/>
  <c r="G89" i="16" s="1"/>
  <c r="H89" i="16" s="1"/>
  <c r="X88" i="16"/>
  <c r="O88" i="16"/>
  <c r="E88" i="16"/>
  <c r="F88" i="16" s="1"/>
  <c r="G88" i="16" s="1"/>
  <c r="H88" i="16" s="1"/>
  <c r="X87" i="16"/>
  <c r="O87" i="16"/>
  <c r="E87" i="16"/>
  <c r="F87" i="16" s="1"/>
  <c r="G87" i="16" s="1"/>
  <c r="H87" i="16" s="1"/>
  <c r="X86" i="16"/>
  <c r="O86" i="16"/>
  <c r="E86" i="16"/>
  <c r="F86" i="16" s="1"/>
  <c r="G86" i="16" s="1"/>
  <c r="H86" i="16" s="1"/>
  <c r="X85" i="16"/>
  <c r="O85" i="16"/>
  <c r="E85" i="16"/>
  <c r="F85" i="16" s="1"/>
  <c r="G85" i="16" s="1"/>
  <c r="H85" i="16" s="1"/>
  <c r="X84" i="16"/>
  <c r="O84" i="16"/>
  <c r="E84" i="16"/>
  <c r="F84" i="16" s="1"/>
  <c r="G84" i="16" s="1"/>
  <c r="H84" i="16" s="1"/>
  <c r="X83" i="16"/>
  <c r="O83" i="16"/>
  <c r="E83" i="16"/>
  <c r="F83" i="16" s="1"/>
  <c r="G83" i="16" s="1"/>
  <c r="H83" i="16" s="1"/>
  <c r="X82" i="16"/>
  <c r="O82" i="16"/>
  <c r="E82" i="16"/>
  <c r="F82" i="16" s="1"/>
  <c r="G82" i="16" s="1"/>
  <c r="H82" i="16" s="1"/>
  <c r="X81" i="16"/>
  <c r="O81" i="16"/>
  <c r="E81" i="16"/>
  <c r="F81" i="16" s="1"/>
  <c r="G81" i="16" s="1"/>
  <c r="H81" i="16" s="1"/>
  <c r="X80" i="16"/>
  <c r="O80" i="16"/>
  <c r="E80" i="16"/>
  <c r="F80" i="16" s="1"/>
  <c r="G80" i="16" s="1"/>
  <c r="H80" i="16" s="1"/>
  <c r="X79" i="16"/>
  <c r="O79" i="16"/>
  <c r="E79" i="16"/>
  <c r="F79" i="16" s="1"/>
  <c r="G79" i="16" s="1"/>
  <c r="H79" i="16" s="1"/>
  <c r="X78" i="16"/>
  <c r="O78" i="16"/>
  <c r="E78" i="16"/>
  <c r="F78" i="16" s="1"/>
  <c r="G78" i="16" s="1"/>
  <c r="H78" i="16" s="1"/>
  <c r="X77" i="16"/>
  <c r="O77" i="16"/>
  <c r="E77" i="16"/>
  <c r="F77" i="16" s="1"/>
  <c r="G77" i="16" s="1"/>
  <c r="H77" i="16" s="1"/>
  <c r="X76" i="16"/>
  <c r="O76" i="16"/>
  <c r="E76" i="16"/>
  <c r="F76" i="16" s="1"/>
  <c r="G76" i="16" s="1"/>
  <c r="H76" i="16" s="1"/>
  <c r="X75" i="16"/>
  <c r="O75" i="16"/>
  <c r="E75" i="16"/>
  <c r="F75" i="16" s="1"/>
  <c r="G75" i="16" s="1"/>
  <c r="H75" i="16" s="1"/>
  <c r="X74" i="16"/>
  <c r="O74" i="16"/>
  <c r="E74" i="16"/>
  <c r="F74" i="16" s="1"/>
  <c r="G74" i="16" s="1"/>
  <c r="H74" i="16" s="1"/>
  <c r="X73" i="16"/>
  <c r="O73" i="16"/>
  <c r="E73" i="16"/>
  <c r="F73" i="16" s="1"/>
  <c r="G73" i="16" s="1"/>
  <c r="H73" i="16" s="1"/>
  <c r="X72" i="16"/>
  <c r="O72" i="16"/>
  <c r="E72" i="16"/>
  <c r="F72" i="16" s="1"/>
  <c r="G72" i="16" s="1"/>
  <c r="H72" i="16" s="1"/>
  <c r="X71" i="16"/>
  <c r="O71" i="16"/>
  <c r="E71" i="16"/>
  <c r="F71" i="16" s="1"/>
  <c r="G71" i="16" s="1"/>
  <c r="H71" i="16" s="1"/>
  <c r="X70" i="16"/>
  <c r="O70" i="16"/>
  <c r="E70" i="16"/>
  <c r="F70" i="16" s="1"/>
  <c r="G70" i="16" s="1"/>
  <c r="H70" i="16" s="1"/>
  <c r="X69" i="16"/>
  <c r="O69" i="16"/>
  <c r="E69" i="16"/>
  <c r="F69" i="16" s="1"/>
  <c r="G69" i="16" s="1"/>
  <c r="H69" i="16" s="1"/>
  <c r="X68" i="16"/>
  <c r="O68" i="16"/>
  <c r="E68" i="16"/>
  <c r="F68" i="16" s="1"/>
  <c r="G68" i="16" s="1"/>
  <c r="H68" i="16" s="1"/>
  <c r="X67" i="16"/>
  <c r="O67" i="16"/>
  <c r="E67" i="16"/>
  <c r="F67" i="16" s="1"/>
  <c r="G67" i="16" s="1"/>
  <c r="H67" i="16" s="1"/>
  <c r="X66" i="16"/>
  <c r="O66" i="16"/>
  <c r="E66" i="16"/>
  <c r="F66" i="16" s="1"/>
  <c r="G66" i="16" s="1"/>
  <c r="H66" i="16" s="1"/>
  <c r="X65" i="16"/>
  <c r="O65" i="16"/>
  <c r="E65" i="16"/>
  <c r="F65" i="16" s="1"/>
  <c r="G65" i="16" s="1"/>
  <c r="H65" i="16" s="1"/>
  <c r="X64" i="16"/>
  <c r="O64" i="16"/>
  <c r="E64" i="16"/>
  <c r="F64" i="16" s="1"/>
  <c r="G64" i="16" s="1"/>
  <c r="H64" i="16" s="1"/>
  <c r="X63" i="16"/>
  <c r="O63" i="16"/>
  <c r="E63" i="16"/>
  <c r="F63" i="16" s="1"/>
  <c r="G63" i="16" s="1"/>
  <c r="H63" i="16" s="1"/>
  <c r="X62" i="16"/>
  <c r="O62" i="16"/>
  <c r="E62" i="16"/>
  <c r="F62" i="16" s="1"/>
  <c r="G62" i="16" s="1"/>
  <c r="H62" i="16" s="1"/>
  <c r="X61" i="16"/>
  <c r="O61" i="16"/>
  <c r="E61" i="16"/>
  <c r="F61" i="16" s="1"/>
  <c r="G61" i="16" s="1"/>
  <c r="H61" i="16" s="1"/>
  <c r="X60" i="16"/>
  <c r="O60" i="16"/>
  <c r="E60" i="16"/>
  <c r="F60" i="16" s="1"/>
  <c r="G60" i="16" s="1"/>
  <c r="H60" i="16" s="1"/>
  <c r="X59" i="16"/>
  <c r="O59" i="16"/>
  <c r="E59" i="16"/>
  <c r="F59" i="16" s="1"/>
  <c r="G59" i="16" s="1"/>
  <c r="H59" i="16" s="1"/>
  <c r="X58" i="16"/>
  <c r="O58" i="16"/>
  <c r="E58" i="16"/>
  <c r="F58" i="16" s="1"/>
  <c r="G58" i="16" s="1"/>
  <c r="H58" i="16" s="1"/>
  <c r="X57" i="16"/>
  <c r="O57" i="16"/>
  <c r="E57" i="16"/>
  <c r="F57" i="16" s="1"/>
  <c r="G57" i="16" s="1"/>
  <c r="H57" i="16" s="1"/>
  <c r="X56" i="16"/>
  <c r="O56" i="16"/>
  <c r="E56" i="16"/>
  <c r="F56" i="16" s="1"/>
  <c r="G56" i="16" s="1"/>
  <c r="H56" i="16" s="1"/>
  <c r="X55" i="16"/>
  <c r="O55" i="16"/>
  <c r="E55" i="16"/>
  <c r="F55" i="16" s="1"/>
  <c r="G55" i="16" s="1"/>
  <c r="H55" i="16" s="1"/>
  <c r="X54" i="16"/>
  <c r="O54" i="16"/>
  <c r="E54" i="16"/>
  <c r="F54" i="16" s="1"/>
  <c r="G54" i="16" s="1"/>
  <c r="H54" i="16" s="1"/>
  <c r="X53" i="16"/>
  <c r="O53" i="16"/>
  <c r="E53" i="16"/>
  <c r="F53" i="16" s="1"/>
  <c r="G53" i="16" s="1"/>
  <c r="H53" i="16" s="1"/>
  <c r="X52" i="16"/>
  <c r="O52" i="16"/>
  <c r="E52" i="16"/>
  <c r="F52" i="16" s="1"/>
  <c r="G52" i="16" s="1"/>
  <c r="H52" i="16" s="1"/>
  <c r="X51" i="16"/>
  <c r="O51" i="16"/>
  <c r="E51" i="16"/>
  <c r="F51" i="16" s="1"/>
  <c r="G51" i="16" s="1"/>
  <c r="H51" i="16" s="1"/>
  <c r="X50" i="16"/>
  <c r="O50" i="16"/>
  <c r="E50" i="16"/>
  <c r="F50" i="16" s="1"/>
  <c r="G50" i="16" s="1"/>
  <c r="H50" i="16" s="1"/>
  <c r="X49" i="16"/>
  <c r="O49" i="16"/>
  <c r="E49" i="16"/>
  <c r="F49" i="16" s="1"/>
  <c r="G49" i="16" s="1"/>
  <c r="H49" i="16" s="1"/>
  <c r="X48" i="16"/>
  <c r="O48" i="16"/>
  <c r="E48" i="16"/>
  <c r="F48" i="16" s="1"/>
  <c r="G48" i="16" s="1"/>
  <c r="H48" i="16" s="1"/>
  <c r="X47" i="16"/>
  <c r="Y47" i="16" s="1"/>
  <c r="O47" i="16"/>
  <c r="E47" i="16"/>
  <c r="F47" i="16" s="1"/>
  <c r="G47" i="16" s="1"/>
  <c r="H47" i="16" s="1"/>
  <c r="X46" i="16"/>
  <c r="O46" i="16"/>
  <c r="E46" i="16"/>
  <c r="F46" i="16" s="1"/>
  <c r="G46" i="16" s="1"/>
  <c r="H46" i="16" s="1"/>
  <c r="X45" i="16"/>
  <c r="Y45" i="16" s="1"/>
  <c r="O45" i="16"/>
  <c r="E45" i="16"/>
  <c r="F45" i="16" s="1"/>
  <c r="G45" i="16" s="1"/>
  <c r="H45" i="16" s="1"/>
  <c r="X44" i="16"/>
  <c r="O44" i="16"/>
  <c r="E44" i="16"/>
  <c r="F44" i="16" s="1"/>
  <c r="G44" i="16" s="1"/>
  <c r="H44" i="16" s="1"/>
  <c r="X43" i="16"/>
  <c r="Y43" i="16" s="1"/>
  <c r="O43" i="16"/>
  <c r="E43" i="16"/>
  <c r="F43" i="16" s="1"/>
  <c r="G43" i="16" s="1"/>
  <c r="H43" i="16" s="1"/>
  <c r="X42" i="16"/>
  <c r="Y42" i="16" s="1"/>
  <c r="O42" i="16"/>
  <c r="E42" i="16"/>
  <c r="F42" i="16" s="1"/>
  <c r="G42" i="16" s="1"/>
  <c r="H42" i="16" s="1"/>
  <c r="X41" i="16"/>
  <c r="Y41" i="16" s="1"/>
  <c r="O41" i="16"/>
  <c r="E41" i="16"/>
  <c r="F41" i="16" s="1"/>
  <c r="G41" i="16" s="1"/>
  <c r="H41" i="16" s="1"/>
  <c r="X40" i="16"/>
  <c r="O40" i="16"/>
  <c r="E40" i="16"/>
  <c r="F40" i="16" s="1"/>
  <c r="G40" i="16" s="1"/>
  <c r="H40" i="16" s="1"/>
  <c r="X39" i="16"/>
  <c r="O39" i="16"/>
  <c r="E39" i="16"/>
  <c r="F39" i="16" s="1"/>
  <c r="G39" i="16" s="1"/>
  <c r="H39" i="16" s="1"/>
  <c r="X38" i="16"/>
  <c r="O38" i="16"/>
  <c r="E38" i="16"/>
  <c r="F38" i="16" s="1"/>
  <c r="G38" i="16" s="1"/>
  <c r="H38" i="16" s="1"/>
  <c r="X37" i="16"/>
  <c r="O37" i="16"/>
  <c r="E37" i="16"/>
  <c r="F37" i="16" s="1"/>
  <c r="G37" i="16" s="1"/>
  <c r="H37" i="16" s="1"/>
  <c r="X36" i="16"/>
  <c r="O36" i="16"/>
  <c r="E36" i="16"/>
  <c r="F36" i="16" s="1"/>
  <c r="G36" i="16" s="1"/>
  <c r="H36" i="16" s="1"/>
  <c r="X35" i="16"/>
  <c r="O35" i="16"/>
  <c r="E35" i="16"/>
  <c r="F35" i="16" s="1"/>
  <c r="G35" i="16" s="1"/>
  <c r="H35" i="16" s="1"/>
  <c r="X34" i="16"/>
  <c r="O34" i="16"/>
  <c r="E34" i="16"/>
  <c r="F34" i="16" s="1"/>
  <c r="G34" i="16" s="1"/>
  <c r="H34" i="16" s="1"/>
  <c r="X33" i="16"/>
  <c r="O33" i="16"/>
  <c r="E33" i="16"/>
  <c r="F33" i="16" s="1"/>
  <c r="G33" i="16" s="1"/>
  <c r="H33" i="16" s="1"/>
  <c r="X32" i="16"/>
  <c r="O32" i="16"/>
  <c r="E32" i="16"/>
  <c r="F32" i="16" s="1"/>
  <c r="G32" i="16" s="1"/>
  <c r="H32" i="16" s="1"/>
  <c r="X31" i="16"/>
  <c r="O31" i="16"/>
  <c r="E31" i="16"/>
  <c r="F31" i="16" s="1"/>
  <c r="G31" i="16" s="1"/>
  <c r="H31" i="16" s="1"/>
  <c r="X30" i="16"/>
  <c r="O30" i="16"/>
  <c r="E30" i="16"/>
  <c r="F30" i="16" s="1"/>
  <c r="G30" i="16" s="1"/>
  <c r="H30" i="16" s="1"/>
  <c r="X29" i="16"/>
  <c r="O29" i="16"/>
  <c r="E29" i="16"/>
  <c r="F29" i="16" s="1"/>
  <c r="G29" i="16" s="1"/>
  <c r="H29" i="16" s="1"/>
  <c r="X28" i="16"/>
  <c r="O28" i="16"/>
  <c r="E28" i="16"/>
  <c r="F28" i="16" s="1"/>
  <c r="G28" i="16" s="1"/>
  <c r="H28" i="16" s="1"/>
  <c r="X27" i="16"/>
  <c r="O27" i="16"/>
  <c r="E27" i="16"/>
  <c r="F27" i="16" s="1"/>
  <c r="G27" i="16" s="1"/>
  <c r="H27" i="16" s="1"/>
  <c r="X26" i="16"/>
  <c r="O26" i="16"/>
  <c r="E26" i="16"/>
  <c r="F26" i="16" s="1"/>
  <c r="G26" i="16" s="1"/>
  <c r="H26" i="16" s="1"/>
  <c r="X25" i="16"/>
  <c r="O25" i="16"/>
  <c r="E25" i="16"/>
  <c r="F25" i="16" s="1"/>
  <c r="G25" i="16" s="1"/>
  <c r="H25" i="16" s="1"/>
  <c r="X24" i="16"/>
  <c r="O24" i="16"/>
  <c r="E24" i="16"/>
  <c r="F24" i="16" s="1"/>
  <c r="G24" i="16" s="1"/>
  <c r="H24" i="16" s="1"/>
  <c r="X23" i="16"/>
  <c r="O23" i="16"/>
  <c r="E23" i="16"/>
  <c r="F23" i="16" s="1"/>
  <c r="G23" i="16" s="1"/>
  <c r="H23" i="16" s="1"/>
  <c r="X22" i="16"/>
  <c r="O22" i="16"/>
  <c r="E22" i="16"/>
  <c r="F22" i="16" s="1"/>
  <c r="G22" i="16" s="1"/>
  <c r="H22" i="16" s="1"/>
  <c r="X21" i="16"/>
  <c r="O21" i="16"/>
  <c r="E21" i="16"/>
  <c r="F21" i="16" s="1"/>
  <c r="G21" i="16" s="1"/>
  <c r="H21" i="16" s="1"/>
  <c r="X20" i="16"/>
  <c r="O20" i="16"/>
  <c r="E20" i="16"/>
  <c r="F20" i="16" s="1"/>
  <c r="G20" i="16" s="1"/>
  <c r="H20" i="16" s="1"/>
  <c r="X19" i="16"/>
  <c r="O19" i="16"/>
  <c r="E19" i="16"/>
  <c r="F19" i="16" s="1"/>
  <c r="G19" i="16" s="1"/>
  <c r="H19" i="16" s="1"/>
  <c r="X18" i="16"/>
  <c r="O18" i="16"/>
  <c r="E18" i="16"/>
  <c r="F18" i="16" s="1"/>
  <c r="G18" i="16" s="1"/>
  <c r="H18" i="16" s="1"/>
  <c r="X17" i="16"/>
  <c r="O17" i="16"/>
  <c r="E17" i="16"/>
  <c r="F17" i="16" s="1"/>
  <c r="G17" i="16" s="1"/>
  <c r="H17" i="16" s="1"/>
  <c r="X16" i="16"/>
  <c r="O16" i="16"/>
  <c r="E16" i="16"/>
  <c r="F16" i="16" s="1"/>
  <c r="G16" i="16" s="1"/>
  <c r="H16" i="16" s="1"/>
  <c r="X15" i="16"/>
  <c r="O15" i="16"/>
  <c r="E15" i="16"/>
  <c r="F15" i="16" s="1"/>
  <c r="G15" i="16" s="1"/>
  <c r="H15" i="16" s="1"/>
  <c r="X14" i="16"/>
  <c r="O14" i="16"/>
  <c r="E14" i="16"/>
  <c r="F14" i="16" s="1"/>
  <c r="G14" i="16" s="1"/>
  <c r="H14" i="16" s="1"/>
  <c r="X13" i="16"/>
  <c r="O13" i="16"/>
  <c r="E13" i="16"/>
  <c r="F13" i="16" s="1"/>
  <c r="G13" i="16" s="1"/>
  <c r="H13" i="16" s="1"/>
  <c r="X12" i="16"/>
  <c r="O12" i="16"/>
  <c r="E12" i="16"/>
  <c r="F12" i="16" s="1"/>
  <c r="G12" i="16" s="1"/>
  <c r="H12" i="16" s="1"/>
  <c r="X11" i="16"/>
  <c r="O11" i="16"/>
  <c r="E11" i="16"/>
  <c r="F11" i="16" s="1"/>
  <c r="G11" i="16" s="1"/>
  <c r="H11" i="16" s="1"/>
  <c r="X10" i="16"/>
  <c r="O10" i="16"/>
  <c r="E10" i="16"/>
  <c r="F10" i="16" s="1"/>
  <c r="G10" i="16" s="1"/>
  <c r="H10" i="16" s="1"/>
  <c r="X9" i="16"/>
  <c r="O9" i="16"/>
  <c r="E9" i="16"/>
  <c r="F9" i="16" s="1"/>
  <c r="G9" i="16" s="1"/>
  <c r="H9" i="16" s="1"/>
  <c r="X8" i="16"/>
  <c r="O8" i="16"/>
  <c r="E8" i="16"/>
  <c r="F8" i="16" s="1"/>
  <c r="G8" i="16" s="1"/>
  <c r="H8" i="16" s="1"/>
  <c r="X7" i="16"/>
  <c r="O7" i="16"/>
  <c r="E7" i="16"/>
  <c r="F7" i="16" s="1"/>
  <c r="G7" i="16" s="1"/>
  <c r="H7" i="16" s="1"/>
  <c r="X6" i="16"/>
  <c r="O6" i="16"/>
  <c r="E6" i="16"/>
  <c r="F6" i="16" s="1"/>
  <c r="G6" i="16" s="1"/>
  <c r="H6" i="16" s="1"/>
  <c r="X5" i="16"/>
  <c r="O5" i="16"/>
  <c r="E5" i="16"/>
  <c r="F5" i="16" s="1"/>
  <c r="G5" i="16" s="1"/>
  <c r="H5" i="16" s="1"/>
  <c r="X4" i="16"/>
  <c r="O4" i="16"/>
  <c r="E4" i="16"/>
  <c r="F4" i="16" s="1"/>
  <c r="G4" i="16" s="1"/>
  <c r="H4" i="16" s="1"/>
  <c r="D4" i="16"/>
  <c r="C4" i="16"/>
  <c r="Z922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물류팀-PC</author>
  </authors>
  <commentList>
    <comment ref="C2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물류팀</t>
        </r>
        <r>
          <rPr>
            <b/>
            <sz val="9"/>
            <color indexed="81"/>
            <rFont val="Tahoma"/>
            <family val="2"/>
          </rPr>
          <t>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영진물산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참들나라
</t>
        </r>
      </text>
    </comment>
    <comment ref="C22" authorId="0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물류팀</t>
        </r>
        <r>
          <rPr>
            <b/>
            <sz val="9"/>
            <color indexed="81"/>
            <rFont val="Tahoma"/>
            <family val="2"/>
          </rPr>
          <t>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영진물산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참들나라
</t>
        </r>
      </text>
    </comment>
    <comment ref="E31" authorId="0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물류팀</t>
        </r>
        <r>
          <rPr>
            <b/>
            <sz val="9"/>
            <color indexed="81"/>
            <rFont val="Tahoma"/>
            <family val="2"/>
          </rPr>
          <t>-PC:</t>
        </r>
        <r>
          <rPr>
            <sz val="9"/>
            <color indexed="81"/>
            <rFont val="Tahoma"/>
            <family val="2"/>
          </rPr>
          <t xml:space="preserve">
gs
</t>
        </r>
      </text>
    </comment>
    <comment ref="C38" authorId="0" shapeId="0" xr:uid="{00000000-0006-0000-0200-000004000000}">
      <text>
        <r>
          <rPr>
            <b/>
            <sz val="9"/>
            <color indexed="81"/>
            <rFont val="돋움"/>
            <family val="3"/>
            <charset val="129"/>
          </rPr>
          <t>물류팀</t>
        </r>
        <r>
          <rPr>
            <b/>
            <sz val="9"/>
            <color indexed="81"/>
            <rFont val="Tahoma"/>
            <family val="2"/>
          </rPr>
          <t>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성창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영진</t>
        </r>
      </text>
    </comment>
    <comment ref="E42" authorId="0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물류팀</t>
        </r>
        <r>
          <rPr>
            <b/>
            <sz val="9"/>
            <color indexed="81"/>
            <rFont val="Tahoma"/>
            <family val="2"/>
          </rPr>
          <t>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홈플러스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물류팀-PC</author>
  </authors>
  <commentList>
    <comment ref="C4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물류팀</t>
        </r>
        <r>
          <rPr>
            <b/>
            <sz val="9"/>
            <color indexed="81"/>
            <rFont val="Tahoma"/>
            <family val="2"/>
          </rPr>
          <t>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사내판매용</t>
        </r>
      </text>
    </comment>
    <comment ref="C278" authorId="0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물류팀</t>
        </r>
        <r>
          <rPr>
            <b/>
            <sz val="9"/>
            <color indexed="81"/>
            <rFont val="Tahoma"/>
            <family val="2"/>
          </rPr>
          <t>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무트레이</t>
        </r>
      </text>
    </comment>
    <comment ref="C279" authorId="0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물류팀</t>
        </r>
        <r>
          <rPr>
            <b/>
            <sz val="9"/>
            <color indexed="81"/>
            <rFont val="Tahoma"/>
            <family val="2"/>
          </rPr>
          <t>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무트레이</t>
        </r>
      </text>
    </comment>
    <comment ref="C280" authorId="0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물류팀</t>
        </r>
        <r>
          <rPr>
            <b/>
            <sz val="9"/>
            <color indexed="81"/>
            <rFont val="Tahoma"/>
            <family val="2"/>
          </rPr>
          <t>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일본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김밥김</t>
        </r>
      </text>
    </comment>
    <comment ref="C285" authorId="0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물류팀</t>
        </r>
        <r>
          <rPr>
            <b/>
            <sz val="9"/>
            <color indexed="81"/>
            <rFont val="Tahoma"/>
            <family val="2"/>
          </rPr>
          <t xml:space="preserve">-PC:
</t>
        </r>
        <r>
          <rPr>
            <b/>
            <sz val="9"/>
            <color indexed="81"/>
            <rFont val="돋움"/>
            <family val="3"/>
            <charset val="129"/>
          </rPr>
          <t xml:space="preserve">샘스전용
</t>
        </r>
      </text>
    </comment>
    <comment ref="C286" authorId="0" shapeId="0" xr:uid="{00000000-0006-0000-0300-000006000000}">
      <text>
        <r>
          <rPr>
            <b/>
            <sz val="9"/>
            <color indexed="81"/>
            <rFont val="돋움"/>
            <family val="3"/>
            <charset val="129"/>
          </rPr>
          <t>물류팀</t>
        </r>
        <r>
          <rPr>
            <b/>
            <sz val="9"/>
            <color indexed="81"/>
            <rFont val="Tahoma"/>
            <family val="2"/>
          </rPr>
          <t xml:space="preserve">-PC:
</t>
        </r>
        <r>
          <rPr>
            <b/>
            <sz val="9"/>
            <color indexed="81"/>
            <rFont val="돋움"/>
            <family val="3"/>
            <charset val="129"/>
          </rPr>
          <t xml:space="preserve">샘스전용
</t>
        </r>
      </text>
    </comment>
    <comment ref="C316" authorId="0" shapeId="0" xr:uid="{00000000-0006-0000-0300-000007000000}">
      <text>
        <r>
          <rPr>
            <b/>
            <sz val="9"/>
            <color indexed="81"/>
            <rFont val="돋움"/>
            <family val="3"/>
            <charset val="129"/>
          </rPr>
          <t>물류팀</t>
        </r>
        <r>
          <rPr>
            <b/>
            <sz val="9"/>
            <color indexed="81"/>
            <rFont val="Tahoma"/>
            <family val="2"/>
          </rPr>
          <t>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김부각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선물세트</t>
        </r>
      </text>
    </comment>
  </commentList>
</comments>
</file>

<file path=xl/sharedStrings.xml><?xml version="1.0" encoding="utf-8"?>
<sst xmlns="http://schemas.openxmlformats.org/spreadsheetml/2006/main" count="8379" uniqueCount="1165">
  <si>
    <t>합계</t>
  </si>
  <si>
    <t>상품명</t>
  </si>
  <si>
    <t>입고</t>
  </si>
  <si>
    <t>출고</t>
  </si>
  <si>
    <t>입수</t>
  </si>
  <si>
    <t>구분</t>
  </si>
  <si>
    <t>현재고</t>
  </si>
  <si>
    <t>B-CP01-05C02A</t>
  </si>
  <si>
    <t>A-HO01-01E01A</t>
  </si>
  <si>
    <t>A-GR01-12E01A</t>
  </si>
  <si>
    <t>B-HO01-02H01A</t>
  </si>
  <si>
    <t>B-GS01-11Z01A</t>
  </si>
  <si>
    <t>B-CP01-08H01A</t>
  </si>
  <si>
    <t>A-CO01-01A01A</t>
  </si>
  <si>
    <t>B-CP01-02H01A</t>
  </si>
  <si>
    <t>B-HO01-02G01A</t>
  </si>
  <si>
    <t>A-SR05-01E01A</t>
  </si>
  <si>
    <t>A-GP04-01E01A</t>
  </si>
  <si>
    <t>B-GR01-02H02A</t>
  </si>
  <si>
    <t>C-SC01-01E02A</t>
  </si>
  <si>
    <t>A-SH02-01E01A</t>
  </si>
  <si>
    <t>A-CO01-10N01A</t>
  </si>
  <si>
    <t>A-HP02-01E02A</t>
  </si>
  <si>
    <t>A-HO01-05B01A</t>
  </si>
  <si>
    <t>B-CO01-01A01A</t>
  </si>
  <si>
    <t>B-HO01-08H01A</t>
  </si>
  <si>
    <t>A-HO01-03C01A</t>
  </si>
  <si>
    <t>B-CO04-01A01A</t>
  </si>
  <si>
    <t>B-CO01-02H01A</t>
  </si>
  <si>
    <t>A-HP02-01E01A</t>
  </si>
  <si>
    <t>B-SH02-01G01A</t>
  </si>
  <si>
    <t>A-CI03-06F01A</t>
  </si>
  <si>
    <t>A-CP01-04E01A</t>
  </si>
  <si>
    <t>A-CP01-12E01A</t>
  </si>
  <si>
    <t>A-HP02-01C01A</t>
  </si>
  <si>
    <t>A-CO02-06F01B</t>
  </si>
  <si>
    <t>C-SC01-01E02B</t>
  </si>
  <si>
    <t>B-CO01-02D03A</t>
  </si>
  <si>
    <t>A-HO01-03B01A</t>
  </si>
  <si>
    <t>A-GS01-01E02A</t>
  </si>
  <si>
    <t>A-BS02-01E02A</t>
  </si>
  <si>
    <t>B-SH02-01G02A</t>
  </si>
  <si>
    <t>A-CO03-01A01A</t>
  </si>
  <si>
    <t>A-BS02-01E01A</t>
  </si>
  <si>
    <t>B-CO01-08H01A</t>
  </si>
  <si>
    <t>B-CO02-01A01A</t>
  </si>
  <si>
    <t>B-GS01-02H01A</t>
  </si>
  <si>
    <t>A-CO01-01A02A</t>
  </si>
  <si>
    <t>B-CO01-01G01A</t>
  </si>
  <si>
    <t>당월출고</t>
  </si>
  <si>
    <t>당월입고</t>
  </si>
  <si>
    <t>그린스팟</t>
  </si>
  <si>
    <t>재고합계</t>
  </si>
  <si>
    <t>전월재고</t>
  </si>
  <si>
    <t>거래처명</t>
    <phoneticPr fontId="6" type="noConversion"/>
  </si>
  <si>
    <t>거래처코드</t>
    <phoneticPr fontId="6" type="noConversion"/>
  </si>
  <si>
    <t>A-CO01-02D02A</t>
  </si>
  <si>
    <t>A-CO01-05C01A</t>
  </si>
  <si>
    <t>A-CO01-04B01A</t>
  </si>
  <si>
    <t>A-CO01-02L01A</t>
  </si>
  <si>
    <t>A-CO01-00N01A</t>
  </si>
  <si>
    <t>A-HO01-02D01A</t>
  </si>
  <si>
    <t>A-GS01-04B01A</t>
  </si>
  <si>
    <t>A-CP01-04B01A</t>
  </si>
  <si>
    <t>A-CP01-02D02A</t>
  </si>
  <si>
    <t>A-CP01-00C01A</t>
  </si>
  <si>
    <t>A-CP01-05C01A</t>
  </si>
  <si>
    <t>A-KU01-02B01A</t>
  </si>
  <si>
    <t>A-GR01-02D03A</t>
  </si>
  <si>
    <t>A-GR01-02D02A</t>
  </si>
  <si>
    <t>A-GR01-05C01A</t>
  </si>
  <si>
    <t>A-GR01-03M01A</t>
  </si>
  <si>
    <t>A-GR01-03M02A</t>
  </si>
  <si>
    <t>A-GR01-10M01A</t>
  </si>
  <si>
    <t>A-GR01-04C01A</t>
  </si>
  <si>
    <t>A-GR01-04B02A</t>
  </si>
  <si>
    <t>A-GR01-10E01A</t>
  </si>
  <si>
    <t>A-YM01-03M01A</t>
  </si>
  <si>
    <t>A-YM01-03M02A</t>
  </si>
  <si>
    <t>A-YM01-04C01A</t>
  </si>
  <si>
    <t>A-CO01-02D02A</t>
    <phoneticPr fontId="7" type="noConversion"/>
  </si>
  <si>
    <t>A-YM01-04C01A</t>
    <phoneticPr fontId="8" type="noConversion"/>
  </si>
  <si>
    <t>00227</t>
  </si>
  <si>
    <t>00102</t>
  </si>
  <si>
    <t>00101</t>
  </si>
  <si>
    <t>00603</t>
  </si>
  <si>
    <t>00872</t>
  </si>
  <si>
    <t>00105</t>
  </si>
  <si>
    <t>00611</t>
  </si>
  <si>
    <t>창고코드</t>
  </si>
  <si>
    <t>창고명</t>
  </si>
  <si>
    <t>C102</t>
  </si>
  <si>
    <t>C002</t>
  </si>
  <si>
    <t>구분</t>
    <phoneticPr fontId="6" type="noConversion"/>
  </si>
  <si>
    <t>창고</t>
    <phoneticPr fontId="6" type="noConversion"/>
  </si>
  <si>
    <t>장소</t>
    <phoneticPr fontId="6" type="noConversion"/>
  </si>
  <si>
    <t>창고코드</t>
    <phoneticPr fontId="6" type="noConversion"/>
  </si>
  <si>
    <t>A-CO01-06F01B</t>
    <phoneticPr fontId="6" type="noConversion"/>
  </si>
  <si>
    <t>상.제품 수불내역</t>
  </si>
  <si>
    <t>일자</t>
  </si>
  <si>
    <t>상제품코드</t>
  </si>
  <si>
    <t>(자반)
완제품창고</t>
    <phoneticPr fontId="6" type="noConversion"/>
  </si>
  <si>
    <t>(식품)
완제품창고</t>
    <phoneticPr fontId="6" type="noConversion"/>
  </si>
  <si>
    <t>(식품)
2층 상제품창고</t>
    <phoneticPr fontId="6" type="noConversion"/>
  </si>
  <si>
    <t>(증축동)
1층 완제품창고</t>
    <phoneticPr fontId="6" type="noConversion"/>
  </si>
  <si>
    <t>(외주)
글로벌 
로직스 창고</t>
    <phoneticPr fontId="6" type="noConversion"/>
  </si>
  <si>
    <t>(생산라인) 완제품 창고</t>
    <phoneticPr fontId="6" type="noConversion"/>
  </si>
  <si>
    <t>단가</t>
  </si>
  <si>
    <t>[입고]
상,제품 합계</t>
    <phoneticPr fontId="6" type="noConversion"/>
  </si>
  <si>
    <t>[출고]
상,제품 합계</t>
    <phoneticPr fontId="6" type="noConversion"/>
  </si>
  <si>
    <t>A-GR01-10E01A</t>
    <phoneticPr fontId="6" type="noConversion"/>
  </si>
  <si>
    <t>예맛/자사</t>
  </si>
  <si>
    <t>실재고</t>
    <phoneticPr fontId="6" type="noConversion"/>
  </si>
  <si>
    <t>B-GS01-01G01A</t>
    <phoneticPr fontId="6" type="noConversion"/>
  </si>
  <si>
    <t>합계</t>
    <phoneticPr fontId="6" type="noConversion"/>
  </si>
  <si>
    <t>A-SP01-12E01A</t>
    <phoneticPr fontId="6" type="noConversion"/>
  </si>
  <si>
    <t>A-SV02-01E01A</t>
    <phoneticPr fontId="6" type="noConversion"/>
  </si>
  <si>
    <t>00107</t>
  </si>
  <si>
    <t>(주)삼성겔/홍석기</t>
  </si>
  <si>
    <t>주식회사아이엠팩/강인회</t>
  </si>
  <si>
    <t>(주)동국프라텍/김광윤</t>
  </si>
  <si>
    <t>주식회사현대판지/김하원</t>
  </si>
  <si>
    <t>(주)수정실업/이정수</t>
  </si>
  <si>
    <t>일성포장/이근윤</t>
  </si>
  <si>
    <t>참들나라/조윤희</t>
  </si>
  <si>
    <t>오원색(주)/김한주</t>
  </si>
  <si>
    <t>경안실업(주)/이승구</t>
  </si>
  <si>
    <t>(주)무림에스엔피/전갑</t>
  </si>
  <si>
    <t>태호상사/황우선</t>
  </si>
  <si>
    <t>00181</t>
  </si>
  <si>
    <t>00182</t>
  </si>
  <si>
    <t>대호푸드/오유진</t>
  </si>
  <si>
    <t>(주)성창실업/신광호</t>
  </si>
  <si>
    <t>주)동일씨앤에이/장동병</t>
  </si>
  <si>
    <t>경일포장/이상철</t>
  </si>
  <si>
    <t>00259</t>
  </si>
  <si>
    <t>00260</t>
  </si>
  <si>
    <t>00269</t>
  </si>
  <si>
    <t>오가네김부각/오미선</t>
  </si>
  <si>
    <t>00274</t>
  </si>
  <si>
    <t>영진물산(주)/채삼수</t>
  </si>
  <si>
    <t>00319</t>
  </si>
  <si>
    <t>00345</t>
  </si>
  <si>
    <t>00351</t>
  </si>
  <si>
    <t>00410</t>
  </si>
  <si>
    <t>00610</t>
  </si>
  <si>
    <t>00630</t>
  </si>
  <si>
    <t>HAPPY SHOKUHIN CO LTD</t>
  </si>
  <si>
    <t>00823</t>
  </si>
  <si>
    <t>대광산업</t>
  </si>
  <si>
    <t>00898</t>
  </si>
  <si>
    <t>영진 그린식품</t>
  </si>
  <si>
    <t>A-TT09-01E03A</t>
  </si>
  <si>
    <t>A-TT09-01E03B</t>
  </si>
  <si>
    <t>TT / 엔화</t>
  </si>
  <si>
    <t>TT / 달러</t>
  </si>
  <si>
    <t>TT / 달러</t>
    <phoneticPr fontId="6" type="noConversion"/>
  </si>
  <si>
    <t>A-YM01-10M03A</t>
  </si>
  <si>
    <t>(주)신안천사김/권동혁</t>
  </si>
  <si>
    <t>B-CP01-01G01A</t>
  </si>
  <si>
    <t>A-CO01-04A01A</t>
  </si>
  <si>
    <t>B-HO01-02H02A</t>
  </si>
  <si>
    <t>B-GS01-11Z01A</t>
    <phoneticPr fontId="6" type="noConversion"/>
  </si>
  <si>
    <t>A-GS01-12E01A</t>
  </si>
  <si>
    <t>A-SV02-01E01A</t>
  </si>
  <si>
    <t>B-GR01-02H01A</t>
  </si>
  <si>
    <t>A-CP01-02D02A</t>
    <phoneticPr fontId="6" type="noConversion"/>
  </si>
  <si>
    <t>B-CP01-02H01A</t>
    <phoneticPr fontId="6" type="noConversion"/>
  </si>
  <si>
    <t>B-CO01-01A01A</t>
    <phoneticPr fontId="6" type="noConversion"/>
  </si>
  <si>
    <t>A-BS02-01E01A</t>
    <phoneticPr fontId="6" type="noConversion"/>
  </si>
  <si>
    <t>B-GR01-08H01A</t>
  </si>
  <si>
    <t>B-KU01-02H01A</t>
  </si>
  <si>
    <t>A-GR01-04E01A</t>
  </si>
  <si>
    <t>YEMAT JAPAN CO LTD</t>
  </si>
  <si>
    <t>T&amp;T SUPERMARKET INC</t>
  </si>
  <si>
    <t>COSTCO WHOLESALE TAIWAN, INC</t>
  </si>
  <si>
    <t>KOASA CORPORATION</t>
  </si>
  <si>
    <t>GS이천신선센터</t>
  </si>
  <si>
    <t>GS이천신선센터3층</t>
  </si>
  <si>
    <t>GS양산센터</t>
  </si>
  <si>
    <t>예맛상사</t>
    <phoneticPr fontId="6" type="noConversion"/>
  </si>
  <si>
    <t>SHIRAKO CO LTD</t>
  </si>
  <si>
    <t>오가네참부각</t>
  </si>
  <si>
    <t>지에스</t>
  </si>
  <si>
    <t>쿠팡</t>
  </si>
  <si>
    <t>홈플러스</t>
  </si>
  <si>
    <t>코스트코</t>
  </si>
  <si>
    <t>예맛상사</t>
  </si>
  <si>
    <t>A-CO01-06F01B</t>
  </si>
  <si>
    <t>신안씨푸드</t>
  </si>
  <si>
    <t>극동방송</t>
  </si>
  <si>
    <t>대지푸드</t>
  </si>
  <si>
    <t>컬리</t>
  </si>
  <si>
    <t>A-SP01-12E01A</t>
  </si>
  <si>
    <t>셀피어</t>
  </si>
  <si>
    <t>A-CO01-02L01A</t>
    <phoneticPr fontId="6" type="noConversion"/>
  </si>
  <si>
    <t>B-GS01-01G01A</t>
  </si>
  <si>
    <t>B-KU01-01G01A</t>
  </si>
  <si>
    <t>A-CP01-10E01A</t>
  </si>
  <si>
    <t>평균단가</t>
    <phoneticPr fontId="6" type="noConversion"/>
  </si>
  <si>
    <t>직전단가</t>
    <phoneticPr fontId="6" type="noConversion"/>
  </si>
  <si>
    <t>C-TT08-01E01A</t>
  </si>
  <si>
    <t>동준포장</t>
  </si>
  <si>
    <t>A-CO01-02D03A</t>
  </si>
  <si>
    <t>B-CO01-00H01A</t>
  </si>
  <si>
    <t>오가네</t>
    <phoneticPr fontId="6" type="noConversion"/>
  </si>
  <si>
    <t>TT / 엔화</t>
    <phoneticPr fontId="6" type="noConversion"/>
  </si>
  <si>
    <t>COSTCO CHINA INVESTMENT CO LTD</t>
  </si>
  <si>
    <t>HAPPY SHOKUHIN CO LTD</t>
    <phoneticPr fontId="6" type="noConversion"/>
  </si>
  <si>
    <t>B-GR01-02D03A</t>
  </si>
  <si>
    <t>극동방송</t>
    <phoneticPr fontId="6" type="noConversion"/>
  </si>
  <si>
    <t>A-CO01-01E01A</t>
  </si>
  <si>
    <t>열림푸드</t>
  </si>
  <si>
    <t>열림푸드</t>
    <phoneticPr fontId="6" type="noConversion"/>
  </si>
  <si>
    <t>전무님</t>
    <phoneticPr fontId="6" type="noConversion"/>
  </si>
  <si>
    <t>대표이사</t>
    <phoneticPr fontId="6" type="noConversion"/>
  </si>
  <si>
    <t>김포상온</t>
    <phoneticPr fontId="6" type="noConversion"/>
  </si>
  <si>
    <t>창원상온</t>
    <phoneticPr fontId="6" type="noConversion"/>
  </si>
  <si>
    <t>평택상온</t>
    <phoneticPr fontId="6" type="noConversion"/>
  </si>
  <si>
    <t>C-CO01-02D02A</t>
  </si>
  <si>
    <t>C-CO01-02D02A</t>
    <phoneticPr fontId="6" type="noConversion"/>
  </si>
  <si>
    <t>단가</t>
    <phoneticPr fontId="6" type="noConversion"/>
  </si>
  <si>
    <t>A-YM01-99Z01A</t>
  </si>
  <si>
    <t>A-YM01-98Z01A</t>
  </si>
  <si>
    <t>00968</t>
  </si>
  <si>
    <t>신안천사김</t>
  </si>
  <si>
    <t>A-SS01-04E01A</t>
    <phoneticPr fontId="6" type="noConversion"/>
  </si>
  <si>
    <t>기초재고</t>
    <phoneticPr fontId="6" type="noConversion"/>
  </si>
  <si>
    <t>전월재고액</t>
    <phoneticPr fontId="6" type="noConversion"/>
  </si>
  <si>
    <t>A-SS01-04E01A</t>
  </si>
  <si>
    <t>A-CO07-06F01A</t>
  </si>
  <si>
    <t>A-YJ02-02D01A</t>
  </si>
  <si>
    <t>B-CO01-02G02A</t>
  </si>
  <si>
    <t>글로벌로직스</t>
  </si>
  <si>
    <t>A-CP01-02D05A</t>
  </si>
  <si>
    <t>2024년 11월 쿠폰행사 마감(과세)</t>
    <phoneticPr fontId="6" type="noConversion"/>
  </si>
  <si>
    <t>2024년 11월 행사공제</t>
    <phoneticPr fontId="6" type="noConversion"/>
  </si>
  <si>
    <t>A-GS01-04B01A</t>
    <phoneticPr fontId="6" type="noConversion"/>
  </si>
  <si>
    <t>A-KU01-02B01A</t>
    <phoneticPr fontId="6" type="noConversion"/>
  </si>
  <si>
    <t>A-CP01-04B01A</t>
    <phoneticPr fontId="6" type="noConversion"/>
  </si>
  <si>
    <t>A-CO01-04B01A</t>
    <phoneticPr fontId="6" type="noConversion"/>
  </si>
  <si>
    <t>B-CO01-02H01A</t>
    <phoneticPr fontId="6" type="noConversion"/>
  </si>
  <si>
    <t>A-CO01-02D03A</t>
    <phoneticPr fontId="6" type="noConversion"/>
  </si>
  <si>
    <t>B-CO01-01G01A</t>
    <phoneticPr fontId="6" type="noConversion"/>
  </si>
  <si>
    <t>A-GR01-03M02A</t>
    <phoneticPr fontId="6" type="noConversion"/>
  </si>
  <si>
    <t>컬리사용</t>
    <phoneticPr fontId="6" type="noConversion"/>
  </si>
  <si>
    <t>11/26확정</t>
    <phoneticPr fontId="6" type="noConversion"/>
  </si>
  <si>
    <t>A-GR01-04E01A</t>
    <phoneticPr fontId="6" type="noConversion"/>
  </si>
  <si>
    <t>A-GR01-03M01A</t>
    <phoneticPr fontId="6" type="noConversion"/>
  </si>
  <si>
    <t>A-GR01-04C01A</t>
    <phoneticPr fontId="6" type="noConversion"/>
  </si>
  <si>
    <t>품질샘플출고</t>
    <phoneticPr fontId="6" type="noConversion"/>
  </si>
  <si>
    <t>오배송건회수</t>
    <phoneticPr fontId="6" type="noConversion"/>
  </si>
  <si>
    <t>1박스 12월 확정예정</t>
    <phoneticPr fontId="6" type="noConversion"/>
  </si>
  <si>
    <t>3박스 미납(오배송)/3박스소안도김밥김 과입고</t>
    <phoneticPr fontId="6" type="noConversion"/>
  </si>
  <si>
    <t>11/1확정</t>
    <phoneticPr fontId="6" type="noConversion"/>
  </si>
  <si>
    <t>부산박람회사용</t>
    <phoneticPr fontId="6" type="noConversion"/>
  </si>
  <si>
    <t>그린스팟에 팔고 판매</t>
    <phoneticPr fontId="6" type="noConversion"/>
  </si>
  <si>
    <t>5박스 사용하여</t>
    <phoneticPr fontId="6" type="noConversion"/>
  </si>
  <si>
    <t>쿠팡10박스 변환</t>
    <phoneticPr fontId="6" type="noConversion"/>
  </si>
  <si>
    <t>실물3박스 제외 후 출고</t>
    <phoneticPr fontId="6" type="noConversion"/>
  </si>
  <si>
    <t>11/5확정</t>
    <phoneticPr fontId="6" type="noConversion"/>
  </si>
  <si>
    <t>11/6확정</t>
    <phoneticPr fontId="6" type="noConversion"/>
  </si>
  <si>
    <t>코스트코 사용</t>
    <phoneticPr fontId="6" type="noConversion"/>
  </si>
  <si>
    <t>(주)신안천사김</t>
    <phoneticPr fontId="6" type="noConversion"/>
  </si>
  <si>
    <t>글로벌로직스 판매</t>
    <phoneticPr fontId="6" type="noConversion"/>
  </si>
  <si>
    <t>11/8확정</t>
    <phoneticPr fontId="6" type="noConversion"/>
  </si>
  <si>
    <t>셀피어변환</t>
    <phoneticPr fontId="6" type="noConversion"/>
  </si>
  <si>
    <t>11/13확정</t>
    <phoneticPr fontId="6" type="noConversion"/>
  </si>
  <si>
    <t>11/12확정</t>
    <phoneticPr fontId="6" type="noConversion"/>
  </si>
  <si>
    <t>오가네김부각</t>
    <phoneticPr fontId="6" type="noConversion"/>
  </si>
  <si>
    <t>쿠팡김밥으로변환</t>
    <phoneticPr fontId="6" type="noConversion"/>
  </si>
  <si>
    <t>클레임/장용준대리</t>
    <phoneticPr fontId="6" type="noConversion"/>
  </si>
  <si>
    <t>샘플출고</t>
    <phoneticPr fontId="6" type="noConversion"/>
  </si>
  <si>
    <t>직납건</t>
    <phoneticPr fontId="6" type="noConversion"/>
  </si>
  <si>
    <t>11/15확정</t>
    <phoneticPr fontId="6" type="noConversion"/>
  </si>
  <si>
    <t>실출고량 13박스 전산확정 2박스=11남음</t>
    <phoneticPr fontId="6" type="noConversion"/>
  </si>
  <si>
    <t>11/20확정</t>
    <phoneticPr fontId="6" type="noConversion"/>
  </si>
  <si>
    <t>11/19확정</t>
    <phoneticPr fontId="6" type="noConversion"/>
  </si>
  <si>
    <t>선입고분</t>
    <phoneticPr fontId="6" type="noConversion"/>
  </si>
  <si>
    <t>11/22확정</t>
    <phoneticPr fontId="6" type="noConversion"/>
  </si>
  <si>
    <t>11/27확정</t>
    <phoneticPr fontId="6" type="noConversion"/>
  </si>
  <si>
    <t>11/27,28확정</t>
    <phoneticPr fontId="6" type="noConversion"/>
  </si>
  <si>
    <t>11/29확정</t>
    <phoneticPr fontId="6" type="noConversion"/>
  </si>
  <si>
    <t>부재료</t>
  </si>
  <si>
    <t>무지 필름 400mm</t>
  </si>
  <si>
    <t>원재료</t>
  </si>
  <si>
    <t>원,부재료코드</t>
    <phoneticPr fontId="6" type="noConversion"/>
  </si>
  <si>
    <t>품명</t>
    <phoneticPr fontId="6" type="noConversion"/>
  </si>
  <si>
    <t>거래처명
(매입처명)</t>
    <phoneticPr fontId="6" type="noConversion"/>
  </si>
  <si>
    <t>관리단위</t>
    <phoneticPr fontId="6" type="noConversion"/>
  </si>
  <si>
    <t>F100</t>
  </si>
  <si>
    <t>F101</t>
  </si>
  <si>
    <t>F102</t>
  </si>
  <si>
    <t>F103</t>
  </si>
  <si>
    <t>F105</t>
  </si>
  <si>
    <t>A01</t>
  </si>
  <si>
    <t>A02</t>
  </si>
  <si>
    <t>A03</t>
  </si>
  <si>
    <t>A04</t>
  </si>
  <si>
    <t>A05</t>
  </si>
  <si>
    <t>A06</t>
  </si>
  <si>
    <t>A07</t>
  </si>
  <si>
    <t>A08</t>
  </si>
  <si>
    <t>B01</t>
  </si>
  <si>
    <t>B02</t>
  </si>
  <si>
    <t>B03</t>
  </si>
  <si>
    <t>B04</t>
  </si>
  <si>
    <t>B05</t>
  </si>
  <si>
    <t>B06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</si>
  <si>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</si>
  <si>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</si>
  <si>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</si>
  <si>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</si>
  <si>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</si>
  <si>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</si>
  <si>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</si>
  <si>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</si>
  <si>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</si>
  <si>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P01A001</t>
  </si>
  <si>
    <t>P01A002</t>
  </si>
  <si>
    <t>P01A003</t>
  </si>
  <si>
    <t>P01A004</t>
  </si>
  <si>
    <t>P01A005</t>
  </si>
  <si>
    <t>P01A006</t>
  </si>
  <si>
    <t>P01A007</t>
  </si>
  <si>
    <t>P01A008</t>
  </si>
  <si>
    <t>P01A009</t>
  </si>
  <si>
    <t>P01A010</t>
  </si>
  <si>
    <t>P01A011</t>
  </si>
  <si>
    <t>P01A012</t>
  </si>
  <si>
    <t>P01A013</t>
  </si>
  <si>
    <t>P01A014</t>
  </si>
  <si>
    <t>P01A015</t>
  </si>
  <si>
    <t>P01A016</t>
  </si>
  <si>
    <t>P01A017</t>
  </si>
  <si>
    <t>P01A018</t>
  </si>
  <si>
    <t>P01A019</t>
  </si>
  <si>
    <t>P01A020</t>
  </si>
  <si>
    <t>P01A021</t>
  </si>
  <si>
    <t>P01A022</t>
  </si>
  <si>
    <t>P01A023</t>
  </si>
  <si>
    <t>P01A024</t>
  </si>
  <si>
    <t>P01A025</t>
  </si>
  <si>
    <t>P01A026</t>
  </si>
  <si>
    <t>P01A027</t>
  </si>
  <si>
    <t>P01A028</t>
  </si>
  <si>
    <t>P01A029</t>
  </si>
  <si>
    <t>P01A030</t>
  </si>
  <si>
    <t>P01A031</t>
  </si>
  <si>
    <t>P01A032</t>
  </si>
  <si>
    <t>P01A033</t>
  </si>
  <si>
    <t>P01A034</t>
  </si>
  <si>
    <t>P01A035</t>
  </si>
  <si>
    <t>P01A036</t>
  </si>
  <si>
    <t>P01A037</t>
  </si>
  <si>
    <t>P01A038</t>
  </si>
  <si>
    <t>P01A039</t>
  </si>
  <si>
    <t>P01A040</t>
  </si>
  <si>
    <t>P01A041</t>
  </si>
  <si>
    <t>P01A042</t>
  </si>
  <si>
    <t>P01A043</t>
  </si>
  <si>
    <t>P01A044</t>
  </si>
  <si>
    <t>P01A045</t>
  </si>
  <si>
    <t>P01A046</t>
  </si>
  <si>
    <t>P01A047</t>
  </si>
  <si>
    <t>P01A048</t>
  </si>
  <si>
    <t>P01A049</t>
  </si>
  <si>
    <t>P01A050</t>
  </si>
  <si>
    <t>P01A051</t>
  </si>
  <si>
    <t>P01A052</t>
  </si>
  <si>
    <t>P02A001</t>
  </si>
  <si>
    <t>P02A002</t>
  </si>
  <si>
    <t>P02A003</t>
  </si>
  <si>
    <t>P02A004</t>
  </si>
  <si>
    <t>P02A005</t>
  </si>
  <si>
    <t>P02A006</t>
  </si>
  <si>
    <t>P02A007</t>
  </si>
  <si>
    <t>P02A008</t>
  </si>
  <si>
    <t>P02A009</t>
  </si>
  <si>
    <t>P02A010</t>
  </si>
  <si>
    <t>P02A011</t>
  </si>
  <si>
    <t>P02A012</t>
  </si>
  <si>
    <t>P02A013</t>
  </si>
  <si>
    <t>P02A014</t>
  </si>
  <si>
    <t>P02A015</t>
  </si>
  <si>
    <t>P02A016</t>
  </si>
  <si>
    <t>P02A017</t>
  </si>
  <si>
    <t>P02A018</t>
  </si>
  <si>
    <t>P02A019</t>
  </si>
  <si>
    <t>P02A020</t>
  </si>
  <si>
    <t>P02A021</t>
  </si>
  <si>
    <t>P02A022</t>
  </si>
  <si>
    <t>P02A023</t>
  </si>
  <si>
    <t>P02A024</t>
  </si>
  <si>
    <t>P02A026</t>
  </si>
  <si>
    <t>P02A027</t>
  </si>
  <si>
    <t>P02A028</t>
  </si>
  <si>
    <t>P02A029</t>
  </si>
  <si>
    <t>P02A030</t>
  </si>
  <si>
    <t>P02A031</t>
  </si>
  <si>
    <t>P02A032</t>
  </si>
  <si>
    <t>P02A033</t>
  </si>
  <si>
    <t>P02A034</t>
  </si>
  <si>
    <t>P02A035</t>
  </si>
  <si>
    <t>P02A037</t>
  </si>
  <si>
    <t>P02A038</t>
  </si>
  <si>
    <t>P02A039</t>
  </si>
  <si>
    <t>P02A040</t>
  </si>
  <si>
    <t>P02A041</t>
  </si>
  <si>
    <t>P02A042</t>
  </si>
  <si>
    <t>P02A043</t>
  </si>
  <si>
    <t>P02A044</t>
  </si>
  <si>
    <t>P02A045</t>
  </si>
  <si>
    <t>P02A046</t>
  </si>
  <si>
    <t>P02A047</t>
  </si>
  <si>
    <t>P03A001</t>
  </si>
  <si>
    <t>P03A002</t>
  </si>
  <si>
    <t>P03A003</t>
  </si>
  <si>
    <t>P03A004</t>
  </si>
  <si>
    <t>P03A005</t>
  </si>
  <si>
    <t>P03A006</t>
  </si>
  <si>
    <t>P03A007</t>
  </si>
  <si>
    <t>P03A008</t>
  </si>
  <si>
    <t>P03A009</t>
  </si>
  <si>
    <t>P03A010</t>
  </si>
  <si>
    <t>P03A011</t>
  </si>
  <si>
    <t>P03A012</t>
  </si>
  <si>
    <t>P03A013</t>
  </si>
  <si>
    <t>P03A014</t>
  </si>
  <si>
    <t>P03A015</t>
  </si>
  <si>
    <t>P03A016</t>
  </si>
  <si>
    <t>P03A017</t>
  </si>
  <si>
    <t>P03A018</t>
  </si>
  <si>
    <t>P03A019</t>
  </si>
  <si>
    <t>P03A020</t>
  </si>
  <si>
    <t>P03A021</t>
  </si>
  <si>
    <t>P03A022</t>
  </si>
  <si>
    <t>P03A023</t>
  </si>
  <si>
    <t>P03A024</t>
  </si>
  <si>
    <t>P03A025</t>
  </si>
  <si>
    <t>P03A026</t>
  </si>
  <si>
    <t>P03A027</t>
  </si>
  <si>
    <t>P03A028</t>
  </si>
  <si>
    <t>P03A029</t>
  </si>
  <si>
    <t>P03A030</t>
  </si>
  <si>
    <t>P03A031</t>
  </si>
  <si>
    <t>P03A032</t>
  </si>
  <si>
    <t>P03A033</t>
  </si>
  <si>
    <t>P03A034</t>
  </si>
  <si>
    <t>P03A035</t>
  </si>
  <si>
    <t>P03A036</t>
  </si>
  <si>
    <t>P03A037</t>
  </si>
  <si>
    <t>P03A038</t>
  </si>
  <si>
    <t>P03A039</t>
  </si>
  <si>
    <t>P03A040</t>
  </si>
  <si>
    <t>P03A041</t>
  </si>
  <si>
    <t>P03A042</t>
  </si>
  <si>
    <t>P03A043</t>
  </si>
  <si>
    <t>P03A044</t>
  </si>
  <si>
    <t>P03A045</t>
  </si>
  <si>
    <t>P03A046</t>
  </si>
  <si>
    <t>P03A047</t>
  </si>
  <si>
    <t>P03A048</t>
  </si>
  <si>
    <t>P03A049</t>
  </si>
  <si>
    <t>P03A050</t>
  </si>
  <si>
    <t>P03A051</t>
  </si>
  <si>
    <t>P03A052</t>
  </si>
  <si>
    <t>P03A053</t>
  </si>
  <si>
    <t>P03A054</t>
  </si>
  <si>
    <t>P04A001</t>
  </si>
  <si>
    <t>P04A002</t>
  </si>
  <si>
    <t>P04A003</t>
  </si>
  <si>
    <t>P04A004</t>
  </si>
  <si>
    <t>P04A005</t>
  </si>
  <si>
    <t>P04A006</t>
  </si>
  <si>
    <t>P04A007</t>
  </si>
  <si>
    <t>P04A008</t>
  </si>
  <si>
    <t>P04A009</t>
  </si>
  <si>
    <t>P04A010</t>
  </si>
  <si>
    <t>P04A011</t>
  </si>
  <si>
    <t>P04A012</t>
  </si>
  <si>
    <t>S10</t>
  </si>
  <si>
    <t>S11</t>
  </si>
  <si>
    <t>S20</t>
  </si>
  <si>
    <t>S40</t>
  </si>
  <si>
    <t>S41</t>
  </si>
  <si>
    <t>S60</t>
  </si>
  <si>
    <t>S70</t>
  </si>
  <si>
    <t>T01</t>
  </si>
  <si>
    <t>T02</t>
  </si>
  <si>
    <t>T03</t>
  </si>
  <si>
    <t>T04</t>
  </si>
  <si>
    <t>Z01A001</t>
  </si>
  <si>
    <t>Z01A002</t>
  </si>
  <si>
    <t>Z01A003</t>
  </si>
  <si>
    <t>Z01A004</t>
  </si>
  <si>
    <t>Z01A005</t>
  </si>
  <si>
    <t>Z01A006</t>
  </si>
  <si>
    <t>Z01A007</t>
  </si>
  <si>
    <t>Z01A008</t>
  </si>
  <si>
    <t>Z01A009</t>
  </si>
  <si>
    <t>Z01A010</t>
  </si>
  <si>
    <t>Z01A011</t>
  </si>
  <si>
    <t>Z02A001</t>
  </si>
  <si>
    <t>Z02A002</t>
  </si>
  <si>
    <t>Z03A001</t>
  </si>
  <si>
    <t>Z03A002</t>
  </si>
  <si>
    <t>Z03A003</t>
  </si>
  <si>
    <t>Z03A004</t>
  </si>
  <si>
    <t>Z03A005</t>
  </si>
  <si>
    <t>Z04A001</t>
  </si>
  <si>
    <t>Z04A002</t>
  </si>
  <si>
    <t>Z05A001</t>
  </si>
  <si>
    <t>Z05A002</t>
  </si>
  <si>
    <t>Z06A001</t>
  </si>
  <si>
    <t>Z07A001</t>
  </si>
  <si>
    <t>Z08A001</t>
  </si>
  <si>
    <t>Z09A001</t>
  </si>
  <si>
    <t>Z10A001</t>
  </si>
  <si>
    <t>Z10A002</t>
  </si>
  <si>
    <t>Z10A003</t>
  </si>
  <si>
    <t>Z10A004</t>
  </si>
  <si>
    <t>Z10A005</t>
  </si>
  <si>
    <t>Z10A006</t>
  </si>
  <si>
    <t>Z10A007</t>
  </si>
  <si>
    <t>Z10A008</t>
  </si>
  <si>
    <t>Z13A001</t>
  </si>
  <si>
    <t>Z14A001</t>
  </si>
  <si>
    <t>Z15A001</t>
  </si>
  <si>
    <t>재래김</t>
  </si>
  <si>
    <t>김밥김</t>
  </si>
  <si>
    <t>파래김</t>
  </si>
  <si>
    <t>감태김</t>
  </si>
  <si>
    <t>곱창돌김</t>
  </si>
  <si>
    <t>돌김</t>
  </si>
  <si>
    <t>자반원초</t>
  </si>
  <si>
    <t>선별자반원초</t>
  </si>
  <si>
    <t>정제소금(중국산)</t>
  </si>
  <si>
    <t>백설탕</t>
  </si>
  <si>
    <t>천일염</t>
  </si>
  <si>
    <t>볶음참깨</t>
  </si>
  <si>
    <t>참기름_조미</t>
  </si>
  <si>
    <t>참기름_자반</t>
  </si>
  <si>
    <t>유기농참기름</t>
  </si>
  <si>
    <t>옥배유</t>
  </si>
  <si>
    <t>포도씨유</t>
  </si>
  <si>
    <t>현미유</t>
  </si>
  <si>
    <t>일본 해피식품 재래도시락4g 내포</t>
  </si>
  <si>
    <t>국내 두번구운곱창돌김도시락5g 내포</t>
  </si>
  <si>
    <t>미국 두번구운곱창돌김식탁17g 내포</t>
  </si>
  <si>
    <t>국내 두번구운곱창돌김식탁17g 내포</t>
  </si>
  <si>
    <t>국내 조미하지않은감태식탁김8g 내포</t>
  </si>
  <si>
    <t>국내 예맛갯벌재래김5g 내포</t>
  </si>
  <si>
    <t>국내 소안도김밥김20g 내포</t>
  </si>
  <si>
    <t>국내 두번구운곱창돌김전장25g 내포</t>
  </si>
  <si>
    <t>일본 KS재래식탁김17g 내포</t>
  </si>
  <si>
    <t>필리핀 돌김자반80g 내포</t>
  </si>
  <si>
    <t>필리핀 S&amp;R 재래도시락4g 내포</t>
  </si>
  <si>
    <t>필리핀 S&amp;R 미니재래식탁12g 내포</t>
  </si>
  <si>
    <t>일본 니코니코 전통김도시락4g 내포</t>
  </si>
  <si>
    <t>중국 샘스 도시락7.5g 내포</t>
  </si>
  <si>
    <t>대만 수니쿡재래김4.5g 내포</t>
  </si>
  <si>
    <t>호주 돌김자반80g 내포</t>
  </si>
  <si>
    <t>중국 돌김자반80g 내포</t>
  </si>
  <si>
    <t>일본 돌김자반80g 내포</t>
  </si>
  <si>
    <t>대만 광푸웬 생생재래김5g 내포</t>
  </si>
  <si>
    <t>대만 한국전통도시락4.4g 내포</t>
  </si>
  <si>
    <t>일본 해피식품 두번구운김밥김20g 내포</t>
  </si>
  <si>
    <t>국내 두번구운감태김도시락4g 내포</t>
  </si>
  <si>
    <t>일본 해피식품 재래전장16g 내포</t>
  </si>
  <si>
    <t>국내 두번구운김밥김33g 내포</t>
  </si>
  <si>
    <t>일본 두번구운김밥김33g 내포</t>
  </si>
  <si>
    <t>영국 돌김자반80g 내포</t>
  </si>
  <si>
    <t>일본 시라코 올리브생생도시락4g 내포</t>
  </si>
  <si>
    <t>일본 이와사키 재래도시락3.5g 내포</t>
  </si>
  <si>
    <t>일본 이와사키 옥돌미니도시락2g 내포</t>
  </si>
  <si>
    <t>국내 돌김자반100g 내포</t>
  </si>
  <si>
    <t>국내 생돌김50매 파우치</t>
  </si>
  <si>
    <t>국내 생파래김50매 파우치</t>
  </si>
  <si>
    <t>일본 펀칭재래도시락 외포/무지자동롤(520mm)</t>
  </si>
  <si>
    <t>미국 두번구운곱창돌김식탁17g 10봉 외포</t>
  </si>
  <si>
    <t>국내 두번구운곱창돌김도시락5g 30봉 외포</t>
  </si>
  <si>
    <t>국내 두번구운곱창돌김식탁17g 10봉 외포</t>
  </si>
  <si>
    <t>국내 조미하지않은감태식탁김8g 10봉 외포</t>
  </si>
  <si>
    <t>국내 예맛갯벌재래김5g 30봉 외포</t>
  </si>
  <si>
    <t>국내 신안갯벌재래도시락4g 16봉 외포</t>
  </si>
  <si>
    <t>국내 신안재래도시락4g 20봉 외포</t>
  </si>
  <si>
    <t>국내 두번구운곱창돌김전장25g 외포</t>
  </si>
  <si>
    <t>대만 KS재래식탁김17g 10봉 외포</t>
  </si>
  <si>
    <t>일본 KS재래식탁김17g 10봉 외포</t>
  </si>
  <si>
    <t>중국 KS재래식탁김17g 10봉 외포</t>
  </si>
  <si>
    <t>필리핀 S&amp;R 재래도시락4g 24봉 외포</t>
  </si>
  <si>
    <t>일본 니코니코 전통김도시락4g 2봉 외포</t>
  </si>
  <si>
    <t>일본 니코니코 전통김도시락4g 3봉 외포</t>
  </si>
  <si>
    <t>중국 샘스 도시락7.5g 24봉 외포</t>
  </si>
  <si>
    <t>대만 수니쿡재래김4.5g 6봉 외포</t>
  </si>
  <si>
    <t>호주 돌김자반80g 3봉 외포</t>
  </si>
  <si>
    <t>일본 돌김자반80g 3봉 외포</t>
  </si>
  <si>
    <t>중국 돌김자반80g 3봉 외포</t>
  </si>
  <si>
    <t>대만 광푸웬 생생재래김5g 3봉 외포</t>
  </si>
  <si>
    <t>대만 한국전통도시락4.4g 3봉 외포</t>
  </si>
  <si>
    <t>일본 해피식품 재래도시락4g 6봉 외포</t>
  </si>
  <si>
    <t>일본 해피식품 재래도시락4g 3봉 외포</t>
  </si>
  <si>
    <t>일본 해피식품 재래도시락4g 12봉 외포</t>
  </si>
  <si>
    <t>일본 해피식품 재래전장16g 3봉 외포</t>
  </si>
  <si>
    <t>국내 두번구운감태김도시락4g 20봉 외포</t>
  </si>
  <si>
    <t>국내 두번구운김밥김33g 5봉 외포</t>
  </si>
  <si>
    <t>국내 두번구운김밥김33g 7봉 외포</t>
  </si>
  <si>
    <t>영국 돌김자반80g 3봉 외포</t>
  </si>
  <si>
    <t>무지자동롤 470mm</t>
  </si>
  <si>
    <t>캐나다 T&amp;T 재래도시락5g 3봉 외포</t>
  </si>
  <si>
    <t>캐나다 T&amp;T 재래도시락5g 12봉 외포</t>
  </si>
  <si>
    <t>미국 T&amp;T 재래도시락5g 12봉 외포</t>
  </si>
  <si>
    <t>캐나다 T&amp;T 포도씨유재래도시락5g 12봉 외포</t>
  </si>
  <si>
    <t>미국 T&amp;T 포도씨유재래도시락5g 12봉 외포</t>
  </si>
  <si>
    <t>일본 시라코 올리브생생도시락4g 3봉 외포</t>
  </si>
  <si>
    <t>일본 T&amp;T 재래도시락5g 16봉 외포</t>
  </si>
  <si>
    <t>일본 이와사키 옥돌미니도시락2g 8봉 외포</t>
  </si>
  <si>
    <t>국내 돌김자반100g 4봉 외포</t>
  </si>
  <si>
    <t>캐나다 T&amp;T 재래도시락5g 16봉 외포</t>
  </si>
  <si>
    <t>일본 돌김자반80g 3봉*10입 박스</t>
  </si>
  <si>
    <t>대만/일본/중국 KS재래식탁김17g 10봉*12입 박스</t>
  </si>
  <si>
    <t>국내 두번구운곱창돌김33g 5봉*12입 박스</t>
  </si>
  <si>
    <t>국내 KS재래식탁김17g 10봉*12입 박스</t>
  </si>
  <si>
    <t>필리핀 S&amp;R 재래도시락4g 24봉*입 박스</t>
  </si>
  <si>
    <t>중국 샘스 도시락7.5g 24봉*6입 박스</t>
  </si>
  <si>
    <t>국내 두번구운곱창돌김도시락5g 30봉*6입 박스</t>
  </si>
  <si>
    <t>국내 두번구운곱창돌김전장6매 10입 박스</t>
  </si>
  <si>
    <t>국내 두번구운김밥김33g 7봉*20입 박스</t>
  </si>
  <si>
    <t>국내 어의리곱창돌김150g 16입 박스</t>
  </si>
  <si>
    <t>국내 예맛갯벌재래김5g 30봉*6입 박스</t>
  </si>
  <si>
    <t>일본 두번구운김밥김33g 7봉*20입 박스</t>
  </si>
  <si>
    <t>국내 돌김자반100g 4봉*10입 박스</t>
  </si>
  <si>
    <t>국내 신안갯벌재래도시락4g 16봉*10입 박스</t>
  </si>
  <si>
    <t>국내 신안곱창돌김30매 20입 박스</t>
  </si>
  <si>
    <t>일본 시라코 올리브생생도시락4g 3봉*12입 박스</t>
  </si>
  <si>
    <t>일본 니코니코 전통김도시락4g 2봉*10입 박스</t>
  </si>
  <si>
    <t>국내 두번구운김밥김33g 1봉*1입 박스</t>
  </si>
  <si>
    <t>대만 한국전통도시락4.4g 3봉*24입 박스</t>
  </si>
  <si>
    <t>일본 해피식품 재래도시락4g 6봉*12입 박스</t>
  </si>
  <si>
    <t>일본 해피식품 재래도시락4g 3봉*24입 박스</t>
  </si>
  <si>
    <t>일본 해피식품 재래도시락4g 12봉*6입 박스</t>
  </si>
  <si>
    <t>일본 해피식품 재래전장16g 3봉*12입 박스</t>
  </si>
  <si>
    <t>국내 두번구운감태김도시락4g 20봉*1입 박스</t>
  </si>
  <si>
    <t>대만 수니쿡재래김4.5g 6봉*12입 박스</t>
  </si>
  <si>
    <t>미국 두번구운곱창돌김식탁17g 10봉*10입 박스</t>
  </si>
  <si>
    <t>미국 T&amp;T 포도씨유재래도시락5g 12봉*6입 박스</t>
  </si>
  <si>
    <t>캐나다 T&amp;T 재래도시락5g 3봉*24입 박스</t>
  </si>
  <si>
    <t>캐나다 T&amp;T 포도씨유재래도시락5g 12봉*6입 박스</t>
  </si>
  <si>
    <t>캐나다 T&amp;T 재래도시락5g 12봉*6입 박스</t>
  </si>
  <si>
    <t>대만 광푸웬 생생재래김5g 3봉*12입 박스</t>
  </si>
  <si>
    <t>국내 군함말이400매 10입 박스</t>
  </si>
  <si>
    <t>국내 식자재김밥김100매 20봉 박스</t>
  </si>
  <si>
    <t>국내 신안갯벌재래도시락4g 48봉*3입 박스</t>
  </si>
  <si>
    <t>국내 신안재래도시락4g 20봉*10입 박스</t>
  </si>
  <si>
    <t>국내 소안도김밥김20g 50입 박스</t>
  </si>
  <si>
    <t>국내 두번구운곱창돌김전장25g 25입 박스</t>
  </si>
  <si>
    <t>국내 생돌김50매 12입 박스</t>
  </si>
  <si>
    <t>국내 생파래김50매 16입 박스</t>
  </si>
  <si>
    <t>국내 두번구운곱창돌김식탁17g 10봉*10입 박스</t>
  </si>
  <si>
    <t>국내 조미하지않은감태식탁김8g 10봉*10입 박스</t>
  </si>
  <si>
    <t>뚜껑 국내 코스트코 올리브파래/구운김밥김</t>
  </si>
  <si>
    <t>뚜껑 일본 구운김밥김</t>
  </si>
  <si>
    <t>뚜껑 중국/일본 돌김자반</t>
  </si>
  <si>
    <t>뚜껑/밑판 필리핀 재래도시락</t>
  </si>
  <si>
    <t>뚜껑 샘스도시락</t>
  </si>
  <si>
    <t>뚜껑/밑판 필리핀 미니재래식탁</t>
  </si>
  <si>
    <t>뚜껑 필리핀 돌김자반</t>
  </si>
  <si>
    <t>뚜껑 두번구운곱창돌김도시락</t>
  </si>
  <si>
    <t>뚜껑 미국 무트레이 곱창돌김</t>
  </si>
  <si>
    <t>밑판 미국 무트레이 곱창돌김</t>
  </si>
  <si>
    <t>1g 컷</t>
  </si>
  <si>
    <t>2g 줄</t>
  </si>
  <si>
    <t>4g 컷</t>
  </si>
  <si>
    <t>7g 줄</t>
  </si>
  <si>
    <t>앵글 50*50*1250</t>
  </si>
  <si>
    <t>앵글 50*50*1150</t>
  </si>
  <si>
    <t>앵글 50*50*1220</t>
  </si>
  <si>
    <t>앵글 50*50**1120</t>
  </si>
  <si>
    <t>앵글 50*50*1120 5T</t>
  </si>
  <si>
    <t>앵글 50*50*1170 5T</t>
  </si>
  <si>
    <t>앵글 50*50*1112</t>
  </si>
  <si>
    <t>앵글 50*50*1115</t>
  </si>
  <si>
    <t>앵글 50*50*1118</t>
  </si>
  <si>
    <t>앵글 50*50*1240</t>
  </si>
  <si>
    <t>앵글 50*50*1100</t>
  </si>
  <si>
    <t>캔 신안1004돌김 35g 캔</t>
  </si>
  <si>
    <t>캔 두번구운 감태김 35g 캔</t>
  </si>
  <si>
    <t>세트박스 감태김 3입</t>
  </si>
  <si>
    <t>세트박스 감태김 6입</t>
  </si>
  <si>
    <t>세트박스 신안1004돌김 캔 3입</t>
  </si>
  <si>
    <t>세트박스 신안1004돌김 캔 6입</t>
  </si>
  <si>
    <t>세트박스 감태김선물세트</t>
  </si>
  <si>
    <t>가방 캔 3입</t>
  </si>
  <si>
    <t>가방 캔 6입</t>
  </si>
  <si>
    <t>랩 기계용(랩)자동</t>
  </si>
  <si>
    <t>랩 수동랩</t>
  </si>
  <si>
    <t>밴딩끈 자반수동밴딩끈(18MM)</t>
  </si>
  <si>
    <t>자반비닐 자반비닐 5*130*120</t>
  </si>
  <si>
    <t>밴드 자동밴드특A12mm</t>
  </si>
  <si>
    <t>테이프 박스테이프50m(무지)</t>
  </si>
  <si>
    <t>택배박스 곱창돌김세트택배용(중)무인쇄540*420*370</t>
  </si>
  <si>
    <t>택배박스 곱창돌김세트택배용(대)무인쇄540*420*610</t>
  </si>
  <si>
    <t>택배박스 캔 3개입 택배박스</t>
  </si>
  <si>
    <t>택배박스 캔 6개입 택배박스</t>
  </si>
  <si>
    <t>택배박스 찹쌀김부각세트택배용(소)무인쇄</t>
  </si>
  <si>
    <t>택배박스 찹쌀김부각세트택배용(중)무인쇄</t>
  </si>
  <si>
    <t>간지 선물세트 패드</t>
  </si>
  <si>
    <t>인박스 찹쌀김부각세트_인박스(김부각/다시마/와사비)</t>
  </si>
  <si>
    <t>속</t>
  </si>
  <si>
    <t>1kg</t>
  </si>
  <si>
    <t>소모품</t>
  </si>
  <si>
    <t>F106</t>
  </si>
  <si>
    <t>F107</t>
  </si>
  <si>
    <t>상사1동
천막창고</t>
  </si>
  <si>
    <t>상사2동
1층</t>
  </si>
  <si>
    <t>상사2동
2층</t>
  </si>
  <si>
    <t>상사2동
필름</t>
  </si>
  <si>
    <t>자반
원재료</t>
  </si>
  <si>
    <t>자반
부자재</t>
  </si>
  <si>
    <t>F006</t>
  </si>
  <si>
    <t>예맛상사㈜</t>
    <phoneticPr fontId="6" type="noConversion"/>
  </si>
  <si>
    <t>수불현황</t>
    <phoneticPr fontId="6" type="noConversion"/>
  </si>
  <si>
    <t>F007</t>
  </si>
  <si>
    <t>원초창고</t>
  </si>
  <si>
    <t>(주)동현</t>
  </si>
  <si>
    <t>예맛식품</t>
  </si>
  <si>
    <t>영진,참들나라</t>
  </si>
  <si>
    <t>생산중단</t>
  </si>
  <si>
    <t>지엘그레이프</t>
  </si>
  <si>
    <t>(상)감태 , 신안 공용 401PE(고무뚜껑)(신규)</t>
  </si>
  <si>
    <t>(상)감태 , 신안 공용 35g401END(쇠뚜껑)(신규)</t>
  </si>
  <si>
    <t>일본 이와사키 재래도시락3.5g 3봉 외포</t>
  </si>
  <si>
    <t>P02A025</t>
  </si>
  <si>
    <t>P02A036</t>
  </si>
  <si>
    <t>일본 시라코 펀칭재래도시락6g 내포</t>
  </si>
  <si>
    <t>일본 예맛재팬 펀칭재래도시락6g 내포</t>
  </si>
  <si>
    <t>국내 두번구운감태김전장25g 내포</t>
  </si>
  <si>
    <t>국내 식자재/무지삼방(26*32) 파우치</t>
  </si>
  <si>
    <t xml:space="preserve">국내 어의리곱창돌김150g 파우치(타공있음) </t>
  </si>
  <si>
    <t>국내 어의리곱창돌김150g 파우치(타공없음)</t>
  </si>
  <si>
    <t xml:space="preserve">국내 어의리곱창돌김210g 파우치(타공있음) </t>
  </si>
  <si>
    <t>국내 어의리곱창돌김210g 파우치(타공없음)</t>
  </si>
  <si>
    <t xml:space="preserve">국내 신안곱창돌김90g 파우치(타공있음) </t>
  </si>
  <si>
    <t>국내 신안곱창돌김90g 파우치(타공없음)</t>
  </si>
  <si>
    <t>일본 해피식품 두번구운김밥김200g 파우치</t>
  </si>
  <si>
    <t>국내 군함말이/무지지퍼 225*320 파우치</t>
  </si>
  <si>
    <t>일본 해피식품 두번구운김밥김200g 1봉*10입 박스</t>
  </si>
  <si>
    <t>일본 해피식품 두번구운김밥김20g 1봉*100입 박스</t>
  </si>
  <si>
    <t>일본 이와사키 재래도시락3.5g 3봉*24입 박스</t>
  </si>
  <si>
    <t>일본 이와사키 옥돌미니도시락2g 8봉*30입 박스</t>
  </si>
  <si>
    <t>일본 시라꼬 펀칭재래도시락6g 6봉*12입 박스</t>
  </si>
  <si>
    <t>일본 예맛재팬 펀칭재래도시락6g 6봉*12입 박스</t>
  </si>
  <si>
    <t>F002</t>
  </si>
  <si>
    <t/>
  </si>
  <si>
    <t>F001</t>
  </si>
  <si>
    <t>P01A053</t>
  </si>
  <si>
    <t>국내 올리브신안옥돌김전장20g 내포</t>
  </si>
  <si>
    <t>국내 올리브신안옥돌김전장20g 3봉 외포</t>
  </si>
  <si>
    <t>국내 올리브신안옥돌김전장20g 3봉*8입 박스</t>
  </si>
  <si>
    <t>P02A048</t>
  </si>
  <si>
    <t>P03A056</t>
  </si>
  <si>
    <t>A-원초</t>
  </si>
  <si>
    <t>B-분말류</t>
  </si>
  <si>
    <t>O_오일</t>
  </si>
  <si>
    <t>P-포장재</t>
  </si>
  <si>
    <t>S-실리카겔</t>
  </si>
  <si>
    <t>T-트레이</t>
  </si>
  <si>
    <t>Z-소모품</t>
  </si>
  <si>
    <t>P03A057</t>
  </si>
  <si>
    <t>국내 쿠팡 현미유 돌김자반80g 4봉(박스)</t>
  </si>
  <si>
    <t>코스트코 국내 돌김자반(현미유)80g*4P 320g(박스)</t>
  </si>
  <si>
    <t>뚜껑 (전용) 국내돌김자반 80g*4p</t>
  </si>
  <si>
    <t>일반 패드</t>
  </si>
  <si>
    <t>일본 두번구운김밥김33g 7봉 외포</t>
  </si>
  <si>
    <t>(생산)
1동 자반
현장창고</t>
    <phoneticPr fontId="6" type="noConversion"/>
  </si>
  <si>
    <t>당월재고</t>
    <phoneticPr fontId="6" type="noConversion"/>
  </si>
  <si>
    <t>■ 원.부자재 코드</t>
  </si>
  <si>
    <t>총 품목</t>
  </si>
  <si>
    <t>원.부자재코드</t>
  </si>
  <si>
    <t>매입처</t>
  </si>
  <si>
    <t>내용</t>
  </si>
  <si>
    <t>원.부자재명</t>
  </si>
  <si>
    <t>단위</t>
  </si>
  <si>
    <t>장소코드</t>
  </si>
  <si>
    <t>F000</t>
  </si>
  <si>
    <t>F005</t>
  </si>
  <si>
    <t>국내 지에스 신안갯벌재래도시락4g 내포</t>
  </si>
  <si>
    <t>F003</t>
  </si>
  <si>
    <t>미국 무트레이 곱창돌김4.5g 내포</t>
  </si>
  <si>
    <t>국내 홈플러스 신안재래도시락4g 내포</t>
  </si>
  <si>
    <t>국내 올리브파래김전장40g 내포</t>
  </si>
  <si>
    <t>P01A054</t>
  </si>
  <si>
    <t>일본 돌김자반(매운맛)80g 내포</t>
  </si>
  <si>
    <t>미국 무트레이 곱창돌김4.5g 10봉 외포</t>
  </si>
  <si>
    <t>국내 올리브파래김전장40g 8봉 외포</t>
  </si>
  <si>
    <t>P02A049</t>
  </si>
  <si>
    <t>일본 예맛재팬 돌김자반80g 3봉 외포</t>
  </si>
  <si>
    <t>P02A050</t>
  </si>
  <si>
    <t>일본 시라코 돌김자반80g 3봉 외포</t>
  </si>
  <si>
    <t>P02A051</t>
  </si>
  <si>
    <t>일본 요코다야 돌김자반80g 3봉 외포</t>
  </si>
  <si>
    <t>P02A052</t>
  </si>
  <si>
    <t>일본 돌김자반(매운맛)80g 3봉 외포</t>
  </si>
  <si>
    <t>P02A053</t>
  </si>
  <si>
    <t>국내 올리브파래김전장40g 8봉*14입 박스</t>
  </si>
  <si>
    <t>미국 무트레이 곱창돌김4.5g 10봉*3입 박스</t>
  </si>
  <si>
    <t>P03A055</t>
  </si>
  <si>
    <t>일본 돌김자반(매운맛)80g 3봉*10입 박스</t>
  </si>
  <si>
    <t>뚜껑 국내 돌김자반/곱창식탁/무조미감태</t>
  </si>
  <si>
    <t>기름종이 원형</t>
  </si>
  <si>
    <t>미니도시락</t>
  </si>
  <si>
    <t>지에스_국내(띠부실)헬로키티 재래도시락 4g*6P(스티커)</t>
  </si>
  <si>
    <t>중국 대련 행복한 무조미아이김2g(내포)</t>
  </si>
  <si>
    <t>중국 대련 행복한 무조미아이김2g 6봉(외포)</t>
  </si>
  <si>
    <t>중국 대련 행복한 무조미아이김2g 6*12(박스)</t>
  </si>
  <si>
    <t>무지 필름 450mm</t>
  </si>
  <si>
    <t>엑셀로만관리</t>
  </si>
  <si>
    <t>참기름(수입산)-영진물산(상사1동)</t>
  </si>
  <si>
    <t>동현</t>
  </si>
  <si>
    <t>상사2동1층</t>
  </si>
  <si>
    <t>(상)도시락_37mm(1,800ea)</t>
  </si>
  <si>
    <t>동국프라텍</t>
  </si>
  <si>
    <t>상사2동2층</t>
  </si>
  <si>
    <t>신안1004돌김캔세트6입박스(하)</t>
  </si>
  <si>
    <t>(상) 신안1004돌김캔패드6입(신규)</t>
  </si>
  <si>
    <t>(상) 신안1004돌김캔패드3입(신규)</t>
  </si>
  <si>
    <t>(상) 신안1004돌김캔세트3입밑판(하)</t>
  </si>
  <si>
    <t>(상)햇곱창돌김30매무지삼방(32*40)</t>
  </si>
  <si>
    <t>(상)코-감태김선물세트_인박스_도시락_A</t>
  </si>
  <si>
    <t>(상)코-감태김선물세트_인박스_전장_B</t>
  </si>
  <si>
    <t>(상)코-감태김선물세트_슬리브</t>
  </si>
  <si>
    <t>(상)코-감태김선물세트_하짝</t>
  </si>
  <si>
    <t>(상)코-감태김선물세트_패드</t>
  </si>
  <si>
    <t>공통</t>
    <phoneticPr fontId="6" type="noConversion"/>
  </si>
  <si>
    <t>(주)유성팩/홍인석</t>
  </si>
  <si>
    <t>국내 심플러스 생돌김 12입 박스</t>
  </si>
  <si>
    <t>국내 심플러스 생파래김 16입 박스</t>
  </si>
  <si>
    <t>국내 심플러스 구운김밥김20g 50입 박스</t>
  </si>
  <si>
    <t>국내 심플러스 옥돌김20g 3봉*8입 박스</t>
  </si>
  <si>
    <t>국내 심플러스 재래도시락김4g 20봉*10입 박스</t>
  </si>
  <si>
    <t>뚜껑 KS재래식탁김</t>
  </si>
  <si>
    <t>앵글 50*50*1205</t>
  </si>
  <si>
    <t>P01A056</t>
  </si>
  <si>
    <t>P01A057</t>
  </si>
  <si>
    <t>P01A058</t>
  </si>
  <si>
    <t>P01A059</t>
  </si>
  <si>
    <t>P01A060</t>
  </si>
  <si>
    <t>P01A061</t>
  </si>
  <si>
    <t>P01A062</t>
  </si>
  <si>
    <t>P02A055</t>
  </si>
  <si>
    <t>P02A056</t>
  </si>
  <si>
    <t>P03A058</t>
  </si>
  <si>
    <t>P03A059</t>
  </si>
  <si>
    <t>P03A060</t>
  </si>
  <si>
    <t>P03A061</t>
  </si>
  <si>
    <t>P03A062</t>
  </si>
  <si>
    <t>P03A063</t>
  </si>
  <si>
    <t>P03A064</t>
  </si>
  <si>
    <t>P03A065</t>
  </si>
  <si>
    <t>P03A066</t>
  </si>
  <si>
    <t>P03A067</t>
  </si>
  <si>
    <t>P01A063</t>
  </si>
  <si>
    <t>P02A057</t>
  </si>
  <si>
    <t>P03A068</t>
  </si>
  <si>
    <t>단가</t>
    <phoneticPr fontId="8" type="noConversion"/>
  </si>
  <si>
    <t>생산중단/ 성창실업</t>
    <phoneticPr fontId="8" type="noConversion"/>
  </si>
  <si>
    <t>오원색(주)/김한주</t>
    <phoneticPr fontId="8" type="noConversion"/>
  </si>
  <si>
    <t>P01A055</t>
    <phoneticPr fontId="8" type="noConversion"/>
  </si>
  <si>
    <t>일본 예맛갯벌재래김5g 내포</t>
    <phoneticPr fontId="8" type="noConversion"/>
  </si>
  <si>
    <t>P01A056</t>
    <phoneticPr fontId="8" type="noConversion"/>
  </si>
  <si>
    <t>국내 심플러스 생돌김 파우치</t>
    <phoneticPr fontId="8" type="noConversion"/>
  </si>
  <si>
    <t>P01A057</t>
    <phoneticPr fontId="8" type="noConversion"/>
  </si>
  <si>
    <t>국내 심플러스 생파래김 파우치</t>
    <phoneticPr fontId="8" type="noConversion"/>
  </si>
  <si>
    <t>P01A058</t>
    <phoneticPr fontId="8" type="noConversion"/>
  </si>
  <si>
    <t>국내 심플러스 구운김밥김20g 내포</t>
    <phoneticPr fontId="8" type="noConversion"/>
  </si>
  <si>
    <t>P01A059</t>
    <phoneticPr fontId="8" type="noConversion"/>
  </si>
  <si>
    <t>국내 심플러스 옥돌김20g 내포</t>
    <phoneticPr fontId="8" type="noConversion"/>
  </si>
  <si>
    <t>P01A060</t>
    <phoneticPr fontId="8" type="noConversion"/>
  </si>
  <si>
    <t>국내 심플러스 재래도시락김4g 내포</t>
    <phoneticPr fontId="8" type="noConversion"/>
  </si>
  <si>
    <t>P01A061</t>
    <phoneticPr fontId="8" type="noConversion"/>
  </si>
  <si>
    <t>국내 유기 어린이김 오리지널 내포</t>
    <phoneticPr fontId="8" type="noConversion"/>
  </si>
  <si>
    <t>P01A062</t>
    <phoneticPr fontId="8" type="noConversion"/>
  </si>
  <si>
    <t>국내 유기 어린이김 고소한맛 내포</t>
    <phoneticPr fontId="8" type="noConversion"/>
  </si>
  <si>
    <t>미국 돌김자반80g 3봉 내포</t>
    <phoneticPr fontId="8" type="noConversion"/>
  </si>
  <si>
    <t>P01A064</t>
  </si>
  <si>
    <t>대만 두번구운김밥김33g 7봉 내포</t>
  </si>
  <si>
    <t>P02A054</t>
    <phoneticPr fontId="8" type="noConversion"/>
  </si>
  <si>
    <t>일본 예맛갯벌재래김5g 30봉 외포</t>
    <phoneticPr fontId="8" type="noConversion"/>
  </si>
  <si>
    <t>P02A055</t>
    <phoneticPr fontId="8" type="noConversion"/>
  </si>
  <si>
    <t>국내 심플러스 옥돌김20g 3봉 외포</t>
    <phoneticPr fontId="8" type="noConversion"/>
  </si>
  <si>
    <t>P02A056</t>
    <phoneticPr fontId="8" type="noConversion"/>
  </si>
  <si>
    <t>국내 심플러스 재래도시락김4g 20봉 외포</t>
    <phoneticPr fontId="8" type="noConversion"/>
  </si>
  <si>
    <t>미국 돌김자반80g 3봉 외포</t>
    <phoneticPr fontId="8" type="noConversion"/>
  </si>
  <si>
    <t>P02A058</t>
  </si>
  <si>
    <t>대만 두번구운김밥김33g 7봉 외포</t>
  </si>
  <si>
    <t>필리핀/호주 공용 자반 박스</t>
    <phoneticPr fontId="8" type="noConversion"/>
  </si>
  <si>
    <t>일본 니코니코 전통김도시락4g 3봉*10입 박스</t>
    <phoneticPr fontId="8" type="noConversion"/>
  </si>
  <si>
    <t>생산중단/ 아이엠팩</t>
    <phoneticPr fontId="8" type="noConversion"/>
  </si>
  <si>
    <t>캐나다 T&amp;T 재래도시락5g 16봉*6입 박스</t>
    <phoneticPr fontId="6" type="noConversion"/>
  </si>
  <si>
    <t>P03A058</t>
    <phoneticPr fontId="8" type="noConversion"/>
  </si>
  <si>
    <t>일본 예맛갯벌재래김5g 30봉*6입 박스</t>
    <phoneticPr fontId="8" type="noConversion"/>
  </si>
  <si>
    <t>P03A059</t>
    <phoneticPr fontId="8" type="noConversion"/>
  </si>
  <si>
    <t>P03A060</t>
    <phoneticPr fontId="8" type="noConversion"/>
  </si>
  <si>
    <t>P03A061</t>
    <phoneticPr fontId="8" type="noConversion"/>
  </si>
  <si>
    <t>P03A062</t>
    <phoneticPr fontId="8" type="noConversion"/>
  </si>
  <si>
    <t>P03A063</t>
    <phoneticPr fontId="8" type="noConversion"/>
  </si>
  <si>
    <t>P03A064</t>
    <phoneticPr fontId="8" type="noConversion"/>
  </si>
  <si>
    <t>국내 유기 어린이김 오리지널 내박스</t>
    <phoneticPr fontId="8" type="noConversion"/>
  </si>
  <si>
    <t>P03A065</t>
    <phoneticPr fontId="8" type="noConversion"/>
  </si>
  <si>
    <t>국내 유기 어린이김 오리지널 외박스</t>
    <phoneticPr fontId="8" type="noConversion"/>
  </si>
  <si>
    <t>P03A066</t>
    <phoneticPr fontId="8" type="noConversion"/>
  </si>
  <si>
    <t>국내 유기 어린이김 고소한맛 내박스</t>
    <phoneticPr fontId="8" type="noConversion"/>
  </si>
  <si>
    <t>P03A067</t>
    <phoneticPr fontId="8" type="noConversion"/>
  </si>
  <si>
    <t>국내 유기 어린이김 고소한맛 외박스</t>
    <phoneticPr fontId="8" type="noConversion"/>
  </si>
  <si>
    <t>미국 돌김자반80g 3봉*10입 박스</t>
    <phoneticPr fontId="8" type="noConversion"/>
  </si>
  <si>
    <t>P03A069</t>
  </si>
  <si>
    <t>대만 두번구운김밥김33g 7봉 박스</t>
  </si>
  <si>
    <t>S50</t>
  </si>
  <si>
    <t>부재료</t>
    <phoneticPr fontId="8" type="noConversion"/>
  </si>
  <si>
    <t>Z01A012</t>
    <phoneticPr fontId="8" type="noConversion"/>
  </si>
  <si>
    <t>Z01A013</t>
    <phoneticPr fontId="8" type="noConversion"/>
  </si>
  <si>
    <t>앵글 50*50*1210</t>
    <phoneticPr fontId="8" type="noConversion"/>
  </si>
  <si>
    <t>Z10A009</t>
    <phoneticPr fontId="8" type="noConversion"/>
  </si>
  <si>
    <t>Z01A013</t>
  </si>
  <si>
    <t>1kg</t>
    <phoneticPr fontId="6" type="noConversion"/>
  </si>
  <si>
    <t>R/L</t>
    <phoneticPr fontId="6" type="noConversion"/>
  </si>
  <si>
    <t>EA</t>
  </si>
  <si>
    <t>BOX</t>
    <phoneticPr fontId="6" type="noConversion"/>
  </si>
  <si>
    <t>P01A065</t>
  </si>
  <si>
    <t>P01A066</t>
  </si>
  <si>
    <t>P03A070</t>
  </si>
  <si>
    <t>P03A071</t>
  </si>
  <si>
    <t>P03A072</t>
  </si>
  <si>
    <t>P03A073</t>
  </si>
  <si>
    <t>ea</t>
  </si>
  <si>
    <t>P01A065</t>
    <phoneticPr fontId="8" type="noConversion"/>
  </si>
  <si>
    <t>국내 유기 곱창돌김4.5g 내포</t>
    <phoneticPr fontId="8" type="noConversion"/>
  </si>
  <si>
    <t>국내 유기 무조미 곱창돌김3g 내포</t>
    <phoneticPr fontId="8" type="noConversion"/>
  </si>
  <si>
    <t>P03A070</t>
    <phoneticPr fontId="8" type="noConversion"/>
  </si>
  <si>
    <t>국내 유기 곱창돌김4.5g*15봉 내박스</t>
    <phoneticPr fontId="8" type="noConversion"/>
  </si>
  <si>
    <t>국내 유기 곱창돌김4.5g*15봉 외박스</t>
    <phoneticPr fontId="8" type="noConversion"/>
  </si>
  <si>
    <t>국내 유기 무조미 곱창돌김3g*15봉 내박스</t>
    <phoneticPr fontId="8" type="noConversion"/>
  </si>
  <si>
    <t>국내 유기 무조미 곱창돌김3g*15봉 외박스</t>
    <phoneticPr fontId="8" type="noConversion"/>
  </si>
  <si>
    <t>A09</t>
  </si>
  <si>
    <t>유기 재래김</t>
    <phoneticPr fontId="8" type="noConversion"/>
  </si>
  <si>
    <t>A10</t>
  </si>
  <si>
    <t>유기 돌김</t>
    <phoneticPr fontId="8" type="noConversion"/>
  </si>
  <si>
    <t>A11</t>
  </si>
  <si>
    <t>유기 김밥김</t>
    <phoneticPr fontId="8" type="noConversion"/>
  </si>
  <si>
    <t>정제소금(한주)</t>
    <phoneticPr fontId="8" type="noConversion"/>
  </si>
  <si>
    <t>가공소금(맛소금)</t>
    <phoneticPr fontId="8" type="noConversion"/>
  </si>
  <si>
    <t>고올레산 해바라기유</t>
    <phoneticPr fontId="8" type="noConversion"/>
  </si>
  <si>
    <t>유기농 고올레산 해바라기유</t>
    <phoneticPr fontId="8" type="noConversion"/>
  </si>
  <si>
    <t>혼합 올리브유</t>
    <phoneticPr fontId="8" type="noConversion"/>
  </si>
  <si>
    <t>국내 KS재래식탁김17g 내포</t>
    <phoneticPr fontId="8" type="noConversion"/>
  </si>
  <si>
    <t>캐나다 T&amp;T 재래도시락5g 내포</t>
    <phoneticPr fontId="8" type="noConversion"/>
  </si>
  <si>
    <t>캐나다 T&amp;T 포도씨유재래도시락5g 내포</t>
    <phoneticPr fontId="8" type="noConversion"/>
  </si>
  <si>
    <t>P01A067</t>
  </si>
  <si>
    <t>국내 KS재래식탁김17g 10봉 외포</t>
    <phoneticPr fontId="8" type="noConversion"/>
  </si>
  <si>
    <t>필리핀 S&amp;R 미니재래식탁12g 10봉 외포</t>
    <phoneticPr fontId="8" type="noConversion"/>
  </si>
  <si>
    <t>P02A059</t>
  </si>
  <si>
    <t>P02A060</t>
  </si>
  <si>
    <t>국내 신안갯벌재래도시락4g 12봉*8입 외포</t>
    <phoneticPr fontId="8" type="noConversion"/>
  </si>
  <si>
    <t>필리핀 S&amp;R 미니재래식탁12g 10봉*12입 박스</t>
    <phoneticPr fontId="8" type="noConversion"/>
  </si>
  <si>
    <t>국내 KS재래식탁김17g 10봉*2입 박스(이커머스용)</t>
    <phoneticPr fontId="8" type="noConversion"/>
  </si>
  <si>
    <t>미국 T&amp;T 재래도시락5g 12봉*6입 박스</t>
    <phoneticPr fontId="8" type="noConversion"/>
  </si>
  <si>
    <t>P03A074</t>
  </si>
  <si>
    <t>대만 갯벌 재래김 5g*30봉 박스</t>
  </si>
  <si>
    <t>P03A075</t>
  </si>
  <si>
    <t>국내 신안갯벌재래도시락4g 12봉*8입 박스</t>
    <phoneticPr fontId="8" type="noConversion"/>
  </si>
  <si>
    <t>P03A076</t>
  </si>
  <si>
    <t>쿠팡_돌김자반100g*4봉_4입</t>
  </si>
  <si>
    <t>부재료</t>
    <phoneticPr fontId="6" type="noConversion"/>
  </si>
  <si>
    <t>Z10A011</t>
    <phoneticPr fontId="8" type="noConversion"/>
  </si>
  <si>
    <t>택배박스 곱창돌김세트택배용(소)무인쇄540*420*130</t>
    <phoneticPr fontId="8" type="noConversion"/>
  </si>
  <si>
    <t>Z10A010</t>
    <phoneticPr fontId="8" type="noConversion"/>
  </si>
  <si>
    <t>택배박스 찹쌀김부각세트택배용(대)무인쇄</t>
    <phoneticPr fontId="8" type="noConversion"/>
  </si>
  <si>
    <t>Z10A011</t>
  </si>
  <si>
    <t>Z10A010</t>
  </si>
  <si>
    <t>올레오레진 로즈마리D</t>
    <phoneticPr fontId="6" type="noConversion"/>
  </si>
  <si>
    <t>올레오레진 로즈마리</t>
    <phoneticPr fontId="6" type="noConversion"/>
  </si>
  <si>
    <t>1L</t>
    <phoneticPr fontId="6" type="noConversion"/>
  </si>
  <si>
    <t>P01A068</t>
  </si>
  <si>
    <t>P01A069</t>
  </si>
  <si>
    <t>P02A061</t>
  </si>
  <si>
    <t>P03A077</t>
  </si>
  <si>
    <t>EA</t>
    <phoneticPr fontId="6" type="noConversion"/>
  </si>
  <si>
    <t>대만 갯벌 재래김 5g 내포</t>
    <phoneticPr fontId="8" type="noConversion"/>
  </si>
  <si>
    <t>미국 T&amp;T 재래도시락5g 내포</t>
    <phoneticPr fontId="8" type="noConversion"/>
  </si>
  <si>
    <t>중국 갯벌 재래김 5g 내포</t>
    <phoneticPr fontId="8" type="noConversion"/>
  </si>
  <si>
    <t>대만 갯벌 재래김 5g*30봉 외포</t>
    <phoneticPr fontId="8" type="noConversion"/>
  </si>
  <si>
    <t>중국 갯벌 재래김 5g*30봉 외포</t>
    <phoneticPr fontId="8" type="noConversion"/>
  </si>
  <si>
    <t>중국 갯벌 재래김 5g*30봉 박스</t>
    <phoneticPr fontId="8" type="noConversion"/>
  </si>
  <si>
    <t>P01A055</t>
  </si>
  <si>
    <t>P02A054</t>
  </si>
  <si>
    <t>Z01A012</t>
  </si>
  <si>
    <t>Z10A009</t>
  </si>
  <si>
    <t>조미공통</t>
  </si>
  <si>
    <t>자반</t>
  </si>
  <si>
    <t>공통</t>
  </si>
  <si>
    <t>조미2</t>
  </si>
  <si>
    <t>조미1</t>
  </si>
  <si>
    <t>조미1,자반</t>
  </si>
  <si>
    <t>정제소금(한주)</t>
  </si>
  <si>
    <t>가공소금(맛소금)</t>
  </si>
  <si>
    <t>고올레산 해바라기유</t>
  </si>
  <si>
    <t>유기농 고올레산 해바라기유</t>
  </si>
  <si>
    <t>혼합 올리브유</t>
  </si>
  <si>
    <t>국내 KS재래식탁김17g 내포</t>
  </si>
  <si>
    <t>캐나다 T&amp;T 재래도시락5g 내포</t>
  </si>
  <si>
    <t>캐나다 T&amp;T 포도씨유재래도시락5g 내포</t>
  </si>
  <si>
    <t>일본 예맛갯벌재래김5g 내포</t>
  </si>
  <si>
    <t>국내 심플러스 생돌김 파우치</t>
  </si>
  <si>
    <t>국내 심플러스 생파래김 파우치</t>
  </si>
  <si>
    <t>국내 심플러스 구운김밥김20g 내포</t>
  </si>
  <si>
    <t>국내 심플러스 옥돌김20g 내포</t>
  </si>
  <si>
    <t>국내 심플러스 재래도시락김4g 내포</t>
  </si>
  <si>
    <t>국내 유기 어린이김 오리지널 내포</t>
  </si>
  <si>
    <t>국내 유기 어린이김 고소한맛 내포</t>
  </si>
  <si>
    <t>미국 돌김자반80g 3봉 내포</t>
  </si>
  <si>
    <t>국내 유기 곱창돌김4.5g 내포</t>
  </si>
  <si>
    <t>국내 유기 무조미 곱창돌김3g 내포</t>
  </si>
  <si>
    <t>대만 갯벌 재래김 5g 내포</t>
  </si>
  <si>
    <t>미국 T&amp;T 재래도시락5g 내포</t>
  </si>
  <si>
    <t>중국 갯벌 재래김 5g 내포</t>
  </si>
  <si>
    <t>국내 KS재래식탁김17g 10봉 외포</t>
  </si>
  <si>
    <t>필리핀 S&amp;R 미니재래식탁12g 10봉 외포</t>
  </si>
  <si>
    <t>일본 예맛갯벌재래김5g 30봉 외포</t>
  </si>
  <si>
    <t>국내 심플러스 옥돌김20g 3봉 외포</t>
  </si>
  <si>
    <t>국내 심플러스 재래도시락김4g 20봉 외포</t>
  </si>
  <si>
    <t>미국 돌김자반80g 3봉 외포</t>
  </si>
  <si>
    <t>대만 갯벌 재래김 5g*30봉 외포</t>
  </si>
  <si>
    <t>국내 신안갯벌재래도시락4g 12봉*8입 외포</t>
  </si>
  <si>
    <t>중국 갯벌 재래김 5g*30봉 외포</t>
  </si>
  <si>
    <t>필리핀 S&amp;R 미니재래식탁12g 10봉*12입 박스</t>
  </si>
  <si>
    <t>필리핀/호주 공용 자반 박스</t>
  </si>
  <si>
    <t>국내 KS재래식탁김17g 10봉*2입 박스(이커머스용)</t>
  </si>
  <si>
    <t>일본 니코니코 전통김도시락4g 3봉*10입 박스</t>
  </si>
  <si>
    <t>미국 T&amp;T 재래도시락5g 12봉*6입 박스</t>
  </si>
  <si>
    <t>캐나다 T&amp;T 재래도시락5g 16봉*6입 박스</t>
  </si>
  <si>
    <t>일본 예맛갯벌재래김5g 30봉*6입 박스</t>
  </si>
  <si>
    <t>국내 유기 어린이김 오리지널 내박스</t>
  </si>
  <si>
    <t>국내 유기 어린이김 오리지널 외박스</t>
  </si>
  <si>
    <t>국내 유기 어린이김 고소한맛 내박스</t>
  </si>
  <si>
    <t>국내 유기 어린이김 고소한맛 외박스</t>
  </si>
  <si>
    <t>미국 돌김자반80g 3봉*10입 박스</t>
  </si>
  <si>
    <t>국내 유기 곱창돌김4.5g*15봉 내박스</t>
  </si>
  <si>
    <t>국내 유기 곱창돌김4.5g*15봉 외박스</t>
  </si>
  <si>
    <t>국내 유기 무조미 곱창돌김3g*15봉 내박스</t>
  </si>
  <si>
    <t>국내 유기 무조미 곱창돌김3g*15봉 외박스</t>
  </si>
  <si>
    <t>국내 신안갯벌재래도시락4g 12봉*8입 박스</t>
  </si>
  <si>
    <t>중국 갯벌 재래김 5g*30봉 박스</t>
  </si>
  <si>
    <t>실리카겔 1g 줄</t>
  </si>
  <si>
    <t>실리카겔 4g 줄</t>
  </si>
  <si>
    <t>실리카겔 5g 줄</t>
  </si>
  <si>
    <t>실리카겔 6g 줄</t>
  </si>
  <si>
    <t>트레이 식탁(대)</t>
  </si>
  <si>
    <t>트레이 식탁(중)</t>
  </si>
  <si>
    <t>트레이 군함</t>
  </si>
  <si>
    <t>트레이 도시락43mm</t>
  </si>
  <si>
    <t>앵글 50*50*1210</t>
  </si>
  <si>
    <t>택배박스 곱창돌김세트택배용(소)무인쇄540*420*130</t>
  </si>
  <si>
    <t>택배박스 찹쌀김부각세트택배용(대)무인쇄</t>
  </si>
  <si>
    <t>P03A078</t>
    <phoneticPr fontId="6" type="noConversion"/>
  </si>
  <si>
    <t>CAN</t>
  </si>
  <si>
    <t>Kg</t>
  </si>
  <si>
    <t>롤</t>
  </si>
  <si>
    <t>ea</t>
    <phoneticPr fontId="8" type="noConversion"/>
  </si>
  <si>
    <t>일성포장/이근윤</t>
    <phoneticPr fontId="8" type="noConversion"/>
  </si>
  <si>
    <t>곱창돌김 300G 박스</t>
    <phoneticPr fontId="8" type="noConversion"/>
  </si>
  <si>
    <t>곱창돌김 300G 박스</t>
  </si>
  <si>
    <t>생산_원,부재료 수불대장</t>
    <phoneticPr fontId="6" type="noConversion"/>
  </si>
  <si>
    <t>1kg</t>
    <phoneticPr fontId="8" type="noConversion"/>
  </si>
  <si>
    <t>P01A070</t>
  </si>
  <si>
    <t>예맛 구운 감태김 4g 내포</t>
  </si>
  <si>
    <t>P01A071</t>
  </si>
  <si>
    <t>예맛 구운 재래김 4.5g 내포</t>
  </si>
  <si>
    <t>P01A072</t>
  </si>
  <si>
    <t>(주)성창실업/신광호</t>
    <phoneticPr fontId="8" type="noConversion"/>
  </si>
  <si>
    <t>예맛 구운 곱창돌김 5g 내포</t>
  </si>
  <si>
    <t>P02A062</t>
  </si>
  <si>
    <t>예맛 구운 감태김 4g*12P 외포</t>
  </si>
  <si>
    <t>P02A063</t>
  </si>
  <si>
    <t>예맛 구운 재래김 4.5g*12P 외포</t>
  </si>
  <si>
    <t>P02A064</t>
  </si>
  <si>
    <t>예맛 구운 곱창돌김 5g*12P 외포</t>
  </si>
  <si>
    <t>P03A078</t>
    <phoneticPr fontId="8" type="noConversion"/>
  </si>
  <si>
    <t>P03A079</t>
  </si>
  <si>
    <t>예맛 구운 감태김 박스</t>
  </si>
  <si>
    <t>P03A080</t>
  </si>
  <si>
    <t>예맛 구운 재래김 박스</t>
  </si>
  <si>
    <t>P03A081</t>
  </si>
  <si>
    <t xml:space="preserve">예맛 구운 곱창돌김 박스 </t>
  </si>
  <si>
    <t>box</t>
    <phoneticPr fontId="8" type="noConversion"/>
  </si>
  <si>
    <t>roll</t>
    <phoneticPr fontId="8" type="noConversion"/>
  </si>
  <si>
    <t>택배박스 예맛로고-자사몰(소)550*280*160</t>
    <phoneticPr fontId="8" type="noConversion"/>
  </si>
  <si>
    <t>택배박스 예맛로고-자사몰(대)580*450*550</t>
    <phoneticPr fontId="8" type="noConversion"/>
  </si>
  <si>
    <t>택배박스 예맛로고-자사몰(중)550*280*340</t>
    <phoneticPr fontId="8" type="noConversion"/>
  </si>
  <si>
    <t>디자인변경</t>
    <phoneticPr fontId="8" type="noConversion"/>
  </si>
  <si>
    <t>중국 KS재래식탁김17g 내포</t>
    <phoneticPr fontId="8" type="noConversion"/>
  </si>
  <si>
    <t>일본 해피식품 재래도시락4g 내포</t>
    <phoneticPr fontId="8" type="noConversion"/>
  </si>
  <si>
    <t>디자인변경(예정)</t>
    <phoneticPr fontId="8" type="noConversion"/>
  </si>
  <si>
    <t>미사용</t>
    <phoneticPr fontId="8" type="noConversion"/>
  </si>
  <si>
    <t>생산중단</t>
    <phoneticPr fontId="8" type="noConversion"/>
  </si>
  <si>
    <t>P01A073</t>
  </si>
  <si>
    <t>대만 KS재래식탁김17g 내포</t>
    <phoneticPr fontId="8" type="noConversion"/>
  </si>
  <si>
    <t>Z03A006</t>
  </si>
  <si>
    <t>프리미엄 곱창돌김캔세트5개입</t>
    <phoneticPr fontId="8" type="noConversion"/>
  </si>
  <si>
    <t>Z03A007</t>
  </si>
  <si>
    <t>프리미엄 곱창돌김캔세트1개입</t>
    <phoneticPr fontId="8" type="noConversion"/>
  </si>
  <si>
    <t>중국 KS재래식탁김17g 내포</t>
  </si>
  <si>
    <t>대만 KS재래식탁김17g 내포</t>
  </si>
  <si>
    <t>프리미엄 곱창돌김캔세트5개입</t>
  </si>
  <si>
    <t>프리미엄 곱창돌김캔세트1개입</t>
  </si>
  <si>
    <t>택배박스 예맛로고-자사몰(소)550*280*160</t>
  </si>
  <si>
    <t>택배박스 예맛로고-자사몰(대)580*450*550</t>
  </si>
  <si>
    <t>택배박스 예맛로고-자사몰(중)550*280*340</t>
  </si>
  <si>
    <t>1kg</t>
    <phoneticPr fontId="6" type="noConversion"/>
  </si>
  <si>
    <t>(생산)
2동 1F
조미낌 창고</t>
    <phoneticPr fontId="6" type="noConversion"/>
  </si>
  <si>
    <t>(생산)
2동 2F
조미김 창고</t>
    <phoneticPr fontId="6" type="noConversion"/>
  </si>
  <si>
    <t>(생산)
1동
조미김 창고</t>
    <phoneticPr fontId="6" type="noConversion"/>
  </si>
  <si>
    <t>기존 디자인 86
신규 디자인 20267</t>
    <phoneticPr fontId="6" type="noConversion"/>
  </si>
  <si>
    <r>
      <t>기존 디자인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1229
신규</t>
    </r>
    <r>
      <rPr>
        <sz val="11"/>
        <color rgb="FF000000"/>
        <rFont val="맑은 고딕"/>
        <family val="3"/>
        <charset val="129"/>
      </rPr>
      <t xml:space="preserve"> 디자인 782</t>
    </r>
    <phoneticPr fontId="6" type="noConversion"/>
  </si>
  <si>
    <t>2026년</t>
    <phoneticPr fontId="6" type="noConversion"/>
  </si>
  <si>
    <t>A12</t>
    <phoneticPr fontId="6" type="noConversion"/>
  </si>
  <si>
    <t>청재래김</t>
    <phoneticPr fontId="6" type="noConversion"/>
  </si>
  <si>
    <t>P01A074</t>
    <phoneticPr fontId="8" type="noConversion"/>
  </si>
  <si>
    <t>P-포장재</t>
    <phoneticPr fontId="8" type="noConversion"/>
  </si>
  <si>
    <t>캐나다 유기농 KS구운재래김17g 내포</t>
    <phoneticPr fontId="8" type="noConversion"/>
  </si>
  <si>
    <t>롤</t>
    <phoneticPr fontId="8" type="noConversion"/>
  </si>
  <si>
    <t>P02A065</t>
    <phoneticPr fontId="8" type="noConversion"/>
  </si>
  <si>
    <t>캐나다 유기농 KS구운재래김17g*10P 외포</t>
    <phoneticPr fontId="8" type="noConversion"/>
  </si>
  <si>
    <t>동준포장</t>
    <phoneticPr fontId="8" type="noConversion"/>
  </si>
  <si>
    <t>P03A082</t>
    <phoneticPr fontId="8" type="noConversion"/>
  </si>
  <si>
    <t>캐나다 유기농 KS구운재래김17g*10P 박스</t>
    <phoneticPr fontId="8" type="noConversion"/>
  </si>
  <si>
    <t>P04A013</t>
    <phoneticPr fontId="8" type="noConversion"/>
  </si>
  <si>
    <t>진주코퍼레이션</t>
    <phoneticPr fontId="8" type="noConversion"/>
  </si>
  <si>
    <t>뚜껑 캐나다 유기농 KS구운식탁김</t>
    <phoneticPr fontId="8" type="noConversion"/>
  </si>
  <si>
    <t>P04A014</t>
    <phoneticPr fontId="8" type="noConversion"/>
  </si>
  <si>
    <t>밑판 캐나다 유기농 KS구운식탁김</t>
    <phoneticPr fontId="8" type="noConversion"/>
  </si>
  <si>
    <t>P01A074</t>
  </si>
  <si>
    <t>캐나다 유기농 KS구운재래김17g 내포</t>
  </si>
  <si>
    <t>P02A065</t>
  </si>
  <si>
    <t>캐나다 유기농 KS구운재래김17g*10P 외포</t>
  </si>
  <si>
    <t>P03A082</t>
  </si>
  <si>
    <t>캐나다 유기농 KS구운재래김17g*10P 박스</t>
  </si>
  <si>
    <t>P04A013</t>
  </si>
  <si>
    <t>뚜껑 캐나다 유기농 KS구운식탁김</t>
  </si>
  <si>
    <t>P04A014</t>
  </si>
  <si>
    <t>밑판 캐나다 유기농 KS구운식탁김</t>
  </si>
  <si>
    <t>A골 간지 1210*990</t>
  </si>
  <si>
    <t>A골 간지 1240*940</t>
  </si>
  <si>
    <t>올리브유파래김 뚜껑 1207*975*59</t>
  </si>
  <si>
    <t>A12</t>
    <phoneticPr fontId="6" type="noConversion"/>
  </si>
  <si>
    <t>청재래김</t>
  </si>
  <si>
    <t>디자인변경</t>
  </si>
  <si>
    <t>디자인변경(예정)</t>
  </si>
  <si>
    <t>생산중단/ 성창실업</t>
  </si>
  <si>
    <t>미사용</t>
  </si>
  <si>
    <t>생산중단/ 아이엠팩</t>
  </si>
  <si>
    <t>진주코퍼레이션</t>
  </si>
  <si>
    <t>BOX</t>
  </si>
  <si>
    <t>box</t>
  </si>
  <si>
    <t>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</si>
</sst>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mm&quot;월&quot;\ dd&quot;일&quot;"/>
    <numFmt numFmtId="178" formatCode="_-* #,##0.000000_-;\-* #,##0.000000_-;_-* &quot;-&quot;??????_-;_-@_-"/>
    <numFmt numFmtId="179" formatCode="[$-F800]dddd\,\ mmmm\ dd\,\ yyyy"/>
    <numFmt numFmtId="180" formatCode="mm&quot;월&quot;"/>
    <numFmt numFmtId="181" formatCode="_-* #,##0.00_-;\-* #,##0.00_-;_-* &quot;-&quot;_-;_-@_-"/>
    <numFmt numFmtId="182" formatCode="#,##0.00_ "/>
  </numFmts>
  <fonts count="43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Tahoma"/>
      <family val="2"/>
    </font>
    <font>
      <b/>
      <sz val="11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color rgb="FFFF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4B184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6">
    <xf numFmtId="0" fontId="0" fillId="0" borderId="0">
      <alignment vertical="center"/>
    </xf>
    <xf numFmtId="41" fontId="5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>
      <alignment vertical="center"/>
    </xf>
    <xf numFmtId="179" fontId="19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41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9" fillId="0" borderId="0"/>
    <xf numFmtId="0" fontId="1" fillId="0" borderId="0">
      <alignment vertical="center"/>
    </xf>
  </cellStyleXfs>
  <cellXfs count="19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5" fillId="0" borderId="0" xfId="1" applyAlignment="1">
      <alignment horizontal="center" vertical="center"/>
    </xf>
    <xf numFmtId="41" fontId="5" fillId="0" borderId="0" xfId="1">
      <alignment vertical="center"/>
    </xf>
    <xf numFmtId="0" fontId="0" fillId="0" borderId="0" xfId="0" applyAlignment="1">
      <alignment horizontal="left" vertical="center"/>
    </xf>
    <xf numFmtId="0" fontId="12" fillId="0" borderId="0" xfId="0" applyFont="1">
      <alignment vertical="center"/>
    </xf>
    <xf numFmtId="41" fontId="10" fillId="4" borderId="1" xfId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3" applyFont="1">
      <alignment vertical="center"/>
    </xf>
    <xf numFmtId="41" fontId="3" fillId="4" borderId="1" xfId="1" applyFont="1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3" fillId="0" borderId="0" xfId="3" applyFont="1">
      <alignment vertical="center"/>
    </xf>
    <xf numFmtId="0" fontId="3" fillId="2" borderId="0" xfId="3" applyFont="1" applyFill="1">
      <alignment vertical="center"/>
    </xf>
    <xf numFmtId="0" fontId="16" fillId="0" borderId="0" xfId="3" applyFont="1">
      <alignment vertical="center"/>
    </xf>
    <xf numFmtId="0" fontId="3" fillId="0" borderId="0" xfId="3" applyFont="1" applyAlignment="1">
      <alignment horizontal="center" vertical="center"/>
    </xf>
    <xf numFmtId="41" fontId="3" fillId="0" borderId="0" xfId="1" applyFont="1">
      <alignment vertical="center"/>
    </xf>
    <xf numFmtId="41" fontId="3" fillId="2" borderId="0" xfId="1" applyFont="1" applyFill="1">
      <alignment vertical="center"/>
    </xf>
    <xf numFmtId="0" fontId="5" fillId="0" borderId="0" xfId="3" applyAlignment="1">
      <alignment horizontal="center" vertical="center"/>
    </xf>
    <xf numFmtId="0" fontId="5" fillId="0" borderId="0" xfId="3">
      <alignment vertical="center"/>
    </xf>
    <xf numFmtId="49" fontId="7" fillId="0" borderId="5" xfId="4" applyNumberFormat="1" applyFont="1" applyBorder="1" applyAlignment="1">
      <alignment horizontal="center" vertical="center" shrinkToFit="1"/>
    </xf>
    <xf numFmtId="41" fontId="0" fillId="0" borderId="0" xfId="0" applyNumberFormat="1">
      <alignment vertical="center"/>
    </xf>
    <xf numFmtId="178" fontId="5" fillId="0" borderId="0" xfId="1" applyNumberFormat="1">
      <alignment vertical="center"/>
    </xf>
    <xf numFmtId="178" fontId="10" fillId="4" borderId="1" xfId="1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41" fontId="3" fillId="0" borderId="1" xfId="1" applyFont="1" applyBorder="1">
      <alignment vertical="center"/>
    </xf>
    <xf numFmtId="41" fontId="3" fillId="0" borderId="1" xfId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41" fontId="14" fillId="6" borderId="9" xfId="0" applyNumberFormat="1" applyFont="1" applyFill="1" applyBorder="1">
      <alignment vertical="center"/>
    </xf>
    <xf numFmtId="41" fontId="3" fillId="7" borderId="1" xfId="1" applyFont="1" applyFill="1" applyBorder="1" applyAlignment="1">
      <alignment horizontal="center" vertical="center" wrapText="1"/>
    </xf>
    <xf numFmtId="41" fontId="3" fillId="8" borderId="1" xfId="1" applyFont="1" applyFill="1" applyBorder="1">
      <alignment vertical="center"/>
    </xf>
    <xf numFmtId="0" fontId="3" fillId="9" borderId="1" xfId="3" applyFont="1" applyFill="1" applyBorder="1" applyAlignment="1">
      <alignment horizontal="center" vertical="center"/>
    </xf>
    <xf numFmtId="0" fontId="3" fillId="0" borderId="0" xfId="0" applyFont="1">
      <alignment vertical="center"/>
    </xf>
    <xf numFmtId="41" fontId="3" fillId="10" borderId="1" xfId="1" applyFont="1" applyFill="1" applyBorder="1">
      <alignment vertical="center"/>
    </xf>
    <xf numFmtId="0" fontId="3" fillId="0" borderId="1" xfId="3" applyFont="1" applyBorder="1" applyAlignment="1">
      <alignment horizontal="center" vertical="center"/>
    </xf>
    <xf numFmtId="41" fontId="3" fillId="0" borderId="21" xfId="1" applyFont="1" applyBorder="1">
      <alignment vertical="center"/>
    </xf>
    <xf numFmtId="41" fontId="18" fillId="0" borderId="1" xfId="1" applyFont="1" applyBorder="1">
      <alignment vertical="center"/>
    </xf>
    <xf numFmtId="49" fontId="4" fillId="0" borderId="20" xfId="0" applyNumberFormat="1" applyFont="1" applyBorder="1" applyAlignment="1">
      <alignment horizontal="center" vertical="center" shrinkToFit="1"/>
    </xf>
    <xf numFmtId="49" fontId="7" fillId="0" borderId="6" xfId="4" applyNumberFormat="1" applyFont="1" applyBorder="1" applyAlignment="1">
      <alignment horizontal="center" vertical="center" shrinkToFit="1"/>
    </xf>
    <xf numFmtId="179" fontId="20" fillId="0" borderId="1" xfId="6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shrinkToFit="1"/>
    </xf>
    <xf numFmtId="41" fontId="18" fillId="0" borderId="1" xfId="1" applyFont="1" applyBorder="1" applyAlignment="1">
      <alignment horizontal="center" vertical="center"/>
    </xf>
    <xf numFmtId="0" fontId="18" fillId="0" borderId="0" xfId="0" applyFont="1">
      <alignment vertical="center"/>
    </xf>
    <xf numFmtId="177" fontId="18" fillId="0" borderId="0" xfId="0" applyNumberFormat="1" applyFont="1">
      <alignment vertical="center"/>
    </xf>
    <xf numFmtId="49" fontId="7" fillId="0" borderId="1" xfId="4" applyNumberFormat="1" applyFont="1" applyBorder="1" applyAlignment="1">
      <alignment horizontal="center" vertical="center" shrinkToFit="1"/>
    </xf>
    <xf numFmtId="0" fontId="3" fillId="10" borderId="1" xfId="3" applyFont="1" applyFill="1" applyBorder="1" applyAlignment="1">
      <alignment horizontal="center" vertical="center"/>
    </xf>
    <xf numFmtId="177" fontId="3" fillId="0" borderId="1" xfId="3" applyNumberFormat="1" applyFont="1" applyBorder="1" applyAlignment="1">
      <alignment horizontal="center" vertical="center"/>
    </xf>
    <xf numFmtId="49" fontId="4" fillId="0" borderId="1" xfId="3" applyNumberFormat="1" applyFont="1" applyBorder="1" applyAlignment="1">
      <alignment horizontal="center" vertical="center" shrinkToFit="1"/>
    </xf>
    <xf numFmtId="41" fontId="3" fillId="5" borderId="1" xfId="1" applyFont="1" applyFill="1" applyBorder="1">
      <alignment vertical="center"/>
    </xf>
    <xf numFmtId="180" fontId="23" fillId="0" borderId="0" xfId="0" applyNumberFormat="1" applyFont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/>
    </xf>
    <xf numFmtId="0" fontId="18" fillId="5" borderId="0" xfId="0" applyFont="1" applyFill="1">
      <alignment vertical="center"/>
    </xf>
    <xf numFmtId="49" fontId="21" fillId="0" borderId="20" xfId="0" applyNumberFormat="1" applyFont="1" applyBorder="1" applyAlignment="1">
      <alignment horizontal="center" vertical="center" shrinkToFit="1"/>
    </xf>
    <xf numFmtId="41" fontId="22" fillId="0" borderId="0" xfId="0" applyNumberFormat="1" applyFont="1">
      <alignment vertical="center"/>
    </xf>
    <xf numFmtId="41" fontId="14" fillId="6" borderId="25" xfId="0" applyNumberFormat="1" applyFont="1" applyFill="1" applyBorder="1">
      <alignment vertical="center"/>
    </xf>
    <xf numFmtId="0" fontId="17" fillId="0" borderId="0" xfId="0" applyFont="1" applyAlignment="1">
      <alignment horizontal="center" vertical="center"/>
    </xf>
    <xf numFmtId="41" fontId="14" fillId="0" borderId="0" xfId="0" applyNumberFormat="1" applyFont="1">
      <alignment vertical="center"/>
    </xf>
    <xf numFmtId="41" fontId="4" fillId="4" borderId="1" xfId="1" applyFont="1" applyFill="1" applyBorder="1" applyAlignment="1">
      <alignment horizontal="center" vertical="center" wrapText="1"/>
    </xf>
    <xf numFmtId="41" fontId="4" fillId="13" borderId="1" xfId="1" applyFont="1" applyFill="1" applyBorder="1" applyAlignment="1">
      <alignment horizontal="center" vertical="center" wrapText="1"/>
    </xf>
    <xf numFmtId="41" fontId="3" fillId="4" borderId="1" xfId="1" applyFont="1" applyFill="1" applyBorder="1" applyAlignment="1">
      <alignment horizontal="center" vertical="center"/>
    </xf>
    <xf numFmtId="177" fontId="3" fillId="10" borderId="1" xfId="3" applyNumberFormat="1" applyFont="1" applyFill="1" applyBorder="1" applyAlignment="1">
      <alignment horizontal="center" vertical="center"/>
    </xf>
    <xf numFmtId="49" fontId="4" fillId="10" borderId="1" xfId="3" applyNumberFormat="1" applyFont="1" applyFill="1" applyBorder="1" applyAlignment="1">
      <alignment horizontal="center" vertical="center" shrinkToFit="1"/>
    </xf>
    <xf numFmtId="49" fontId="7" fillId="10" borderId="1" xfId="4" applyNumberFormat="1" applyFont="1" applyFill="1" applyBorder="1" applyAlignment="1">
      <alignment horizontal="center" vertical="center" shrinkToFit="1"/>
    </xf>
    <xf numFmtId="49" fontId="21" fillId="10" borderId="1" xfId="3" applyNumberFormat="1" applyFont="1" applyFill="1" applyBorder="1" applyAlignment="1">
      <alignment horizontal="center" vertical="center" shrinkToFit="1"/>
    </xf>
    <xf numFmtId="177" fontId="3" fillId="5" borderId="1" xfId="0" applyNumberFormat="1" applyFont="1" applyFill="1" applyBorder="1" applyAlignment="1">
      <alignment horizontal="center" vertical="center"/>
    </xf>
    <xf numFmtId="177" fontId="15" fillId="10" borderId="1" xfId="3" applyNumberFormat="1" applyFont="1" applyFill="1" applyBorder="1" applyAlignment="1">
      <alignment horizontal="center" vertical="center"/>
    </xf>
    <xf numFmtId="49" fontId="24" fillId="10" borderId="1" xfId="3" applyNumberFormat="1" applyFont="1" applyFill="1" applyBorder="1" applyAlignment="1">
      <alignment horizontal="center" vertical="center" shrinkToFit="1"/>
    </xf>
    <xf numFmtId="0" fontId="15" fillId="10" borderId="1" xfId="3" applyFont="1" applyFill="1" applyBorder="1" applyAlignment="1">
      <alignment horizontal="center" vertical="center"/>
    </xf>
    <xf numFmtId="41" fontId="15" fillId="10" borderId="1" xfId="1" applyFont="1" applyFill="1" applyBorder="1">
      <alignment vertical="center"/>
    </xf>
    <xf numFmtId="176" fontId="21" fillId="0" borderId="1" xfId="1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49" fontId="21" fillId="0" borderId="2" xfId="0" applyNumberFormat="1" applyFont="1" applyBorder="1" applyAlignment="1">
      <alignment horizontal="center" vertical="center" shrinkToFit="1"/>
    </xf>
    <xf numFmtId="49" fontId="21" fillId="0" borderId="21" xfId="0" applyNumberFormat="1" applyFont="1" applyBorder="1" applyAlignment="1">
      <alignment horizontal="center" vertical="center" shrinkToFit="1"/>
    </xf>
    <xf numFmtId="49" fontId="7" fillId="5" borderId="1" xfId="4" applyNumberFormat="1" applyFont="1" applyFill="1" applyBorder="1" applyAlignment="1">
      <alignment horizontal="center" vertical="center" shrinkToFit="1"/>
    </xf>
    <xf numFmtId="41" fontId="5" fillId="0" borderId="0" xfId="5">
      <alignment vertical="center"/>
    </xf>
    <xf numFmtId="0" fontId="18" fillId="0" borderId="0" xfId="3" applyFont="1" applyAlignment="1">
      <alignment horizontal="left" vertical="center"/>
    </xf>
    <xf numFmtId="177" fontId="18" fillId="5" borderId="0" xfId="0" applyNumberFormat="1" applyFont="1" applyFill="1">
      <alignment vertical="center"/>
    </xf>
    <xf numFmtId="0" fontId="25" fillId="0" borderId="0" xfId="3" applyFont="1">
      <alignment vertical="center"/>
    </xf>
    <xf numFmtId="0" fontId="26" fillId="0" borderId="0" xfId="3" applyFont="1">
      <alignment vertical="center"/>
    </xf>
    <xf numFmtId="0" fontId="20" fillId="0" borderId="0" xfId="3" applyFont="1">
      <alignment vertical="center"/>
    </xf>
    <xf numFmtId="0" fontId="5" fillId="0" borderId="7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left" vertical="center" indent="1"/>
    </xf>
    <xf numFmtId="179" fontId="19" fillId="0" borderId="1" xfId="6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0" fillId="14" borderId="1" xfId="0" applyFill="1" applyBorder="1">
      <alignment vertical="center"/>
    </xf>
    <xf numFmtId="41" fontId="38" fillId="11" borderId="1" xfId="0" applyNumberFormat="1" applyFont="1" applyFill="1" applyBorder="1">
      <alignment vertical="center"/>
    </xf>
    <xf numFmtId="41" fontId="38" fillId="0" borderId="1" xfId="0" applyNumberFormat="1" applyFont="1" applyBorder="1">
      <alignment vertical="center"/>
    </xf>
    <xf numFmtId="41" fontId="38" fillId="0" borderId="0" xfId="1" applyFont="1">
      <alignment vertical="center"/>
    </xf>
    <xf numFmtId="41" fontId="38" fillId="0" borderId="1" xfId="0" applyNumberFormat="1" applyFont="1" applyBorder="1" applyAlignment="1">
      <alignment horizontal="center" vertical="center"/>
    </xf>
    <xf numFmtId="41" fontId="38" fillId="12" borderId="1" xfId="0" applyNumberFormat="1" applyFont="1" applyFill="1" applyBorder="1">
      <alignment vertical="center"/>
    </xf>
    <xf numFmtId="41" fontId="14" fillId="6" borderId="29" xfId="0" applyNumberFormat="1" applyFont="1" applyFill="1" applyBorder="1">
      <alignment vertical="center"/>
    </xf>
    <xf numFmtId="41" fontId="32" fillId="14" borderId="17" xfId="0" applyNumberFormat="1" applyFont="1" applyFill="1" applyBorder="1">
      <alignment vertical="center"/>
    </xf>
    <xf numFmtId="0" fontId="5" fillId="0" borderId="0" xfId="4">
      <alignment vertical="center"/>
    </xf>
    <xf numFmtId="0" fontId="2" fillId="0" borderId="0" xfId="4" applyFont="1">
      <alignment vertical="center"/>
    </xf>
    <xf numFmtId="0" fontId="10" fillId="6" borderId="28" xfId="4" applyFont="1" applyFill="1" applyBorder="1" applyAlignment="1">
      <alignment horizontal="center" vertical="center"/>
    </xf>
    <xf numFmtId="0" fontId="5" fillId="0" borderId="8" xfId="4" applyBorder="1" applyAlignment="1">
      <alignment horizontal="center" vertical="center"/>
    </xf>
    <xf numFmtId="0" fontId="5" fillId="0" borderId="13" xfId="4" applyBorder="1" applyAlignment="1">
      <alignment horizontal="center" vertical="center"/>
    </xf>
    <xf numFmtId="179" fontId="19" fillId="0" borderId="9" xfId="6" applyBorder="1" applyAlignment="1">
      <alignment horizontal="center" vertical="center"/>
    </xf>
    <xf numFmtId="0" fontId="5" fillId="0" borderId="25" xfId="4" applyBorder="1" applyAlignment="1">
      <alignment horizontal="center" vertical="center"/>
    </xf>
    <xf numFmtId="0" fontId="28" fillId="0" borderId="0" xfId="3" applyFont="1">
      <alignment vertical="center"/>
    </xf>
    <xf numFmtId="0" fontId="31" fillId="0" borderId="0" xfId="3" applyFont="1" applyAlignment="1">
      <alignment horizontal="right" vertical="center"/>
    </xf>
    <xf numFmtId="0" fontId="32" fillId="0" borderId="0" xfId="3" applyFont="1" applyAlignment="1">
      <alignment horizontal="center" vertical="center"/>
    </xf>
    <xf numFmtId="41" fontId="5" fillId="0" borderId="0" xfId="5" applyAlignment="1">
      <alignment horizontal="right" vertical="center"/>
    </xf>
    <xf numFmtId="41" fontId="2" fillId="0" borderId="0" xfId="5" applyFont="1" applyAlignment="1">
      <alignment horizontal="right" vertical="center"/>
    </xf>
    <xf numFmtId="0" fontId="10" fillId="6" borderId="26" xfId="3" applyFont="1" applyFill="1" applyBorder="1" applyAlignment="1">
      <alignment horizontal="center" vertical="center"/>
    </xf>
    <xf numFmtId="0" fontId="10" fillId="6" borderId="27" xfId="3" applyFont="1" applyFill="1" applyBorder="1" applyAlignment="1">
      <alignment horizontal="center" vertical="center"/>
    </xf>
    <xf numFmtId="0" fontId="30" fillId="6" borderId="27" xfId="3" applyFont="1" applyFill="1" applyBorder="1" applyAlignment="1">
      <alignment horizontal="center" vertical="center"/>
    </xf>
    <xf numFmtId="0" fontId="29" fillId="6" borderId="27" xfId="3" applyFont="1" applyFill="1" applyBorder="1" applyAlignment="1">
      <alignment horizontal="center" vertical="center"/>
    </xf>
    <xf numFmtId="41" fontId="10" fillId="6" borderId="27" xfId="5" applyFont="1" applyFill="1" applyBorder="1" applyAlignment="1">
      <alignment horizontal="center" vertical="center"/>
    </xf>
    <xf numFmtId="0" fontId="10" fillId="6" borderId="30" xfId="3" applyFont="1" applyFill="1" applyBorder="1" applyAlignment="1">
      <alignment horizontal="center" vertical="center"/>
    </xf>
    <xf numFmtId="0" fontId="5" fillId="0" borderId="7" xfId="3" applyBorder="1" applyAlignment="1">
      <alignment horizontal="center" vertical="center"/>
    </xf>
    <xf numFmtId="0" fontId="5" fillId="0" borderId="1" xfId="3" applyBorder="1" applyAlignment="1">
      <alignment horizontal="center" vertical="center"/>
    </xf>
    <xf numFmtId="0" fontId="25" fillId="0" borderId="1" xfId="3" applyFont="1" applyBorder="1" applyAlignment="1">
      <alignment horizontal="center" vertical="center"/>
    </xf>
    <xf numFmtId="0" fontId="26" fillId="0" borderId="1" xfId="3" applyFont="1" applyBorder="1">
      <alignment vertical="center"/>
    </xf>
    <xf numFmtId="41" fontId="5" fillId="0" borderId="1" xfId="5" applyBorder="1" applyAlignment="1">
      <alignment horizontal="center" vertical="center"/>
    </xf>
    <xf numFmtId="41" fontId="5" fillId="0" borderId="31" xfId="5" applyBorder="1">
      <alignment vertical="center"/>
    </xf>
    <xf numFmtId="0" fontId="5" fillId="0" borderId="8" xfId="3" applyBorder="1" applyAlignment="1">
      <alignment horizontal="center" vertical="center"/>
    </xf>
    <xf numFmtId="41" fontId="26" fillId="0" borderId="31" xfId="5" applyFont="1" applyBorder="1" applyAlignment="1">
      <alignment horizontal="center" vertical="center"/>
    </xf>
    <xf numFmtId="0" fontId="5" fillId="14" borderId="1" xfId="3" applyFill="1" applyBorder="1" applyAlignment="1">
      <alignment horizontal="center" vertical="center"/>
    </xf>
    <xf numFmtId="0" fontId="37" fillId="0" borderId="1" xfId="3" applyFont="1" applyBorder="1" applyAlignment="1">
      <alignment horizontal="center" vertical="center"/>
    </xf>
    <xf numFmtId="0" fontId="5" fillId="0" borderId="15" xfId="3" applyBorder="1" applyAlignment="1">
      <alignment horizontal="center" vertical="center"/>
    </xf>
    <xf numFmtId="0" fontId="5" fillId="0" borderId="3" xfId="3" applyBorder="1" applyAlignment="1">
      <alignment horizontal="center" vertical="center"/>
    </xf>
    <xf numFmtId="0" fontId="25" fillId="0" borderId="3" xfId="3" applyFont="1" applyBorder="1" applyAlignment="1">
      <alignment horizontal="center" vertical="center"/>
    </xf>
    <xf numFmtId="0" fontId="26" fillId="0" borderId="3" xfId="3" applyFont="1" applyBorder="1">
      <alignment vertical="center"/>
    </xf>
    <xf numFmtId="41" fontId="5" fillId="0" borderId="3" xfId="5" applyBorder="1" applyAlignment="1">
      <alignment horizontal="center" vertical="center"/>
    </xf>
    <xf numFmtId="0" fontId="5" fillId="0" borderId="29" xfId="3" applyBorder="1" applyAlignment="1">
      <alignment horizontal="center" vertical="center"/>
    </xf>
    <xf numFmtId="0" fontId="5" fillId="0" borderId="9" xfId="3" applyBorder="1" applyAlignment="1">
      <alignment horizontal="center" vertical="center"/>
    </xf>
    <xf numFmtId="0" fontId="25" fillId="0" borderId="9" xfId="3" applyFont="1" applyBorder="1" applyAlignment="1">
      <alignment horizontal="center" vertical="center"/>
    </xf>
    <xf numFmtId="0" fontId="26" fillId="0" borderId="9" xfId="3" applyFont="1" applyBorder="1">
      <alignment vertical="center"/>
    </xf>
    <xf numFmtId="41" fontId="5" fillId="0" borderId="9" xfId="5" applyBorder="1" applyAlignment="1">
      <alignment horizontal="center" vertical="center"/>
    </xf>
    <xf numFmtId="0" fontId="26" fillId="0" borderId="32" xfId="3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41" fontId="14" fillId="6" borderId="9" xfId="3" applyNumberFormat="1" applyFont="1" applyFill="1" applyBorder="1">
      <alignment vertical="center"/>
    </xf>
    <xf numFmtId="0" fontId="5" fillId="14" borderId="1" xfId="0" applyFont="1" applyFill="1" applyBorder="1">
      <alignment vertical="center"/>
    </xf>
    <xf numFmtId="0" fontId="40" fillId="0" borderId="7" xfId="0" applyFont="1" applyBorder="1" applyAlignment="1">
      <alignment horizontal="center" vertical="center"/>
    </xf>
    <xf numFmtId="179" fontId="19" fillId="14" borderId="1" xfId="6" applyFill="1" applyBorder="1" applyAlignment="1">
      <alignment horizontal="center" vertical="center"/>
    </xf>
    <xf numFmtId="0" fontId="5" fillId="5" borderId="0" xfId="0" applyFont="1" applyFill="1">
      <alignment vertical="center"/>
    </xf>
    <xf numFmtId="0" fontId="0" fillId="0" borderId="1" xfId="3" applyFont="1" applyBorder="1" applyAlignment="1">
      <alignment horizontal="center" vertical="center"/>
    </xf>
    <xf numFmtId="0" fontId="41" fillId="0" borderId="1" xfId="3" applyFont="1" applyBorder="1" applyAlignment="1">
      <alignment horizontal="center" vertical="center"/>
    </xf>
    <xf numFmtId="0" fontId="42" fillId="0" borderId="1" xfId="3" applyFont="1" applyBorder="1" applyAlignment="1">
      <alignment horizontal="center" vertical="center"/>
    </xf>
    <xf numFmtId="0" fontId="26" fillId="0" borderId="1" xfId="3" applyFont="1" applyBorder="1" applyAlignment="1">
      <alignment vertical="center" wrapText="1"/>
    </xf>
    <xf numFmtId="179" fontId="42" fillId="14" borderId="1" xfId="6" applyFont="1" applyFill="1" applyBorder="1" applyAlignment="1">
      <alignment horizontal="center" vertical="center"/>
    </xf>
    <xf numFmtId="179" fontId="42" fillId="0" borderId="1" xfId="6" applyFont="1" applyBorder="1" applyAlignment="1">
      <alignment horizontal="center" vertical="center"/>
    </xf>
    <xf numFmtId="181" fontId="5" fillId="0" borderId="1" xfId="1" applyNumberFormat="1" applyBorder="1">
      <alignment vertical="center"/>
    </xf>
    <xf numFmtId="41" fontId="5" fillId="0" borderId="1" xfId="1" applyBorder="1">
      <alignment vertical="center"/>
    </xf>
    <xf numFmtId="181" fontId="5" fillId="0" borderId="35" xfId="1" applyNumberFormat="1" applyBorder="1" applyAlignment="1">
      <alignment vertical="center" wrapText="1"/>
    </xf>
    <xf numFmtId="0" fontId="5" fillId="0" borderId="0" xfId="0" applyFont="1" applyAlignment="1">
      <alignment vertical="center" wrapText="1"/>
    </xf>
    <xf numFmtId="182" fontId="14" fillId="6" borderId="25" xfId="0" applyNumberFormat="1" applyFont="1" applyFill="1" applyBorder="1">
      <alignment vertical="center"/>
    </xf>
    <xf numFmtId="43" fontId="32" fillId="14" borderId="17" xfId="0" applyNumberFormat="1" applyFont="1" applyFill="1" applyBorder="1">
      <alignment vertical="center"/>
    </xf>
    <xf numFmtId="0" fontId="0" fillId="0" borderId="7" xfId="3" applyFont="1" applyBorder="1" applyAlignment="1">
      <alignment horizontal="center" vertical="center"/>
    </xf>
    <xf numFmtId="41" fontId="5" fillId="0" borderId="36" xfId="1" applyBorder="1">
      <alignment vertical="center"/>
    </xf>
    <xf numFmtId="181" fontId="5" fillId="0" borderId="3" xfId="1" applyNumberFormat="1" applyBorder="1">
      <alignment vertical="center"/>
    </xf>
    <xf numFmtId="43" fontId="32" fillId="14" borderId="1" xfId="0" applyNumberFormat="1" applyFont="1" applyFill="1" applyBorder="1">
      <alignment vertical="center"/>
    </xf>
    <xf numFmtId="181" fontId="15" fillId="7" borderId="28" xfId="1" applyNumberFormat="1" applyFont="1" applyFill="1" applyBorder="1" applyAlignment="1">
      <alignment horizontal="center" vertical="center" wrapText="1"/>
    </xf>
    <xf numFmtId="181" fontId="15" fillId="7" borderId="8" xfId="1" applyNumberFormat="1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41" fontId="10" fillId="4" borderId="3" xfId="1" applyFont="1" applyFill="1" applyBorder="1" applyAlignment="1">
      <alignment horizontal="center" vertical="center"/>
    </xf>
    <xf numFmtId="41" fontId="10" fillId="4" borderId="4" xfId="1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17" fillId="6" borderId="23" xfId="0" applyFont="1" applyFill="1" applyBorder="1" applyAlignment="1">
      <alignment horizontal="center" vertical="center"/>
    </xf>
    <xf numFmtId="0" fontId="17" fillId="6" borderId="24" xfId="0" applyFont="1" applyFill="1" applyBorder="1" applyAlignment="1">
      <alignment horizontal="center" vertical="center"/>
    </xf>
    <xf numFmtId="181" fontId="15" fillId="7" borderId="34" xfId="1" applyNumberFormat="1" applyFont="1" applyFill="1" applyBorder="1" applyAlignment="1">
      <alignment horizontal="center" vertical="center" wrapText="1"/>
    </xf>
    <xf numFmtId="181" fontId="15" fillId="7" borderId="4" xfId="1" applyNumberFormat="1" applyFont="1" applyFill="1" applyBorder="1" applyAlignment="1">
      <alignment horizontal="center" vertical="center" wrapText="1"/>
    </xf>
    <xf numFmtId="41" fontId="15" fillId="7" borderId="33" xfId="1" applyFont="1" applyFill="1" applyBorder="1" applyAlignment="1">
      <alignment horizontal="center" vertical="center" wrapText="1"/>
    </xf>
    <xf numFmtId="41" fontId="15" fillId="7" borderId="16" xfId="1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41" fontId="10" fillId="4" borderId="1" xfId="1" applyFont="1" applyFill="1" applyBorder="1" applyAlignment="1">
      <alignment horizontal="center" vertical="center"/>
    </xf>
    <xf numFmtId="41" fontId="3" fillId="4" borderId="17" xfId="1" applyFont="1" applyFill="1" applyBorder="1" applyAlignment="1">
      <alignment horizontal="center" vertical="center"/>
    </xf>
    <xf numFmtId="41" fontId="3" fillId="4" borderId="18" xfId="1" applyFont="1" applyFill="1" applyBorder="1" applyAlignment="1">
      <alignment horizontal="center" vertical="center"/>
    </xf>
    <xf numFmtId="41" fontId="3" fillId="4" borderId="19" xfId="1" applyFont="1" applyFill="1" applyBorder="1" applyAlignment="1">
      <alignment horizontal="center" vertical="center"/>
    </xf>
    <xf numFmtId="41" fontId="2" fillId="3" borderId="17" xfId="1" applyFont="1" applyFill="1" applyBorder="1" applyAlignment="1">
      <alignment horizontal="center" vertical="center"/>
    </xf>
    <xf numFmtId="41" fontId="2" fillId="3" borderId="18" xfId="1" applyFont="1" applyFill="1" applyBorder="1" applyAlignment="1">
      <alignment horizontal="center" vertical="center"/>
    </xf>
    <xf numFmtId="41" fontId="2" fillId="3" borderId="19" xfId="1" applyFont="1" applyFill="1" applyBorder="1" applyAlignment="1">
      <alignment horizontal="center" vertical="center"/>
    </xf>
    <xf numFmtId="0" fontId="2" fillId="4" borderId="3" xfId="3" applyFont="1" applyFill="1" applyBorder="1" applyAlignment="1">
      <alignment horizontal="center" vertical="center"/>
    </xf>
    <xf numFmtId="0" fontId="2" fillId="4" borderId="4" xfId="3" applyFont="1" applyFill="1" applyBorder="1" applyAlignment="1">
      <alignment horizontal="center" vertical="center"/>
    </xf>
    <xf numFmtId="0" fontId="3" fillId="4" borderId="3" xfId="3" applyFont="1" applyFill="1" applyBorder="1" applyAlignment="1">
      <alignment horizontal="center" vertical="center"/>
    </xf>
    <xf numFmtId="0" fontId="3" fillId="4" borderId="4" xfId="3" applyFont="1" applyFill="1" applyBorder="1" applyAlignment="1">
      <alignment horizontal="center" vertical="center"/>
    </xf>
  </cellXfs>
  <cellStyles count="16">
    <cellStyle name="백분율 2" xfId="12" xr:uid="{00000000-0005-0000-0000-000000000000}"/>
    <cellStyle name="쉼표 [0]" xfId="1" builtinId="6"/>
    <cellStyle name="쉼표 [0] 2" xfId="11" xr:uid="{00000000-0005-0000-0000-000002000000}"/>
    <cellStyle name="쉼표 [0] 3" xfId="5" xr:uid="{00000000-0005-0000-0000-000003000000}"/>
    <cellStyle name="쉼표 [0] 3 2" xfId="9" xr:uid="{00000000-0005-0000-0000-000004000000}"/>
    <cellStyle name="표준" xfId="0" builtinId="0"/>
    <cellStyle name="표준 2" xfId="3" xr:uid="{00000000-0005-0000-0000-000006000000}"/>
    <cellStyle name="표준 2 2" xfId="13" xr:uid="{00000000-0005-0000-0000-000007000000}"/>
    <cellStyle name="표준 2 3" xfId="10" xr:uid="{00000000-0005-0000-0000-000008000000}"/>
    <cellStyle name="표준 3" xfId="6" xr:uid="{00000000-0005-0000-0000-000009000000}"/>
    <cellStyle name="표준 3 2" xfId="7" xr:uid="{00000000-0005-0000-0000-00000A000000}"/>
    <cellStyle name="표준 3 3" xfId="14" xr:uid="{00000000-0005-0000-0000-00000B000000}"/>
    <cellStyle name="표준 4" xfId="2" xr:uid="{00000000-0005-0000-0000-00000C000000}"/>
    <cellStyle name="표준 4 2" xfId="15" xr:uid="{00000000-0005-0000-0000-00000D000000}"/>
    <cellStyle name="표준 5" xfId="8" xr:uid="{00000000-0005-0000-0000-00000E000000}"/>
    <cellStyle name="표준 6" xfId="4" xr:uid="{00000000-0005-0000-0000-00000F000000}"/>
  </cellStyles>
  <dxfs count="5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504"/>
      <tableStyleElement type="headerRow" dxfId="503"/>
      <tableStyleElement type="totalRow" dxfId="502"/>
      <tableStyleElement type="firstColumn" dxfId="501"/>
      <tableStyleElement type="lastColumn" dxfId="500"/>
      <tableStyleElement type="firstRowStripe" dxfId="499"/>
      <tableStyleElement type="firstColumnStripe" dxfId="498"/>
    </tableStyle>
    <tableStyle name="Light Style 1 - Accent 1" table="0" count="7" xr9:uid="{00000000-0011-0000-FFFF-FFFF01000000}">
      <tableStyleElement type="wholeTable" dxfId="497"/>
      <tableStyleElement type="headerRow" dxfId="496"/>
      <tableStyleElement type="totalRow" dxfId="495"/>
      <tableStyleElement type="firstColumn" dxfId="494"/>
      <tableStyleElement type="lastColumn" dxfId="493"/>
      <tableStyleElement type="firstRowStripe" dxfId="492"/>
      <tableStyleElement type="firstColumnStripe" dxfId="491"/>
    </tableStyle>
  </tableStyles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7579;&#49885;&#54408;.&#50696;&#47579;&#49345;&#49324;&#12828;\03-ERP&amp;MES\1.%20&#50724;&#53468;&#51221;\a.%20&#49345;&#49324;\b.%20&#47932;&#47448;\3&#50900;%20&#47932;&#47448;\1.(&#49688;&#51221;&#51473;)3&#50900;_&#50896;,&#48512;&#51088;&#51116;%20&#51077;&#44256;&#45824;&#51109;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0.%20&#49345;&#49324;_9&#50900;_&#49345;,&#51228;&#54408;_&#51116;&#44256;&#51312;&#49324;v2_&#54869;&#510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입고대장(상사)"/>
      <sheetName val="자재입고대장(식품)"/>
      <sheetName val="자재입고대장(식품_위탁)"/>
      <sheetName val="(신규)원,부자재코드"/>
      <sheetName val="자재입고대장(상사_위탁)"/>
      <sheetName val="자재반출대장(식품)"/>
      <sheetName val="자재반출대장(상사)"/>
      <sheetName val="창고코드"/>
      <sheetName val="품번코드"/>
      <sheetName val="(전체)거래처코드"/>
      <sheetName val="(신규)원,부재료 수불부_상사"/>
      <sheetName val="Sheet1"/>
      <sheetName val="코드번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창고코드</v>
          </cell>
        </row>
      </sheetData>
      <sheetData sheetId="8">
        <row r="1">
          <cell r="B1" t="str">
            <v>품목코드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전체)거래처코드"/>
      <sheetName val="창고코드"/>
      <sheetName val="품번코드 마스터"/>
      <sheetName val="(신규)상,제품 수불부_상사"/>
      <sheetName val="Sheet1"/>
      <sheetName val="입고데이터"/>
      <sheetName val="출고데이터"/>
      <sheetName val="입출고데이터"/>
      <sheetName val="창고장소코드"/>
    </sheetNames>
    <sheetDataSet>
      <sheetData sheetId="0" refreshError="1"/>
      <sheetData sheetId="1" refreshError="1"/>
      <sheetData sheetId="2" refreshError="1">
        <row r="3">
          <cell r="A3" t="str">
            <v>A-CO01-06F01A</v>
          </cell>
          <cell r="B3" t="str">
            <v>00227</v>
          </cell>
          <cell r="C3" t="str">
            <v>코스트코</v>
          </cell>
          <cell r="D3" t="str">
            <v>코스트코 국내 돌김자반80g*4봉*8개 (320g)</v>
          </cell>
          <cell r="F3">
            <v>8</v>
          </cell>
          <cell r="G3" t="str">
            <v>제품</v>
          </cell>
        </row>
        <row r="4">
          <cell r="A4" t="str">
            <v>A-CO01-06F01B</v>
          </cell>
          <cell r="B4" t="str">
            <v>00227</v>
          </cell>
          <cell r="C4" t="str">
            <v>코스트코</v>
          </cell>
          <cell r="D4" t="str">
            <v>코스트코 국내 돌김자반100g*4봉*10개(400g)_해바라기씨유</v>
          </cell>
          <cell r="F4">
            <v>10</v>
          </cell>
          <cell r="G4" t="str">
            <v>제품</v>
          </cell>
        </row>
        <row r="5">
          <cell r="A5" t="str">
            <v>B-CO01-02D01A</v>
          </cell>
          <cell r="B5" t="str">
            <v>00227</v>
          </cell>
          <cell r="C5" t="str">
            <v>코스트코</v>
          </cell>
          <cell r="D5" t="str">
            <v>코스트코 국내 두번구운김밥김33g*5봉</v>
          </cell>
          <cell r="F5">
            <v>30</v>
          </cell>
          <cell r="G5" t="str">
            <v>상품</v>
          </cell>
        </row>
        <row r="6">
          <cell r="A6" t="str">
            <v>B-CO01-02D02A</v>
          </cell>
          <cell r="B6" t="str">
            <v>00227</v>
          </cell>
          <cell r="C6" t="str">
            <v>코스트코</v>
          </cell>
          <cell r="D6" t="str">
            <v>코스트코 국내 두번구운김밥김33g*7봉</v>
          </cell>
          <cell r="F6">
            <v>20</v>
          </cell>
          <cell r="G6" t="str">
            <v>상품</v>
          </cell>
        </row>
        <row r="7">
          <cell r="A7" t="str">
            <v>A-CO01-02D02A</v>
          </cell>
          <cell r="B7" t="str">
            <v>00227</v>
          </cell>
          <cell r="C7" t="str">
            <v>코스트코</v>
          </cell>
          <cell r="D7" t="str">
            <v>코스트코 국내 두번구운김밥김33g*7봉</v>
          </cell>
          <cell r="F7">
            <v>20</v>
          </cell>
          <cell r="G7" t="str">
            <v>제품</v>
          </cell>
        </row>
        <row r="8">
          <cell r="A8" t="str">
            <v>C-CO01-02D02A</v>
          </cell>
          <cell r="B8" t="str">
            <v>00227</v>
          </cell>
          <cell r="C8" t="str">
            <v>코스트코</v>
          </cell>
          <cell r="D8" t="str">
            <v>코스트코 국내 두번구운김밥김33g*7봉</v>
          </cell>
          <cell r="F8">
            <v>20</v>
          </cell>
          <cell r="G8" t="str">
            <v>외주</v>
          </cell>
        </row>
        <row r="9">
          <cell r="A9" t="str">
            <v>B-CO01-05C01A</v>
          </cell>
          <cell r="B9" t="str">
            <v>00227</v>
          </cell>
          <cell r="C9" t="str">
            <v>코스트코</v>
          </cell>
          <cell r="D9" t="str">
            <v>코스트코 국내 올리브유섞어구워향긋한파래김40g(12매*8봉)</v>
          </cell>
          <cell r="F9">
            <v>14</v>
          </cell>
          <cell r="G9" t="str">
            <v>상품</v>
          </cell>
        </row>
        <row r="10">
          <cell r="A10" t="str">
            <v>A-CO01-05C01A</v>
          </cell>
          <cell r="B10" t="str">
            <v>00227</v>
          </cell>
          <cell r="C10" t="str">
            <v>코스트코</v>
          </cell>
          <cell r="D10" t="str">
            <v>코스트코 국내 올리브유섞어구워향긋한파래김40g(12매*8봉)</v>
          </cell>
          <cell r="F10">
            <v>14</v>
          </cell>
          <cell r="G10" t="str">
            <v>제품</v>
          </cell>
        </row>
        <row r="11">
          <cell r="A11" t="str">
            <v>B-CO01-02G01A</v>
          </cell>
          <cell r="B11" t="str">
            <v>00227</v>
          </cell>
          <cell r="C11" t="str">
            <v>코스트코</v>
          </cell>
          <cell r="D11" t="str">
            <v>코스트코 국내 고명용김가루400g</v>
          </cell>
          <cell r="F11">
            <v>8</v>
          </cell>
          <cell r="G11" t="str">
            <v>상품</v>
          </cell>
        </row>
        <row r="12">
          <cell r="A12" t="str">
            <v>B-CO01-02G03A</v>
          </cell>
          <cell r="B12" t="str">
            <v>00227</v>
          </cell>
          <cell r="C12" t="str">
            <v>코스트코</v>
          </cell>
          <cell r="D12" t="str">
            <v>코스트코 국내 고명용김가루500g</v>
          </cell>
          <cell r="F12">
            <v>15</v>
          </cell>
          <cell r="G12" t="str">
            <v>상품</v>
          </cell>
        </row>
        <row r="13">
          <cell r="A13" t="str">
            <v>B-CO01-02H01A</v>
          </cell>
          <cell r="B13" t="str">
            <v>00227</v>
          </cell>
          <cell r="C13" t="str">
            <v>코스트코</v>
          </cell>
          <cell r="D13" t="str">
            <v>코스트코 국내 찹쌀김부각250g</v>
          </cell>
          <cell r="F13">
            <v>15</v>
          </cell>
          <cell r="G13" t="str">
            <v>상품</v>
          </cell>
        </row>
        <row r="14">
          <cell r="A14" t="str">
            <v>B-CO01-08H01A</v>
          </cell>
          <cell r="B14" t="str">
            <v>00227</v>
          </cell>
          <cell r="C14" t="str">
            <v>코스트코</v>
          </cell>
          <cell r="D14" t="str">
            <v>코스트코 국내 찹쌀다시마부각250g</v>
          </cell>
          <cell r="F14">
            <v>15</v>
          </cell>
          <cell r="G14" t="str">
            <v>상품</v>
          </cell>
        </row>
        <row r="15">
          <cell r="A15" t="str">
            <v>A-CO01-04A01A</v>
          </cell>
          <cell r="B15" t="str">
            <v>00227</v>
          </cell>
          <cell r="C15" t="str">
            <v>코스트코</v>
          </cell>
          <cell r="D15" t="str">
            <v>코스트코 국내 곱창돌김식탁김17g</v>
          </cell>
          <cell r="F15">
            <v>10</v>
          </cell>
          <cell r="G15" t="str">
            <v>제품</v>
          </cell>
        </row>
        <row r="16">
          <cell r="A16" t="str">
            <v>B-CO01-04A01A</v>
          </cell>
          <cell r="B16" t="str">
            <v>00227</v>
          </cell>
          <cell r="C16" t="str">
            <v>코스트코</v>
          </cell>
          <cell r="D16" t="str">
            <v>코스트코 국내 (신안) 곱창돌김식탁김17g</v>
          </cell>
          <cell r="F16">
            <v>10</v>
          </cell>
          <cell r="G16" t="str">
            <v>상품</v>
          </cell>
        </row>
        <row r="17">
          <cell r="A17" t="str">
            <v>A-CO01-01A01A</v>
          </cell>
          <cell r="B17" t="str">
            <v>00227</v>
          </cell>
          <cell r="C17" t="str">
            <v>코스트코</v>
          </cell>
          <cell r="D17" t="str">
            <v>코스트코 국내 KS구운재래김17g*10봉</v>
          </cell>
          <cell r="F17">
            <v>12</v>
          </cell>
          <cell r="G17" t="str">
            <v>제품</v>
          </cell>
        </row>
        <row r="18">
          <cell r="A18" t="str">
            <v>B-CO01-01A01A</v>
          </cell>
          <cell r="B18" t="str">
            <v>00227</v>
          </cell>
          <cell r="C18" t="str">
            <v>코스트코</v>
          </cell>
          <cell r="D18" t="str">
            <v>코스트코 국내 (신안) KS구운재래김17g*10봉</v>
          </cell>
          <cell r="F18">
            <v>12</v>
          </cell>
          <cell r="G18" t="str">
            <v>상품</v>
          </cell>
        </row>
        <row r="19">
          <cell r="A19" t="str">
            <v>A-CO01-01A02A</v>
          </cell>
          <cell r="B19" t="str">
            <v>00227</v>
          </cell>
          <cell r="C19" t="str">
            <v>코스트코</v>
          </cell>
          <cell r="D19" t="str">
            <v>코스트코 국내 (E)KS구운재래김17g*20봉</v>
          </cell>
          <cell r="F19">
            <v>2</v>
          </cell>
          <cell r="G19" t="str">
            <v>제품</v>
          </cell>
        </row>
        <row r="20">
          <cell r="A20" t="str">
            <v>B-CO01-04B01A</v>
          </cell>
          <cell r="B20" t="str">
            <v>00227</v>
          </cell>
          <cell r="C20" t="str">
            <v>코스트코</v>
          </cell>
          <cell r="D20" t="str">
            <v>코스트코 국내 어의리곱창돌김50매 (150g)</v>
          </cell>
          <cell r="F20">
            <v>16</v>
          </cell>
          <cell r="G20" t="str">
            <v>상품</v>
          </cell>
        </row>
        <row r="21">
          <cell r="A21" t="str">
            <v>A-CO01-04B01A</v>
          </cell>
          <cell r="B21" t="str">
            <v>00227</v>
          </cell>
          <cell r="C21" t="str">
            <v>코스트코</v>
          </cell>
          <cell r="D21" t="str">
            <v>코스트코 국내 어의리곱창돌김50매 (150g)</v>
          </cell>
          <cell r="F21">
            <v>16</v>
          </cell>
          <cell r="G21" t="str">
            <v>제품</v>
          </cell>
        </row>
        <row r="22">
          <cell r="A22" t="str">
            <v>A-CO01-04B02A</v>
          </cell>
          <cell r="B22" t="str">
            <v>00227</v>
          </cell>
          <cell r="C22" t="str">
            <v>코스트코</v>
          </cell>
          <cell r="D22" t="str">
            <v>코스트코 국내 어의리곱창돌김210g</v>
          </cell>
          <cell r="F22">
            <v>16</v>
          </cell>
          <cell r="G22" t="str">
            <v>제품</v>
          </cell>
        </row>
        <row r="23">
          <cell r="A23" t="str">
            <v>B-CO01-02H02A</v>
          </cell>
          <cell r="B23" t="str">
            <v>00227</v>
          </cell>
          <cell r="C23" t="str">
            <v>코스트코</v>
          </cell>
          <cell r="D23" t="str">
            <v>코스트코 국내 (E)찹쌀김부각250g</v>
          </cell>
          <cell r="F23">
            <v>15</v>
          </cell>
          <cell r="G23" t="str">
            <v>상품</v>
          </cell>
        </row>
        <row r="24">
          <cell r="A24" t="str">
            <v>B-CO01-08H02A</v>
          </cell>
          <cell r="B24" t="str">
            <v>00227</v>
          </cell>
          <cell r="C24" t="str">
            <v>코스트코</v>
          </cell>
          <cell r="D24" t="str">
            <v>코스트코 국내 (E)찹쌀다시마부각250g</v>
          </cell>
          <cell r="F24">
            <v>15</v>
          </cell>
          <cell r="G24" t="str">
            <v>상품</v>
          </cell>
        </row>
        <row r="25">
          <cell r="A25" t="str">
            <v>A-CO01-04A02A</v>
          </cell>
          <cell r="B25" t="str">
            <v>00227</v>
          </cell>
          <cell r="C25" t="str">
            <v>코스트코</v>
          </cell>
          <cell r="D25" t="str">
            <v>코스트코 국내 (E)곱창돌김식탁김17g</v>
          </cell>
          <cell r="F25">
            <v>10</v>
          </cell>
          <cell r="G25" t="str">
            <v>제품</v>
          </cell>
        </row>
        <row r="26">
          <cell r="A26" t="str">
            <v>B-CO01-02J01A</v>
          </cell>
          <cell r="B26" t="str">
            <v>00227</v>
          </cell>
          <cell r="C26" t="str">
            <v>코스트코</v>
          </cell>
          <cell r="D26" t="str">
            <v>코스트코 국내 씨우드 크런치 아몬드240g</v>
          </cell>
          <cell r="F26">
            <v>18</v>
          </cell>
          <cell r="G26" t="str">
            <v>상품</v>
          </cell>
        </row>
        <row r="27">
          <cell r="A27" t="str">
            <v>B-CO01-02D03A</v>
          </cell>
          <cell r="B27" t="str">
            <v>00227</v>
          </cell>
          <cell r="C27" t="str">
            <v>코스트코</v>
          </cell>
          <cell r="D27" t="str">
            <v>코스트코 국내 구운김100장 식자재</v>
          </cell>
          <cell r="F27">
            <v>20</v>
          </cell>
          <cell r="G27" t="str">
            <v>상품</v>
          </cell>
        </row>
        <row r="28">
          <cell r="A28" t="str">
            <v>A-CO01-02D03A</v>
          </cell>
          <cell r="B28" t="str">
            <v>00227</v>
          </cell>
          <cell r="C28" t="str">
            <v>코스트코</v>
          </cell>
          <cell r="D28" t="str">
            <v>코스트코 국내 구운김100장 식자재</v>
          </cell>
          <cell r="F28">
            <v>20</v>
          </cell>
          <cell r="G28" t="str">
            <v>제품</v>
          </cell>
        </row>
        <row r="29">
          <cell r="A29" t="str">
            <v>B-CO01-01G01A</v>
          </cell>
          <cell r="B29" t="str">
            <v>00227</v>
          </cell>
          <cell r="C29" t="str">
            <v>코스트코</v>
          </cell>
          <cell r="D29" t="str">
            <v>코스트코 국내 무조미고명용김가루100g</v>
          </cell>
          <cell r="F29">
            <v>15</v>
          </cell>
          <cell r="G29" t="str">
            <v>상품</v>
          </cell>
        </row>
        <row r="30">
          <cell r="A30" t="str">
            <v>B-CO01-02L01A</v>
          </cell>
          <cell r="B30" t="str">
            <v>00227</v>
          </cell>
          <cell r="C30" t="str">
            <v>코스트코</v>
          </cell>
          <cell r="D30" t="str">
            <v>코스트코 국내 군함말이김120g (4절400매)</v>
          </cell>
          <cell r="F30">
            <v>10</v>
          </cell>
          <cell r="G30" t="str">
            <v>상품</v>
          </cell>
        </row>
        <row r="31">
          <cell r="A31" t="str">
            <v>A-CO01-02L01A</v>
          </cell>
          <cell r="B31" t="str">
            <v>00227</v>
          </cell>
          <cell r="C31" t="str">
            <v>코스트코</v>
          </cell>
          <cell r="D31" t="str">
            <v>코스트코 국내 군함말이김120g (4절400매)</v>
          </cell>
          <cell r="F31">
            <v>10</v>
          </cell>
          <cell r="G31" t="str">
            <v>제품</v>
          </cell>
        </row>
        <row r="32">
          <cell r="A32" t="str">
            <v>B-CO01-02G02A</v>
          </cell>
          <cell r="B32" t="str">
            <v>00227</v>
          </cell>
          <cell r="C32" t="str">
            <v>코스트코</v>
          </cell>
          <cell r="D32" t="str">
            <v>코스트코 국내 고명용김가루200g</v>
          </cell>
          <cell r="F32">
            <v>12</v>
          </cell>
          <cell r="G32" t="str">
            <v>상품</v>
          </cell>
        </row>
        <row r="33">
          <cell r="A33" t="str">
            <v>B-CO01-00H01A</v>
          </cell>
          <cell r="B33" t="str">
            <v>00227</v>
          </cell>
          <cell r="C33" t="str">
            <v>코스트코</v>
          </cell>
          <cell r="D33" t="str">
            <v>코스트코 국내 찹쌀김부각세트</v>
          </cell>
          <cell r="F33">
            <v>1</v>
          </cell>
          <cell r="G33" t="str">
            <v>상품</v>
          </cell>
        </row>
        <row r="34">
          <cell r="A34" t="str">
            <v>B-CO01-00H02A</v>
          </cell>
          <cell r="B34" t="str">
            <v>00227</v>
          </cell>
          <cell r="C34" t="str">
            <v>코스트코</v>
          </cell>
          <cell r="D34" t="str">
            <v>코스트코 국내 찹쌀김부각세트</v>
          </cell>
          <cell r="F34">
            <v>5</v>
          </cell>
          <cell r="G34" t="str">
            <v>상품</v>
          </cell>
        </row>
        <row r="35">
          <cell r="A35" t="str">
            <v>A-CO01-00H01A</v>
          </cell>
          <cell r="B35" t="str">
            <v>00227</v>
          </cell>
          <cell r="C35" t="str">
            <v>코스트코</v>
          </cell>
          <cell r="D35" t="str">
            <v>코스트코 국내 찹쌀김부각세트</v>
          </cell>
          <cell r="F35">
            <v>1</v>
          </cell>
          <cell r="G35" t="str">
            <v>제품</v>
          </cell>
        </row>
        <row r="36">
          <cell r="A36" t="str">
            <v>A-CO01-00H02A</v>
          </cell>
          <cell r="B36" t="str">
            <v>00227</v>
          </cell>
          <cell r="C36" t="str">
            <v>코스트코</v>
          </cell>
          <cell r="D36" t="str">
            <v>코스트코 국내 찹쌀김부각세트</v>
          </cell>
          <cell r="F36">
            <v>5</v>
          </cell>
          <cell r="G36" t="str">
            <v>제품</v>
          </cell>
        </row>
        <row r="37">
          <cell r="A37" t="str">
            <v>B-CO01-00N01A</v>
          </cell>
          <cell r="B37" t="str">
            <v>00227</v>
          </cell>
          <cell r="C37" t="str">
            <v>코스트코</v>
          </cell>
          <cell r="D37" t="str">
            <v>코스트코 국내 감태김세트</v>
          </cell>
          <cell r="F37">
            <v>1</v>
          </cell>
          <cell r="G37" t="str">
            <v>상품</v>
          </cell>
        </row>
        <row r="38">
          <cell r="A38" t="str">
            <v>B-CO01-00N02A</v>
          </cell>
          <cell r="B38" t="str">
            <v>00227</v>
          </cell>
          <cell r="C38" t="str">
            <v>코스트코</v>
          </cell>
          <cell r="D38" t="str">
            <v>코스트코 국내 감태김세트</v>
          </cell>
          <cell r="F38">
            <v>5</v>
          </cell>
          <cell r="G38" t="str">
            <v>상품</v>
          </cell>
        </row>
        <row r="39">
          <cell r="A39" t="str">
            <v>A-CO01-00N01A</v>
          </cell>
          <cell r="B39" t="str">
            <v>00227</v>
          </cell>
          <cell r="C39" t="str">
            <v>코스트코</v>
          </cell>
          <cell r="D39" t="str">
            <v>코스트코 국내 감태김세트</v>
          </cell>
          <cell r="F39">
            <v>1</v>
          </cell>
          <cell r="G39" t="str">
            <v>제품</v>
          </cell>
        </row>
        <row r="40">
          <cell r="A40" t="str">
            <v>A-CO01-00N02A</v>
          </cell>
          <cell r="B40" t="str">
            <v>00227</v>
          </cell>
          <cell r="C40" t="str">
            <v>코스트코</v>
          </cell>
          <cell r="D40" t="str">
            <v>코스트코 국내 감태김세트</v>
          </cell>
          <cell r="F40">
            <v>5</v>
          </cell>
          <cell r="G40" t="str">
            <v>제품</v>
          </cell>
        </row>
        <row r="41">
          <cell r="A41" t="str">
            <v>A-CO01-10N01A</v>
          </cell>
          <cell r="B41" t="str">
            <v>00227</v>
          </cell>
          <cell r="C41" t="str">
            <v>코스트코</v>
          </cell>
          <cell r="D41" t="str">
            <v>코스트코 국내 조미하지 않은 감태김8g(30매)*10</v>
          </cell>
          <cell r="F41">
            <v>10</v>
          </cell>
          <cell r="G41" t="str">
            <v>제품</v>
          </cell>
        </row>
        <row r="42">
          <cell r="A42" t="str">
            <v>A-CO01-01E01A</v>
          </cell>
          <cell r="B42" t="str">
            <v>00227</v>
          </cell>
          <cell r="C42" t="str">
            <v>코스트코</v>
          </cell>
          <cell r="D42" t="str">
            <v>코스트코 예맛갯벌재래김5g(10매)*30p</v>
          </cell>
          <cell r="F42">
            <v>6</v>
          </cell>
          <cell r="G42" t="str">
            <v>제품</v>
          </cell>
        </row>
        <row r="43">
          <cell r="A43" t="str">
            <v>A-HO01-03B01A</v>
          </cell>
          <cell r="B43" t="str">
            <v>00102</v>
          </cell>
          <cell r="C43" t="str">
            <v>홈플러스</v>
          </cell>
          <cell r="D43" t="str">
            <v>홈플러스 국내 생돌김50매</v>
          </cell>
          <cell r="F43">
            <v>12</v>
          </cell>
          <cell r="G43" t="str">
            <v>제품</v>
          </cell>
        </row>
        <row r="44">
          <cell r="A44" t="str">
            <v>A-HO01-05B01A</v>
          </cell>
          <cell r="B44" t="str">
            <v>00102</v>
          </cell>
          <cell r="C44" t="str">
            <v>홈플러스</v>
          </cell>
          <cell r="D44" t="str">
            <v>홈플러스 국내 생파래김50매</v>
          </cell>
          <cell r="F44">
            <v>16</v>
          </cell>
          <cell r="G44" t="str">
            <v>제품</v>
          </cell>
        </row>
        <row r="45">
          <cell r="A45" t="str">
            <v>B-HO01-04B01A</v>
          </cell>
          <cell r="B45" t="str">
            <v>00102</v>
          </cell>
          <cell r="C45" t="str">
            <v>홈플러스</v>
          </cell>
          <cell r="D45" t="str">
            <v>예맛 국내 햇곱창돌김90g*30매</v>
          </cell>
          <cell r="F45">
            <v>20</v>
          </cell>
          <cell r="G45" t="str">
            <v>상품</v>
          </cell>
        </row>
        <row r="46">
          <cell r="A46" t="str">
            <v>A-HO01-04B01A</v>
          </cell>
          <cell r="B46" t="str">
            <v>00102</v>
          </cell>
          <cell r="C46" t="str">
            <v>홈플러스</v>
          </cell>
          <cell r="D46" t="str">
            <v>예맛 국내 햇곱창돌김90g*30매</v>
          </cell>
          <cell r="F46">
            <v>20</v>
          </cell>
          <cell r="G46" t="str">
            <v>제품</v>
          </cell>
        </row>
        <row r="47">
          <cell r="A47" t="str">
            <v>B-HO01-02G01A</v>
          </cell>
          <cell r="B47" t="str">
            <v>00102</v>
          </cell>
          <cell r="C47" t="str">
            <v>홈플러스</v>
          </cell>
          <cell r="D47" t="str">
            <v>예맛 국내 잘게자른김가루200g</v>
          </cell>
          <cell r="F47">
            <v>12</v>
          </cell>
          <cell r="G47" t="str">
            <v>상품</v>
          </cell>
        </row>
        <row r="48">
          <cell r="A48" t="str">
            <v>B-HO01-02H01A</v>
          </cell>
          <cell r="B48" t="str">
            <v>00102</v>
          </cell>
          <cell r="C48" t="str">
            <v>홈플러스</v>
          </cell>
          <cell r="D48" t="str">
            <v>예맛 국내 찹쌀김부각70g</v>
          </cell>
          <cell r="F48">
            <v>12</v>
          </cell>
          <cell r="G48" t="str">
            <v>상품</v>
          </cell>
        </row>
        <row r="49">
          <cell r="A49" t="str">
            <v>B-HO01-02H02A</v>
          </cell>
          <cell r="B49" t="str">
            <v>00102</v>
          </cell>
          <cell r="C49" t="str">
            <v>홈플러스</v>
          </cell>
          <cell r="D49" t="str">
            <v>예맛 국내 찹쌀김부각70g (EXP)</v>
          </cell>
          <cell r="E49" t="str">
            <v>B-HO01-02G01A</v>
          </cell>
          <cell r="F49">
            <v>12</v>
          </cell>
          <cell r="G49" t="str">
            <v>상품</v>
          </cell>
        </row>
        <row r="50">
          <cell r="A50" t="str">
            <v>B-HO01-08H01A</v>
          </cell>
          <cell r="B50" t="str">
            <v>00102</v>
          </cell>
          <cell r="C50" t="str">
            <v>홈플러스</v>
          </cell>
          <cell r="D50" t="str">
            <v>예맛 국내 찹쌀다시마부각70g</v>
          </cell>
          <cell r="F50">
            <v>12</v>
          </cell>
          <cell r="G50" t="str">
            <v>상품</v>
          </cell>
        </row>
        <row r="51">
          <cell r="A51" t="str">
            <v>A-HO01-01A01A</v>
          </cell>
          <cell r="B51" t="str">
            <v>00102</v>
          </cell>
          <cell r="C51" t="str">
            <v>홈플러스</v>
          </cell>
          <cell r="D51" t="str">
            <v>예맛 국내 세워담은신안식탁김14G*10봉</v>
          </cell>
          <cell r="F51">
            <v>8</v>
          </cell>
          <cell r="G51" t="str">
            <v>제품</v>
          </cell>
        </row>
        <row r="52">
          <cell r="A52" t="str">
            <v>C-HO01-02D01A</v>
          </cell>
          <cell r="B52" t="str">
            <v>00102</v>
          </cell>
          <cell r="C52" t="str">
            <v>홈플러스</v>
          </cell>
          <cell r="D52" t="str">
            <v>홈플러스 국내 소안도김밥김10매</v>
          </cell>
          <cell r="E52" t="str">
            <v>B-HO01-08H01A</v>
          </cell>
          <cell r="F52">
            <v>50</v>
          </cell>
          <cell r="G52" t="str">
            <v>외주</v>
          </cell>
        </row>
        <row r="53">
          <cell r="A53" t="str">
            <v>A-HO01-02D01A</v>
          </cell>
          <cell r="B53" t="str">
            <v>00102</v>
          </cell>
          <cell r="C53" t="str">
            <v>홈플러스</v>
          </cell>
          <cell r="D53" t="str">
            <v>홈플러스 국내 소안도김밥김10매</v>
          </cell>
          <cell r="F53">
            <v>50</v>
          </cell>
          <cell r="G53" t="str">
            <v>제품</v>
          </cell>
        </row>
        <row r="54">
          <cell r="A54" t="str">
            <v>A-HO01-03C01A</v>
          </cell>
          <cell r="B54" t="str">
            <v>00102</v>
          </cell>
          <cell r="C54" t="str">
            <v>홈플러스</v>
          </cell>
          <cell r="D54" t="str">
            <v>홈플러스 국내 올리브옥돌김20g*3봉</v>
          </cell>
          <cell r="F54">
            <v>8</v>
          </cell>
          <cell r="G54" t="str">
            <v>제품</v>
          </cell>
        </row>
        <row r="55">
          <cell r="A55" t="str">
            <v>A-HO01-01E01A</v>
          </cell>
          <cell r="B55" t="str">
            <v>00102</v>
          </cell>
          <cell r="C55" t="str">
            <v>홈플러스</v>
          </cell>
          <cell r="D55" t="str">
            <v>홈플러스 국내 신안재래김도시락4g*20봉</v>
          </cell>
          <cell r="F55">
            <v>10</v>
          </cell>
          <cell r="G55" t="str">
            <v>제품</v>
          </cell>
        </row>
        <row r="56">
          <cell r="A56" t="str">
            <v>A-HO01-04C01A</v>
          </cell>
          <cell r="B56" t="str">
            <v>00102</v>
          </cell>
          <cell r="C56" t="str">
            <v>홈플러스</v>
          </cell>
          <cell r="D56" t="str">
            <v>홈플러스 국내 두번구운곱창돌김10매</v>
          </cell>
          <cell r="E56" t="str">
            <v>B-CO01-02D01A</v>
          </cell>
          <cell r="F56">
            <v>25</v>
          </cell>
          <cell r="G56" t="str">
            <v>제품</v>
          </cell>
        </row>
        <row r="57">
          <cell r="A57" t="str">
            <v>A-HO01-12E01A</v>
          </cell>
          <cell r="B57" t="str">
            <v>00102</v>
          </cell>
          <cell r="C57" t="str">
            <v>홈플러스</v>
          </cell>
          <cell r="D57" t="str">
            <v>홈플러스 국내 신안갯벌김도시락4g*48봉</v>
          </cell>
          <cell r="F57">
            <v>3</v>
          </cell>
          <cell r="G57" t="str">
            <v>제품</v>
          </cell>
        </row>
        <row r="58">
          <cell r="A58" t="str">
            <v>B-GS01-01G01A</v>
          </cell>
          <cell r="C58" t="str">
            <v>지에스</v>
          </cell>
          <cell r="D58" t="str">
            <v>예맛 국내 잘게자른김가루200g</v>
          </cell>
          <cell r="F58">
            <v>12</v>
          </cell>
          <cell r="G58" t="str">
            <v>상품</v>
          </cell>
        </row>
        <row r="59">
          <cell r="A59" t="str">
            <v>B-GS01-04B01A</v>
          </cell>
          <cell r="C59" t="str">
            <v>지에스</v>
          </cell>
          <cell r="D59" t="str">
            <v>예맛 국내 곱창돌김90g*30매</v>
          </cell>
          <cell r="E59" t="str">
            <v>B-HO01-02H01A</v>
          </cell>
          <cell r="F59">
            <v>20</v>
          </cell>
          <cell r="G59" t="str">
            <v>상품</v>
          </cell>
        </row>
        <row r="60">
          <cell r="A60" t="str">
            <v>A-GS01-04B01A</v>
          </cell>
          <cell r="C60" t="str">
            <v>지에스</v>
          </cell>
          <cell r="D60" t="str">
            <v>예맛 국내 곱창돌김90g*30매</v>
          </cell>
          <cell r="F60">
            <v>20</v>
          </cell>
          <cell r="G60" t="str">
            <v>제품</v>
          </cell>
        </row>
        <row r="61">
          <cell r="A61" t="str">
            <v>A-GS01-12E01A</v>
          </cell>
          <cell r="C61" t="str">
            <v>지에스</v>
          </cell>
          <cell r="D61" t="str">
            <v>예맛 국내 신안갯벌김도시락4g*16봉</v>
          </cell>
          <cell r="F61">
            <v>10</v>
          </cell>
          <cell r="G61" t="str">
            <v>제품</v>
          </cell>
        </row>
        <row r="62">
          <cell r="A62" t="str">
            <v>A-GS01-12E02A</v>
          </cell>
          <cell r="C62" t="str">
            <v>지에스</v>
          </cell>
          <cell r="D62" t="str">
            <v>예맛 국내 신안갯벌김도시락8P*6입 48봉</v>
          </cell>
          <cell r="F62">
            <v>3</v>
          </cell>
          <cell r="G62" t="str">
            <v>제품</v>
          </cell>
        </row>
        <row r="63">
          <cell r="A63" t="str">
            <v>B-GS01-11Z01A</v>
          </cell>
          <cell r="C63" t="str">
            <v>지에스</v>
          </cell>
          <cell r="D63" t="str">
            <v>예맛 국내 아빠육수 한알</v>
          </cell>
          <cell r="F63">
            <v>8</v>
          </cell>
          <cell r="G63" t="str">
            <v>상품</v>
          </cell>
        </row>
        <row r="64">
          <cell r="A64" t="str">
            <v>B-GS01-11Z02A</v>
          </cell>
          <cell r="C64" t="str">
            <v>지에스</v>
          </cell>
          <cell r="D64" t="str">
            <v>예맛 국내 아빠청양육수 2.5g</v>
          </cell>
          <cell r="E64" t="str">
            <v>B-HO01-02G01A</v>
          </cell>
          <cell r="F64">
            <v>8</v>
          </cell>
          <cell r="G64" t="str">
            <v>상품</v>
          </cell>
        </row>
        <row r="65">
          <cell r="A65" t="str">
            <v>B-GS01-02D01A</v>
          </cell>
          <cell r="C65" t="str">
            <v>지에스</v>
          </cell>
          <cell r="D65" t="str">
            <v>예맛 국내 두번구운김밥김33g*5봉</v>
          </cell>
          <cell r="E65" t="str">
            <v>A-GS01-01O01A</v>
          </cell>
          <cell r="F65">
            <v>12</v>
          </cell>
          <cell r="G65" t="str">
            <v>상품</v>
          </cell>
        </row>
        <row r="66">
          <cell r="A66" t="str">
            <v>A-GS01-02D01A</v>
          </cell>
          <cell r="C66" t="str">
            <v>지에스</v>
          </cell>
          <cell r="D66" t="str">
            <v>예맛 국내 두번구운김밥김33g*5봉</v>
          </cell>
          <cell r="F66">
            <v>12</v>
          </cell>
          <cell r="G66" t="str">
            <v>제품</v>
          </cell>
        </row>
        <row r="67">
          <cell r="A67" t="str">
            <v>A-GS01-01E01A</v>
          </cell>
          <cell r="C67" t="str">
            <v>지에스</v>
          </cell>
          <cell r="D67" t="str">
            <v>예맛 국내 헬로키티도시락김4g*16봉</v>
          </cell>
          <cell r="E67" t="str">
            <v>B-KU01-09I01A</v>
          </cell>
          <cell r="F67">
            <v>8</v>
          </cell>
          <cell r="G67" t="str">
            <v>제품</v>
          </cell>
        </row>
        <row r="68">
          <cell r="A68" t="str">
            <v>A-GS01-01E02A</v>
          </cell>
          <cell r="C68" t="str">
            <v>지에스</v>
          </cell>
          <cell r="D68" t="str">
            <v>예맛 국내 (띠부실)헬로키티도시락4g*6봉</v>
          </cell>
          <cell r="F68">
            <v>12</v>
          </cell>
          <cell r="G68" t="str">
            <v>제품</v>
          </cell>
        </row>
        <row r="69">
          <cell r="A69" t="str">
            <v>B-GS01-08H01A</v>
          </cell>
          <cell r="C69" t="str">
            <v>지에스</v>
          </cell>
          <cell r="D69" t="str">
            <v>예맛 국내 다시마부각70g</v>
          </cell>
          <cell r="F69">
            <v>12</v>
          </cell>
          <cell r="G69" t="str">
            <v>상품</v>
          </cell>
        </row>
        <row r="70">
          <cell r="A70" t="str">
            <v>B-GS01-02H01A</v>
          </cell>
          <cell r="C70" t="str">
            <v>지에스</v>
          </cell>
          <cell r="D70" t="str">
            <v>예맛 국내 찹쌀김부각70g</v>
          </cell>
          <cell r="F70">
            <v>12</v>
          </cell>
          <cell r="G70" t="str">
            <v>상품</v>
          </cell>
        </row>
        <row r="71">
          <cell r="A71" t="str">
            <v>B-GS01-02H02A</v>
          </cell>
          <cell r="C71" t="str">
            <v>지에스</v>
          </cell>
          <cell r="D71" t="str">
            <v>예맛 국내 찹쌀김부각50g</v>
          </cell>
          <cell r="E71" t="str">
            <v>B-CO01-05C01A</v>
          </cell>
          <cell r="F71">
            <v>20</v>
          </cell>
          <cell r="G71" t="str">
            <v>상품</v>
          </cell>
        </row>
        <row r="72">
          <cell r="A72" t="str">
            <v>B-GS01-02H03A</v>
          </cell>
          <cell r="C72" t="str">
            <v>지에스</v>
          </cell>
          <cell r="D72" t="str">
            <v>예맛 국내 찹쌀김부각120g</v>
          </cell>
          <cell r="E72" t="str">
            <v>A-GS01-01E01A</v>
          </cell>
          <cell r="F72">
            <v>9</v>
          </cell>
          <cell r="G72" t="str">
            <v>상품</v>
          </cell>
        </row>
        <row r="73">
          <cell r="A73" t="str">
            <v>B-GS01-02H04A</v>
          </cell>
          <cell r="C73" t="str">
            <v>지에스</v>
          </cell>
          <cell r="D73" t="str">
            <v>예맛 국내 찹쌀김부각70g*3봉(프레쉬)</v>
          </cell>
          <cell r="F73">
            <v>4</v>
          </cell>
          <cell r="G73" t="str">
            <v>상품</v>
          </cell>
        </row>
        <row r="74">
          <cell r="A74" t="str">
            <v>B-CP01-01G02A</v>
          </cell>
          <cell r="B74" t="str">
            <v>00101</v>
          </cell>
          <cell r="C74" t="str">
            <v>쿠팡</v>
          </cell>
          <cell r="D74" t="str">
            <v>예맛 국내 잘게자른김가루200g</v>
          </cell>
          <cell r="E74" t="str">
            <v>B-CO01-02D03A</v>
          </cell>
          <cell r="F74">
            <v>1</v>
          </cell>
          <cell r="G74" t="str">
            <v>상품</v>
          </cell>
        </row>
        <row r="75">
          <cell r="A75" t="str">
            <v>A-CP01-12E02A</v>
          </cell>
          <cell r="B75" t="str">
            <v>00101</v>
          </cell>
          <cell r="C75" t="str">
            <v>쿠팡</v>
          </cell>
          <cell r="D75" t="str">
            <v>예맛 국내 신안갯벌김도시락4g16봉</v>
          </cell>
          <cell r="E75" t="str">
            <v>B-CO01-02D04A</v>
          </cell>
          <cell r="F75">
            <v>1</v>
          </cell>
          <cell r="G75" t="str">
            <v>제품</v>
          </cell>
        </row>
        <row r="76">
          <cell r="A76" t="str">
            <v>B-CP01-09I04A</v>
          </cell>
          <cell r="B76" t="str">
            <v>00101</v>
          </cell>
          <cell r="C76" t="str">
            <v>쿠팡</v>
          </cell>
          <cell r="D76" t="str">
            <v>예맛 국내 해초샐러드1kg</v>
          </cell>
          <cell r="E76" t="str">
            <v>B-HO01-02G01A</v>
          </cell>
          <cell r="F76">
            <v>1</v>
          </cell>
          <cell r="G76" t="str">
            <v>상품</v>
          </cell>
        </row>
        <row r="77">
          <cell r="A77" t="str">
            <v>B-CP01-09I05A</v>
          </cell>
          <cell r="B77" t="str">
            <v>00101</v>
          </cell>
          <cell r="C77" t="str">
            <v>쿠팡</v>
          </cell>
          <cell r="D77" t="str">
            <v>예맛 국내 해초샐러드300g</v>
          </cell>
          <cell r="F77">
            <v>1</v>
          </cell>
          <cell r="G77" t="str">
            <v>상품</v>
          </cell>
        </row>
        <row r="78">
          <cell r="A78" t="str">
            <v>B-CP01-02H02A</v>
          </cell>
          <cell r="B78" t="str">
            <v>00101</v>
          </cell>
          <cell r="C78" t="str">
            <v>쿠팡</v>
          </cell>
          <cell r="D78" t="str">
            <v>예맛 국내 찹쌀김부각70g*3봉(프레쉬)</v>
          </cell>
          <cell r="F78">
            <v>1</v>
          </cell>
          <cell r="G78" t="str">
            <v>상품</v>
          </cell>
        </row>
        <row r="79">
          <cell r="A79" t="str">
            <v>B-CP01-08H02A</v>
          </cell>
          <cell r="B79" t="str">
            <v>00101</v>
          </cell>
          <cell r="C79" t="str">
            <v>쿠팡</v>
          </cell>
          <cell r="D79" t="str">
            <v>예맛 국내 다시마부각70g 1봉</v>
          </cell>
          <cell r="F79">
            <v>1</v>
          </cell>
          <cell r="G79" t="str">
            <v>상품</v>
          </cell>
        </row>
        <row r="80">
          <cell r="A80" t="str">
            <v>A-CP01-06F02A</v>
          </cell>
          <cell r="B80" t="str">
            <v>00101</v>
          </cell>
          <cell r="C80" t="str">
            <v>쿠팡</v>
          </cell>
          <cell r="D80" t="str">
            <v>예맛 국내 돌김자반80g*4봉*4개 (320g)</v>
          </cell>
          <cell r="F80">
            <v>1</v>
          </cell>
          <cell r="G80" t="str">
            <v>제품</v>
          </cell>
        </row>
        <row r="81">
          <cell r="A81" t="str">
            <v>B-CP01-05C02A</v>
          </cell>
          <cell r="B81" t="str">
            <v>00101</v>
          </cell>
          <cell r="C81" t="str">
            <v>쿠팡</v>
          </cell>
          <cell r="D81" t="str">
            <v>예맛 국내 올리브유섞어구워향긋한파래김40g(12매*8봉)</v>
          </cell>
          <cell r="F81">
            <v>1</v>
          </cell>
          <cell r="G81" t="str">
            <v>상품</v>
          </cell>
        </row>
        <row r="82">
          <cell r="A82" t="str">
            <v>A-CP01-05C02A</v>
          </cell>
          <cell r="B82" t="str">
            <v>00101</v>
          </cell>
          <cell r="C82" t="str">
            <v>쿠팡</v>
          </cell>
          <cell r="D82" t="str">
            <v>예맛 국내 올리브유섞어구워향긋한파래김40g(12매*8봉)</v>
          </cell>
          <cell r="F82">
            <v>1</v>
          </cell>
          <cell r="G82" t="str">
            <v>제품</v>
          </cell>
        </row>
        <row r="83">
          <cell r="A83" t="str">
            <v>A-CP01-01E02A</v>
          </cell>
          <cell r="B83" t="str">
            <v>00101</v>
          </cell>
          <cell r="C83" t="str">
            <v>쿠팡</v>
          </cell>
          <cell r="D83" t="str">
            <v>예맛 국내 헬로키티도시락김4g*16봉</v>
          </cell>
          <cell r="F83">
            <v>1</v>
          </cell>
          <cell r="G83" t="str">
            <v>제품</v>
          </cell>
        </row>
        <row r="84">
          <cell r="A84" t="str">
            <v>A-CP01-04E02A</v>
          </cell>
          <cell r="B84" t="str">
            <v>00101</v>
          </cell>
          <cell r="C84" t="str">
            <v>쿠팡</v>
          </cell>
          <cell r="D84" t="str">
            <v>예맛 국내 두번구운곱창돌김도시락5g*30개</v>
          </cell>
          <cell r="F84">
            <v>1</v>
          </cell>
          <cell r="G84" t="str">
            <v>제품</v>
          </cell>
        </row>
        <row r="85">
          <cell r="A85" t="str">
            <v>B-CP01-02D03A</v>
          </cell>
          <cell r="B85" t="str">
            <v>00101</v>
          </cell>
          <cell r="C85" t="str">
            <v>쿠팡</v>
          </cell>
          <cell r="D85" t="str">
            <v>예맛 국내 두번구운김밥김33g*5봉</v>
          </cell>
          <cell r="F85">
            <v>1</v>
          </cell>
          <cell r="G85" t="str">
            <v>상품</v>
          </cell>
        </row>
        <row r="86">
          <cell r="A86" t="str">
            <v>B-CP01-02D04A</v>
          </cell>
          <cell r="B86" t="str">
            <v>00101</v>
          </cell>
          <cell r="C86" t="str">
            <v>쿠팡</v>
          </cell>
          <cell r="D86" t="str">
            <v>예맛 국내 두번구운김밥김33g*7봉</v>
          </cell>
          <cell r="E86" t="str">
            <v>B-CO01-02D01A</v>
          </cell>
          <cell r="F86">
            <v>1</v>
          </cell>
          <cell r="G86" t="str">
            <v>상품</v>
          </cell>
        </row>
        <row r="87">
          <cell r="A87" t="str">
            <v>A-CP01-02D03A</v>
          </cell>
          <cell r="B87" t="str">
            <v>00101</v>
          </cell>
          <cell r="C87" t="str">
            <v>쿠팡</v>
          </cell>
          <cell r="D87" t="str">
            <v>예맛 국내 두번구운김밥김33g 1개</v>
          </cell>
          <cell r="E87" t="str">
            <v>B-CO01-02D02A</v>
          </cell>
          <cell r="F87">
            <v>1</v>
          </cell>
          <cell r="G87" t="str">
            <v>제품</v>
          </cell>
        </row>
        <row r="88">
          <cell r="A88" t="str">
            <v>B-CP01-01G01A</v>
          </cell>
          <cell r="B88" t="str">
            <v>00101</v>
          </cell>
          <cell r="C88" t="str">
            <v>쿠팡</v>
          </cell>
          <cell r="D88" t="str">
            <v>예맛 국내 잘게자른김가루200g</v>
          </cell>
          <cell r="F88">
            <v>12</v>
          </cell>
          <cell r="G88" t="str">
            <v>상품</v>
          </cell>
        </row>
        <row r="89">
          <cell r="A89" t="str">
            <v>A-CP01-12E01A</v>
          </cell>
          <cell r="B89" t="str">
            <v>00101</v>
          </cell>
          <cell r="C89" t="str">
            <v>쿠팡</v>
          </cell>
          <cell r="D89" t="str">
            <v>예맛 국내 신안갯벌김도시락4g16봉</v>
          </cell>
          <cell r="F89">
            <v>10</v>
          </cell>
          <cell r="G89" t="str">
            <v>제품</v>
          </cell>
        </row>
        <row r="90">
          <cell r="A90" t="str">
            <v>B-CP01-09I01A</v>
          </cell>
          <cell r="B90" t="str">
            <v>00101</v>
          </cell>
          <cell r="C90" t="str">
            <v>쿠팡</v>
          </cell>
          <cell r="D90" t="str">
            <v>예맛 국내 해초샐러드1kg</v>
          </cell>
          <cell r="F90">
            <v>15</v>
          </cell>
          <cell r="G90" t="str">
            <v>상품</v>
          </cell>
        </row>
        <row r="91">
          <cell r="A91" t="str">
            <v>B-CP01-09I02A</v>
          </cell>
          <cell r="B91" t="str">
            <v>00101</v>
          </cell>
          <cell r="C91" t="str">
            <v>쿠팡</v>
          </cell>
          <cell r="D91" t="str">
            <v>예맛 국내 해초샐러드300g</v>
          </cell>
          <cell r="E91" t="str">
            <v>A-GS01-01E01A</v>
          </cell>
          <cell r="F91">
            <v>10</v>
          </cell>
          <cell r="G91" t="str">
            <v>상품</v>
          </cell>
        </row>
        <row r="92">
          <cell r="A92" t="str">
            <v>B-CP01-09I03A</v>
          </cell>
          <cell r="B92" t="str">
            <v>00101</v>
          </cell>
          <cell r="C92" t="str">
            <v>쿠팡</v>
          </cell>
          <cell r="D92" t="str">
            <v>예맛 국내 해초샐러드500g</v>
          </cell>
          <cell r="E92" t="str">
            <v>B-CO01-05C01A</v>
          </cell>
          <cell r="F92">
            <v>20</v>
          </cell>
          <cell r="G92" t="str">
            <v>상품</v>
          </cell>
        </row>
        <row r="93">
          <cell r="A93" t="str">
            <v>B-CP01-09I06A</v>
          </cell>
          <cell r="B93" t="str">
            <v>00101</v>
          </cell>
          <cell r="C93" t="str">
            <v>쿠팡</v>
          </cell>
          <cell r="D93" t="str">
            <v>예맛 국내 해초샐러드1.3kg</v>
          </cell>
          <cell r="F93">
            <v>15</v>
          </cell>
          <cell r="G93" t="str">
            <v>상품</v>
          </cell>
        </row>
        <row r="94">
          <cell r="A94" t="str">
            <v>A-CP01-04E01A</v>
          </cell>
          <cell r="B94" t="str">
            <v>00101</v>
          </cell>
          <cell r="C94" t="str">
            <v>쿠팡</v>
          </cell>
          <cell r="D94" t="str">
            <v>예맛 국내 두번구운곱창돌김도시락5g*30개</v>
          </cell>
          <cell r="F94">
            <v>6</v>
          </cell>
          <cell r="G94" t="str">
            <v>제품</v>
          </cell>
        </row>
        <row r="95">
          <cell r="A95" t="str">
            <v>B-CP01-02H01A</v>
          </cell>
          <cell r="B95" t="str">
            <v>00101</v>
          </cell>
          <cell r="C95" t="str">
            <v>쿠팡</v>
          </cell>
          <cell r="D95" t="str">
            <v>예맛 국내 찹쌀김부각70g*3봉(프레쉬)</v>
          </cell>
          <cell r="F95">
            <v>4</v>
          </cell>
          <cell r="G95" t="str">
            <v>상품</v>
          </cell>
        </row>
        <row r="96">
          <cell r="A96" t="str">
            <v>B-CP01-08H01A</v>
          </cell>
          <cell r="B96" t="str">
            <v>00101</v>
          </cell>
          <cell r="C96" t="str">
            <v>쿠팡</v>
          </cell>
          <cell r="D96" t="str">
            <v>예맛 국내 다시마부각70g*3봉(프레쉬)</v>
          </cell>
          <cell r="E96" t="str">
            <v>HO-02-000879</v>
          </cell>
          <cell r="F96">
            <v>4</v>
          </cell>
          <cell r="G96" t="str">
            <v>상품</v>
          </cell>
        </row>
        <row r="97">
          <cell r="A97" t="str">
            <v>A-CP01-06F01A</v>
          </cell>
          <cell r="B97" t="str">
            <v>00101</v>
          </cell>
          <cell r="C97" t="str">
            <v>쿠팡</v>
          </cell>
          <cell r="D97" t="str">
            <v>예맛 국내 돌김자반80g*4봉*4개 (320g)</v>
          </cell>
          <cell r="E97" t="str">
            <v>GS-03-001453</v>
          </cell>
          <cell r="F97">
            <v>4</v>
          </cell>
          <cell r="G97" t="str">
            <v>제품</v>
          </cell>
        </row>
        <row r="98">
          <cell r="A98" t="str">
            <v>A-CP01-06F01B</v>
          </cell>
          <cell r="B98" t="str">
            <v>00101</v>
          </cell>
          <cell r="C98" t="str">
            <v>쿠팡</v>
          </cell>
          <cell r="D98" t="str">
            <v>예맛 국내 해바라기씨유 돌김자반100g*4봉</v>
          </cell>
          <cell r="E98" t="str">
            <v>GS-01-001265</v>
          </cell>
          <cell r="F98">
            <v>4</v>
          </cell>
          <cell r="G98" t="str">
            <v>제품</v>
          </cell>
        </row>
        <row r="99">
          <cell r="A99" t="str">
            <v>B-CP01-04B01A</v>
          </cell>
          <cell r="B99" t="str">
            <v>00101</v>
          </cell>
          <cell r="C99" t="str">
            <v>쿠팡</v>
          </cell>
          <cell r="D99" t="str">
            <v>예맛 국내 곱창돌김90g*30매</v>
          </cell>
          <cell r="E99" t="str">
            <v>CO-01-522131</v>
          </cell>
          <cell r="F99">
            <v>20</v>
          </cell>
          <cell r="G99" t="str">
            <v>상품</v>
          </cell>
        </row>
        <row r="100">
          <cell r="A100" t="str">
            <v>A-CP01-04B01A</v>
          </cell>
          <cell r="B100" t="str">
            <v>00101</v>
          </cell>
          <cell r="C100" t="str">
            <v>쿠팡</v>
          </cell>
          <cell r="D100" t="str">
            <v>예맛 국내 곱창돌김90g*30매</v>
          </cell>
          <cell r="E100" t="str">
            <v>HO-02-000824</v>
          </cell>
          <cell r="F100">
            <v>20</v>
          </cell>
          <cell r="G100" t="str">
            <v>제품</v>
          </cell>
        </row>
        <row r="101">
          <cell r="A101" t="str">
            <v>B-CP01-02D01A</v>
          </cell>
          <cell r="B101" t="str">
            <v>00101</v>
          </cell>
          <cell r="C101" t="str">
            <v>쿠팡</v>
          </cell>
          <cell r="D101" t="str">
            <v>예맛 국내 두번구운김밥김33g*5봉</v>
          </cell>
          <cell r="E101" t="str">
            <v>CP-02-001365</v>
          </cell>
          <cell r="F101">
            <v>30</v>
          </cell>
          <cell r="G101" t="str">
            <v>상품</v>
          </cell>
        </row>
        <row r="102">
          <cell r="A102" t="str">
            <v>A-CP01-02D01A</v>
          </cell>
          <cell r="B102" t="str">
            <v>00101</v>
          </cell>
          <cell r="C102" t="str">
            <v>쿠팡</v>
          </cell>
          <cell r="D102" t="str">
            <v>예맛 국내 두번구운김밥김33g*5봉</v>
          </cell>
          <cell r="E102" t="str">
            <v>B-CP01-09I03A</v>
          </cell>
          <cell r="F102">
            <v>30</v>
          </cell>
          <cell r="G102" t="str">
            <v>제품</v>
          </cell>
        </row>
        <row r="103">
          <cell r="A103" t="str">
            <v>B-CP01-02D02A</v>
          </cell>
          <cell r="B103" t="str">
            <v>00101</v>
          </cell>
          <cell r="C103" t="str">
            <v>쿠팡</v>
          </cell>
          <cell r="D103" t="str">
            <v>예맛 국내 두번구운김밥김33g*7봉</v>
          </cell>
          <cell r="F103">
            <v>10</v>
          </cell>
          <cell r="G103" t="str">
            <v>상품</v>
          </cell>
        </row>
        <row r="104">
          <cell r="A104" t="str">
            <v>A-CP01-02D02A</v>
          </cell>
          <cell r="B104" t="str">
            <v>00101</v>
          </cell>
          <cell r="C104" t="str">
            <v>쿠팡</v>
          </cell>
          <cell r="D104" t="str">
            <v>예맛 국내 두번구운김밥김33g*7봉</v>
          </cell>
          <cell r="F104">
            <v>10</v>
          </cell>
          <cell r="G104" t="str">
            <v>제품</v>
          </cell>
        </row>
        <row r="105">
          <cell r="A105" t="str">
            <v>B-CP01-00C01A</v>
          </cell>
          <cell r="B105" t="str">
            <v>00101</v>
          </cell>
          <cell r="C105" t="str">
            <v>쿠팡</v>
          </cell>
          <cell r="D105" t="str">
            <v>예맛 국내 두번구운곱창돌김세트 28g 6매*10봉</v>
          </cell>
          <cell r="F105">
            <v>5</v>
          </cell>
          <cell r="G105" t="str">
            <v>상품</v>
          </cell>
        </row>
        <row r="106">
          <cell r="A106" t="str">
            <v>A-CP01-00C01A</v>
          </cell>
          <cell r="B106" t="str">
            <v>00101</v>
          </cell>
          <cell r="C106" t="str">
            <v>쿠팡</v>
          </cell>
          <cell r="D106" t="str">
            <v>예맛 국내 두번구운곱창돌김세트 28g 6매*10봉</v>
          </cell>
          <cell r="F106">
            <v>5</v>
          </cell>
          <cell r="G106" t="str">
            <v>제품</v>
          </cell>
        </row>
        <row r="107">
          <cell r="A107" t="str">
            <v>A-CP01-00E01A</v>
          </cell>
          <cell r="B107" t="str">
            <v>00101</v>
          </cell>
          <cell r="C107" t="str">
            <v>쿠팡</v>
          </cell>
          <cell r="D107" t="str">
            <v>예맛 국내 신안갯벌김도시락김세트 4G*48봉</v>
          </cell>
          <cell r="F107">
            <v>3</v>
          </cell>
          <cell r="G107" t="str">
            <v>제품</v>
          </cell>
        </row>
        <row r="108">
          <cell r="A108" t="str">
            <v>A-CP01-01E01A</v>
          </cell>
          <cell r="B108" t="str">
            <v>00101</v>
          </cell>
          <cell r="C108" t="str">
            <v>쿠팡</v>
          </cell>
          <cell r="D108" t="str">
            <v>예맛 국내 헬로키티도시락김4g*16봉</v>
          </cell>
          <cell r="F108">
            <v>8</v>
          </cell>
          <cell r="G108" t="str">
            <v>제품</v>
          </cell>
        </row>
        <row r="109">
          <cell r="A109" t="str">
            <v>A-CP01-01E03A</v>
          </cell>
          <cell r="B109" t="str">
            <v>00101</v>
          </cell>
          <cell r="C109" t="str">
            <v>쿠팡</v>
          </cell>
          <cell r="D109" t="str">
            <v>(띠부실)헬로키티도시락4g*6봉</v>
          </cell>
          <cell r="F109">
            <v>12</v>
          </cell>
          <cell r="G109" t="str">
            <v>제품</v>
          </cell>
        </row>
        <row r="110">
          <cell r="A110" t="str">
            <v>B-CP01-05C01A</v>
          </cell>
          <cell r="B110" t="str">
            <v>00101</v>
          </cell>
          <cell r="C110" t="str">
            <v>쿠팡</v>
          </cell>
          <cell r="D110" t="str">
            <v>예맛 국내 올리브유섞어구워향긋한파래김40g(12매*8봉)</v>
          </cell>
          <cell r="F110">
            <v>14</v>
          </cell>
          <cell r="G110" t="str">
            <v>상품</v>
          </cell>
        </row>
        <row r="111">
          <cell r="A111" t="str">
            <v>A-CP01-05C01A</v>
          </cell>
          <cell r="B111" t="str">
            <v>00101</v>
          </cell>
          <cell r="C111" t="str">
            <v>쿠팡</v>
          </cell>
          <cell r="D111" t="str">
            <v>예맛 국내 올리브유섞어구워향긋한파래김40g(12매*8봉)</v>
          </cell>
          <cell r="F111">
            <v>14</v>
          </cell>
          <cell r="G111" t="str">
            <v>제품</v>
          </cell>
        </row>
        <row r="112">
          <cell r="A112" t="str">
            <v>B-CP01-02D05A</v>
          </cell>
          <cell r="B112" t="str">
            <v>00101</v>
          </cell>
          <cell r="C112" t="str">
            <v>쿠팡</v>
          </cell>
          <cell r="D112" t="str">
            <v>예맛 두번구운김밥김100매230g</v>
          </cell>
          <cell r="F112">
            <v>20</v>
          </cell>
          <cell r="G112" t="str">
            <v>상품</v>
          </cell>
        </row>
        <row r="113">
          <cell r="A113" t="str">
            <v>A-CP01-02D05A</v>
          </cell>
          <cell r="B113" t="str">
            <v>00101</v>
          </cell>
          <cell r="C113" t="str">
            <v>쿠팡</v>
          </cell>
          <cell r="D113" t="str">
            <v>예맛 두번구운김밥김100매230g</v>
          </cell>
          <cell r="F113">
            <v>20</v>
          </cell>
          <cell r="G113" t="str">
            <v>제품</v>
          </cell>
        </row>
        <row r="114">
          <cell r="A114" t="str">
            <v>A-CP01-10E01A</v>
          </cell>
          <cell r="B114" t="str">
            <v>00101</v>
          </cell>
          <cell r="C114" t="str">
            <v>쿠팡</v>
          </cell>
          <cell r="D114" t="str">
            <v>예맛 국내 두번구운감태김4g*20봉</v>
          </cell>
          <cell r="F114">
            <v>10</v>
          </cell>
          <cell r="G114" t="str">
            <v>제품</v>
          </cell>
        </row>
        <row r="115">
          <cell r="A115" t="str">
            <v>B-KU01-02H01A</v>
          </cell>
          <cell r="B115" t="str">
            <v>00603</v>
          </cell>
          <cell r="C115" t="str">
            <v>컬리</v>
          </cell>
          <cell r="D115" t="str">
            <v xml:space="preserve">예맛 국내 찹쌀김부각70g </v>
          </cell>
          <cell r="F115">
            <v>12</v>
          </cell>
          <cell r="G115" t="str">
            <v>상품</v>
          </cell>
        </row>
        <row r="116">
          <cell r="A116" t="str">
            <v>B-KU01-02B01A</v>
          </cell>
          <cell r="B116" t="str">
            <v>00603</v>
          </cell>
          <cell r="C116" t="str">
            <v>컬리</v>
          </cell>
          <cell r="D116" t="str">
            <v>예맛 국내 곱창돌김90g*30매</v>
          </cell>
          <cell r="F116">
            <v>20</v>
          </cell>
          <cell r="G116" t="str">
            <v>상품</v>
          </cell>
        </row>
        <row r="117">
          <cell r="A117" t="str">
            <v>A-KU01-02B01A</v>
          </cell>
          <cell r="B117" t="str">
            <v>00603</v>
          </cell>
          <cell r="C117" t="str">
            <v>컬리</v>
          </cell>
          <cell r="D117" t="str">
            <v>예맛 국내 곱창돌김90g*30매</v>
          </cell>
          <cell r="F117">
            <v>20</v>
          </cell>
          <cell r="G117" t="str">
            <v>제품</v>
          </cell>
        </row>
        <row r="118">
          <cell r="A118" t="str">
            <v>A-KU01-12E01A</v>
          </cell>
          <cell r="B118" t="str">
            <v>00603</v>
          </cell>
          <cell r="C118" t="str">
            <v>컬리</v>
          </cell>
          <cell r="D118" t="str">
            <v>예맛 국내 신안갯벌김도시락4g*16봉</v>
          </cell>
          <cell r="F118">
            <v>10</v>
          </cell>
          <cell r="G118" t="str">
            <v>제품</v>
          </cell>
        </row>
        <row r="119">
          <cell r="A119" t="str">
            <v>B-KU01-02D01A</v>
          </cell>
          <cell r="B119" t="str">
            <v>00603</v>
          </cell>
          <cell r="C119" t="str">
            <v>컬리</v>
          </cell>
          <cell r="D119" t="str">
            <v>예맛 국내 두번구운김밥김33g*5봉</v>
          </cell>
          <cell r="F119">
            <v>12</v>
          </cell>
          <cell r="G119" t="str">
            <v>상품</v>
          </cell>
        </row>
        <row r="120">
          <cell r="A120" t="str">
            <v>A-KU01-02D01A</v>
          </cell>
          <cell r="B120" t="str">
            <v>00603</v>
          </cell>
          <cell r="C120" t="str">
            <v>컬리</v>
          </cell>
          <cell r="D120" t="str">
            <v>예맛 국내 두번구운김밥김33g*5봉</v>
          </cell>
          <cell r="F120">
            <v>12</v>
          </cell>
          <cell r="G120" t="str">
            <v>제품</v>
          </cell>
        </row>
        <row r="121">
          <cell r="A121" t="str">
            <v>B-KU01-02D02A</v>
          </cell>
          <cell r="B121" t="str">
            <v>00603</v>
          </cell>
          <cell r="C121" t="str">
            <v>컬리</v>
          </cell>
          <cell r="D121" t="str">
            <v>예맛 국내 두번구운김밥김33g*7봉</v>
          </cell>
          <cell r="F121">
            <v>12</v>
          </cell>
          <cell r="G121" t="str">
            <v>상품</v>
          </cell>
        </row>
        <row r="122">
          <cell r="A122" t="str">
            <v>A-KU01-02D02A</v>
          </cell>
          <cell r="B122" t="str">
            <v>00603</v>
          </cell>
          <cell r="C122" t="str">
            <v>컬리</v>
          </cell>
          <cell r="D122" t="str">
            <v>예맛 국내 두번구운김밥김33g*7봉</v>
          </cell>
          <cell r="F122">
            <v>12</v>
          </cell>
          <cell r="G122" t="str">
            <v>제품</v>
          </cell>
        </row>
        <row r="123">
          <cell r="A123" t="str">
            <v>B-KU01-01G01A</v>
          </cell>
          <cell r="B123" t="str">
            <v>00603</v>
          </cell>
          <cell r="C123" t="str">
            <v>컬리</v>
          </cell>
          <cell r="D123" t="str">
            <v>예맛 국내 잘게자른김가루200g</v>
          </cell>
          <cell r="F123">
            <v>12</v>
          </cell>
          <cell r="G123" t="str">
            <v>상품</v>
          </cell>
        </row>
        <row r="124">
          <cell r="A124" t="str">
            <v>B-KU01-09I01A</v>
          </cell>
          <cell r="B124" t="str">
            <v>00603</v>
          </cell>
          <cell r="C124" t="str">
            <v>컬리</v>
          </cell>
          <cell r="D124" t="str">
            <v>예맛 국내 해초샐러드300g</v>
          </cell>
          <cell r="F124">
            <v>10</v>
          </cell>
          <cell r="G124" t="str">
            <v>상품</v>
          </cell>
        </row>
        <row r="125">
          <cell r="A125" t="str">
            <v>B-KU01-09I02A</v>
          </cell>
          <cell r="B125" t="str">
            <v>00603</v>
          </cell>
          <cell r="C125" t="str">
            <v>컬리</v>
          </cell>
          <cell r="D125" t="str">
            <v>예맛 국내 해초샐러드500g</v>
          </cell>
          <cell r="F125">
            <v>20</v>
          </cell>
          <cell r="G125" t="str">
            <v>상품</v>
          </cell>
        </row>
        <row r="126">
          <cell r="A126" t="str">
            <v>A-SK01-12E01A</v>
          </cell>
          <cell r="B126" t="str">
            <v>00855</v>
          </cell>
          <cell r="C126" t="str">
            <v>스킨독스</v>
          </cell>
          <cell r="D126" t="str">
            <v>예맛 국내 신안갯벌김도시락4g*16봉</v>
          </cell>
          <cell r="F126">
            <v>4</v>
          </cell>
          <cell r="G126" t="str">
            <v>제품</v>
          </cell>
        </row>
        <row r="127">
          <cell r="A127" t="str">
            <v>A-SP01-12E01A</v>
          </cell>
          <cell r="B127" t="str">
            <v>00898</v>
          </cell>
          <cell r="C127" t="str">
            <v>셀피어</v>
          </cell>
          <cell r="D127" t="str">
            <v>예맛 국내 신안갯벌김도시락4g*16봉</v>
          </cell>
          <cell r="F127">
            <v>4</v>
          </cell>
          <cell r="G127" t="str">
            <v>제품</v>
          </cell>
        </row>
        <row r="128">
          <cell r="A128" t="str">
            <v>B-WI01-02H01A</v>
          </cell>
          <cell r="B128" t="str">
            <v>00564</v>
          </cell>
          <cell r="C128" t="str">
            <v>윙잇</v>
          </cell>
          <cell r="D128" t="str">
            <v>예맛 국내 찹쌀김부각70g</v>
          </cell>
          <cell r="F128">
            <v>12</v>
          </cell>
          <cell r="G128" t="str">
            <v>상품</v>
          </cell>
        </row>
        <row r="129">
          <cell r="A129" t="str">
            <v>B-AU01-02H01A</v>
          </cell>
          <cell r="B129" t="str">
            <v>00419</v>
          </cell>
          <cell r="C129" t="str">
            <v>옥션</v>
          </cell>
          <cell r="D129" t="str">
            <v>옥션-국내 찹쌀다시마부각150g</v>
          </cell>
          <cell r="F129">
            <v>1</v>
          </cell>
          <cell r="G129" t="str">
            <v>상품</v>
          </cell>
        </row>
        <row r="130">
          <cell r="A130" t="str">
            <v>B-AU01-08H01A</v>
          </cell>
          <cell r="B130" t="str">
            <v>00419</v>
          </cell>
          <cell r="C130" t="str">
            <v>옥션</v>
          </cell>
          <cell r="D130" t="str">
            <v>옥션-국내 찹쌀다시마부각250g</v>
          </cell>
          <cell r="F130">
            <v>1</v>
          </cell>
          <cell r="G130" t="str">
            <v>상품</v>
          </cell>
        </row>
        <row r="131">
          <cell r="A131" t="str">
            <v>B-AU01-08H02A</v>
          </cell>
          <cell r="B131" t="str">
            <v>00419</v>
          </cell>
          <cell r="C131" t="str">
            <v>옥션</v>
          </cell>
          <cell r="D131" t="str">
            <v>옥션-국내 예맛찹쌀다시마부각70g</v>
          </cell>
          <cell r="F131">
            <v>1</v>
          </cell>
          <cell r="G131" t="str">
            <v>상품</v>
          </cell>
        </row>
        <row r="132">
          <cell r="A132" t="str">
            <v>A-AU01-04A01A</v>
          </cell>
          <cell r="B132" t="str">
            <v>00419</v>
          </cell>
          <cell r="C132" t="str">
            <v>옥션</v>
          </cell>
          <cell r="D132" t="str">
            <v>옥션-국내 곱창돌김식탁김17g</v>
          </cell>
          <cell r="F132">
            <v>1</v>
          </cell>
          <cell r="G132" t="str">
            <v>제품</v>
          </cell>
        </row>
        <row r="133">
          <cell r="A133" t="str">
            <v>A-AU01-10E01A</v>
          </cell>
          <cell r="B133" t="str">
            <v>00419</v>
          </cell>
          <cell r="C133" t="str">
            <v>옥션</v>
          </cell>
          <cell r="D133" t="str">
            <v>옥션-국내 두번구운감태김도시락4g*20봉</v>
          </cell>
          <cell r="F133">
            <v>1</v>
          </cell>
          <cell r="G133" t="str">
            <v>제품</v>
          </cell>
        </row>
        <row r="134">
          <cell r="A134" t="str">
            <v>A-AU01-06F01B</v>
          </cell>
          <cell r="B134" t="str">
            <v>00419</v>
          </cell>
          <cell r="C134" t="str">
            <v>옥션</v>
          </cell>
          <cell r="D134" t="str">
            <v>옥션-국내 해바라기씨유돌김자반100g*4봉*10개(400g)</v>
          </cell>
          <cell r="F134">
            <v>1</v>
          </cell>
          <cell r="G134" t="str">
            <v>제품</v>
          </cell>
        </row>
        <row r="135">
          <cell r="A135" t="str">
            <v>B-GR01-02D03A</v>
          </cell>
          <cell r="B135" t="str">
            <v>00872</v>
          </cell>
          <cell r="C135" t="str">
            <v>그린스팟</v>
          </cell>
          <cell r="D135" t="str">
            <v>예맛 국내 구운김100장 식자재</v>
          </cell>
          <cell r="F135">
            <v>20</v>
          </cell>
          <cell r="G135" t="str">
            <v>상품</v>
          </cell>
        </row>
        <row r="136">
          <cell r="A136" t="str">
            <v>A-GR01-02D03A</v>
          </cell>
          <cell r="B136" t="str">
            <v>00872</v>
          </cell>
          <cell r="C136" t="str">
            <v>그린스팟</v>
          </cell>
          <cell r="D136" t="str">
            <v>예맛 국내 구운김100장 식자재</v>
          </cell>
          <cell r="F136">
            <v>20</v>
          </cell>
          <cell r="G136" t="str">
            <v>제품</v>
          </cell>
        </row>
        <row r="137">
          <cell r="A137" t="str">
            <v>A-GR01-01E01A</v>
          </cell>
          <cell r="B137" t="str">
            <v>00872</v>
          </cell>
          <cell r="C137" t="str">
            <v>그린스팟</v>
          </cell>
          <cell r="D137" t="str">
            <v>예맛 국내 헬로키티도시락김4g*16봉</v>
          </cell>
          <cell r="F137">
            <v>8</v>
          </cell>
          <cell r="G137" t="str">
            <v>제품</v>
          </cell>
        </row>
        <row r="138">
          <cell r="A138" t="str">
            <v>B-GR01-02D01A</v>
          </cell>
          <cell r="B138" t="str">
            <v>00872</v>
          </cell>
          <cell r="C138" t="str">
            <v>그린스팟</v>
          </cell>
          <cell r="D138" t="str">
            <v>예맛 국내 두번구운김밥김33g*5봉</v>
          </cell>
          <cell r="F138">
            <v>12</v>
          </cell>
          <cell r="G138" t="str">
            <v>상품</v>
          </cell>
        </row>
        <row r="139">
          <cell r="A139" t="str">
            <v>B-GR01-02D02A</v>
          </cell>
          <cell r="B139" t="str">
            <v>00872</v>
          </cell>
          <cell r="C139" t="str">
            <v>그린스팟</v>
          </cell>
          <cell r="D139" t="str">
            <v>예맛 국내 두번구운김밥김33g*7봉</v>
          </cell>
          <cell r="F139">
            <v>20</v>
          </cell>
          <cell r="G139" t="str">
            <v>상품</v>
          </cell>
        </row>
        <row r="140">
          <cell r="A140" t="str">
            <v>A-GR01-02D02A</v>
          </cell>
          <cell r="B140" t="str">
            <v>00872</v>
          </cell>
          <cell r="C140" t="str">
            <v>그린스팟</v>
          </cell>
          <cell r="D140" t="str">
            <v>예맛 국내 두번구운김밥김33g*7봉</v>
          </cell>
          <cell r="F140">
            <v>20</v>
          </cell>
          <cell r="G140" t="str">
            <v>제품</v>
          </cell>
        </row>
        <row r="141">
          <cell r="A141" t="str">
            <v>B-GR01-05C01A</v>
          </cell>
          <cell r="B141" t="str">
            <v>00872</v>
          </cell>
          <cell r="C141" t="str">
            <v>그린스팟</v>
          </cell>
          <cell r="D141" t="str">
            <v>예맛 국내 올리브유섞어구워향긋한파래김40g(12매*8봉)</v>
          </cell>
          <cell r="F141">
            <v>14</v>
          </cell>
          <cell r="G141" t="str">
            <v>상품</v>
          </cell>
        </row>
        <row r="142">
          <cell r="A142" t="str">
            <v>A-GR01-05C01A</v>
          </cell>
          <cell r="B142" t="str">
            <v>00872</v>
          </cell>
          <cell r="C142" t="str">
            <v>그린스팟</v>
          </cell>
          <cell r="D142" t="str">
            <v>예맛 국내 올리브유섞어구워향긋한파래김40g(12매*8봉)</v>
          </cell>
          <cell r="F142">
            <v>14</v>
          </cell>
          <cell r="G142" t="str">
            <v>제품</v>
          </cell>
        </row>
        <row r="143">
          <cell r="A143" t="str">
            <v>B-GR01-02H01A</v>
          </cell>
          <cell r="B143" t="str">
            <v>00872</v>
          </cell>
          <cell r="C143" t="str">
            <v>그린스팟</v>
          </cell>
          <cell r="D143" t="str">
            <v>예맛 국내 찹쌀김부각70g</v>
          </cell>
          <cell r="F143">
            <v>12</v>
          </cell>
          <cell r="G143" t="str">
            <v>상품</v>
          </cell>
        </row>
        <row r="144">
          <cell r="A144" t="str">
            <v>B-GR01-08H01A</v>
          </cell>
          <cell r="B144" t="str">
            <v>00872</v>
          </cell>
          <cell r="C144" t="str">
            <v>그린스팟</v>
          </cell>
          <cell r="D144" t="str">
            <v>예맛 국내 다시마부각70g</v>
          </cell>
          <cell r="F144">
            <v>12</v>
          </cell>
          <cell r="G144" t="str">
            <v>상품</v>
          </cell>
        </row>
        <row r="145">
          <cell r="A145" t="str">
            <v>B-GR01-02H03A</v>
          </cell>
          <cell r="B145" t="str">
            <v>00872</v>
          </cell>
          <cell r="C145" t="str">
            <v>그린스팟</v>
          </cell>
          <cell r="D145" t="str">
            <v>찹쌀김부각120g</v>
          </cell>
          <cell r="F145">
            <v>9</v>
          </cell>
          <cell r="G145" t="str">
            <v>상품</v>
          </cell>
        </row>
        <row r="146">
          <cell r="A146" t="str">
            <v>B-GR01-03M01A</v>
          </cell>
          <cell r="B146" t="str">
            <v>00872</v>
          </cell>
          <cell r="C146" t="str">
            <v>그린스팟</v>
          </cell>
          <cell r="D146" t="str">
            <v>예맛 국내 신안1004캔 3입</v>
          </cell>
          <cell r="F146">
            <v>1</v>
          </cell>
          <cell r="G146" t="str">
            <v>상품</v>
          </cell>
        </row>
        <row r="147">
          <cell r="A147" t="str">
            <v>A-GR01-03M01A</v>
          </cell>
          <cell r="B147" t="str">
            <v>00872</v>
          </cell>
          <cell r="C147" t="str">
            <v>그린스팟</v>
          </cell>
          <cell r="D147" t="str">
            <v>예맛 국내 신안1004캔 3입</v>
          </cell>
          <cell r="F147">
            <v>3</v>
          </cell>
          <cell r="G147" t="str">
            <v>제품</v>
          </cell>
        </row>
        <row r="148">
          <cell r="A148" t="str">
            <v>B-GR01-03M02A</v>
          </cell>
          <cell r="B148" t="str">
            <v>00872</v>
          </cell>
          <cell r="C148" t="str">
            <v>그린스팟</v>
          </cell>
          <cell r="D148" t="str">
            <v>예맛 국내 신안1004캔 6입</v>
          </cell>
          <cell r="F148">
            <v>1</v>
          </cell>
          <cell r="G148" t="str">
            <v>상품</v>
          </cell>
        </row>
        <row r="149">
          <cell r="A149" t="str">
            <v>A-GR01-03M02A</v>
          </cell>
          <cell r="B149" t="str">
            <v>00872</v>
          </cell>
          <cell r="C149" t="str">
            <v>그린스팟</v>
          </cell>
          <cell r="D149" t="str">
            <v>예맛 국내 신안1004캔 6입</v>
          </cell>
          <cell r="F149">
            <v>6</v>
          </cell>
          <cell r="G149" t="str">
            <v>제품</v>
          </cell>
        </row>
        <row r="150">
          <cell r="A150" t="str">
            <v>B-GR01-10M01A</v>
          </cell>
          <cell r="B150" t="str">
            <v>00872</v>
          </cell>
          <cell r="C150" t="str">
            <v>그린스팟</v>
          </cell>
          <cell r="D150" t="str">
            <v>예맛 국내 두번구운감태김캔 3입</v>
          </cell>
          <cell r="F150">
            <v>1</v>
          </cell>
          <cell r="G150" t="str">
            <v>상품</v>
          </cell>
        </row>
        <row r="151">
          <cell r="A151" t="str">
            <v>A-GR01-10M01A</v>
          </cell>
          <cell r="B151" t="str">
            <v>00872</v>
          </cell>
          <cell r="C151" t="str">
            <v>그린스팟</v>
          </cell>
          <cell r="D151" t="str">
            <v>예맛 국내 두번구운감태김캔 3입</v>
          </cell>
          <cell r="F151">
            <v>3</v>
          </cell>
          <cell r="G151" t="str">
            <v>제품</v>
          </cell>
        </row>
        <row r="152">
          <cell r="A152" t="str">
            <v>B-GR01-10M02A</v>
          </cell>
          <cell r="B152" t="str">
            <v>00872</v>
          </cell>
          <cell r="C152" t="str">
            <v>그린스팟</v>
          </cell>
          <cell r="D152" t="str">
            <v>예맛 국내 두번구운감태김캔 6입</v>
          </cell>
          <cell r="F152">
            <v>1</v>
          </cell>
          <cell r="G152" t="str">
            <v>상품</v>
          </cell>
        </row>
        <row r="153">
          <cell r="A153" t="str">
            <v>A-GR01-10M02A</v>
          </cell>
          <cell r="B153" t="str">
            <v>00872</v>
          </cell>
          <cell r="C153" t="str">
            <v>그린스팟</v>
          </cell>
          <cell r="D153" t="str">
            <v>예맛 국내 두번구운감태김캔 6입</v>
          </cell>
          <cell r="F153">
            <v>6</v>
          </cell>
          <cell r="G153" t="str">
            <v>제품</v>
          </cell>
        </row>
        <row r="154">
          <cell r="A154" t="str">
            <v>B-GR01-04C01A</v>
          </cell>
          <cell r="B154" t="str">
            <v>00872</v>
          </cell>
          <cell r="C154" t="str">
            <v>그린스팟</v>
          </cell>
          <cell r="D154" t="str">
            <v>예맛 국내 두번구운곱창돌김전장 6매*10봉</v>
          </cell>
          <cell r="F154">
            <v>1</v>
          </cell>
          <cell r="G154" t="str">
            <v>상품</v>
          </cell>
        </row>
        <row r="155">
          <cell r="A155" t="str">
            <v>A-GR01-04C01A</v>
          </cell>
          <cell r="B155" t="str">
            <v>00872</v>
          </cell>
          <cell r="C155" t="str">
            <v>그린스팟</v>
          </cell>
          <cell r="D155" t="str">
            <v>예맛 국내 두번구운곱창돌김전장 6매*10봉</v>
          </cell>
          <cell r="F155">
            <v>10</v>
          </cell>
          <cell r="G155" t="str">
            <v>제품</v>
          </cell>
        </row>
        <row r="156">
          <cell r="A156" t="str">
            <v>A-GR01-06F01B</v>
          </cell>
          <cell r="B156" t="str">
            <v>00872</v>
          </cell>
          <cell r="C156" t="str">
            <v>그린스팟</v>
          </cell>
          <cell r="D156" t="str">
            <v>예맛 국내 돌김자반100g*4봉*10개(400g)_해바라기씨유</v>
          </cell>
          <cell r="F156">
            <v>10</v>
          </cell>
          <cell r="G156" t="str">
            <v>제품</v>
          </cell>
        </row>
        <row r="157">
          <cell r="A157" t="str">
            <v>B-GR01-04B01A</v>
          </cell>
          <cell r="B157" t="str">
            <v>00872</v>
          </cell>
          <cell r="C157" t="str">
            <v>그린스팟</v>
          </cell>
          <cell r="D157" t="str">
            <v>예맛 국내 곱창돌김90g*30매</v>
          </cell>
          <cell r="F157">
            <v>20</v>
          </cell>
          <cell r="G157" t="str">
            <v>상품</v>
          </cell>
        </row>
        <row r="158">
          <cell r="A158" t="str">
            <v>A-GR01-04B01A</v>
          </cell>
          <cell r="B158" t="str">
            <v>00872</v>
          </cell>
          <cell r="C158" t="str">
            <v>그린스팟</v>
          </cell>
          <cell r="D158" t="str">
            <v>예맛 국내 곱창돌김90g*30매</v>
          </cell>
          <cell r="F158">
            <v>20</v>
          </cell>
          <cell r="G158" t="str">
            <v>제품</v>
          </cell>
        </row>
        <row r="159">
          <cell r="A159" t="str">
            <v>A-GR01-01E02A</v>
          </cell>
          <cell r="B159" t="str">
            <v>00872</v>
          </cell>
          <cell r="C159" t="str">
            <v>그린스팟</v>
          </cell>
          <cell r="D159" t="str">
            <v>예맛 국내 (띠부실)헬로키티도시락4g*6봉</v>
          </cell>
          <cell r="F159">
            <v>12</v>
          </cell>
          <cell r="G159" t="str">
            <v>제품</v>
          </cell>
        </row>
        <row r="160">
          <cell r="A160" t="str">
            <v>A-GR01-04A01A</v>
          </cell>
          <cell r="B160" t="str">
            <v>00872</v>
          </cell>
          <cell r="C160" t="str">
            <v>그린스팟</v>
          </cell>
          <cell r="D160" t="str">
            <v>코스트코 국내 곱창돌김식탁김17g</v>
          </cell>
          <cell r="F160">
            <v>10</v>
          </cell>
          <cell r="G160" t="str">
            <v>제품</v>
          </cell>
        </row>
        <row r="161">
          <cell r="A161" t="str">
            <v>A-GR01-01A01A</v>
          </cell>
          <cell r="B161" t="str">
            <v>00872</v>
          </cell>
          <cell r="C161" t="str">
            <v>그린스팟</v>
          </cell>
          <cell r="D161" t="str">
            <v>코스트코 국내 KS구운재래김17g*10봉</v>
          </cell>
          <cell r="F161">
            <v>12</v>
          </cell>
          <cell r="G161" t="str">
            <v>제품</v>
          </cell>
        </row>
        <row r="162">
          <cell r="A162" t="str">
            <v>B-GR01-02G01A</v>
          </cell>
          <cell r="B162" t="str">
            <v>00872</v>
          </cell>
          <cell r="C162" t="str">
            <v>그린스팟</v>
          </cell>
          <cell r="D162" t="str">
            <v>예맛 국내 잘게자른김가루200g</v>
          </cell>
          <cell r="F162">
            <v>12</v>
          </cell>
          <cell r="G162" t="str">
            <v>상품</v>
          </cell>
        </row>
        <row r="163">
          <cell r="A163" t="str">
            <v>B-GR01-02G03A</v>
          </cell>
          <cell r="B163" t="str">
            <v>00872</v>
          </cell>
          <cell r="C163" t="str">
            <v>그린스팟</v>
          </cell>
          <cell r="D163" t="str">
            <v>코스트코 국내 고명용김가루500g</v>
          </cell>
          <cell r="F163">
            <v>15</v>
          </cell>
          <cell r="G163" t="str">
            <v>상품</v>
          </cell>
        </row>
        <row r="164">
          <cell r="A164" t="str">
            <v>B-GR01-02H02A</v>
          </cell>
          <cell r="B164" t="str">
            <v>00872</v>
          </cell>
          <cell r="C164" t="str">
            <v>그린스팟</v>
          </cell>
          <cell r="D164" t="str">
            <v>코스트코 국내 찹쌀김부각250g</v>
          </cell>
          <cell r="F164">
            <v>15</v>
          </cell>
          <cell r="G164" t="str">
            <v>상품</v>
          </cell>
        </row>
        <row r="165">
          <cell r="A165" t="str">
            <v>B-GR01-08H02A</v>
          </cell>
          <cell r="B165" t="str">
            <v>00872</v>
          </cell>
          <cell r="C165" t="str">
            <v>그린스팟</v>
          </cell>
          <cell r="D165" t="str">
            <v>코스트코 국내 찹쌀다시마부각250g</v>
          </cell>
          <cell r="F165">
            <v>15</v>
          </cell>
          <cell r="G165" t="str">
            <v>상품</v>
          </cell>
        </row>
        <row r="166">
          <cell r="A166" t="str">
            <v>B-GR01-04B02A</v>
          </cell>
          <cell r="B166" t="str">
            <v>00872</v>
          </cell>
          <cell r="C166" t="str">
            <v>그린스팟</v>
          </cell>
          <cell r="D166" t="str">
            <v>코스트코 국내 어의리곱창돌김50매 (150g)</v>
          </cell>
          <cell r="F166">
            <v>16</v>
          </cell>
          <cell r="G166" t="str">
            <v>상품</v>
          </cell>
        </row>
        <row r="167">
          <cell r="A167" t="str">
            <v>A-GR01-04B02A</v>
          </cell>
          <cell r="B167" t="str">
            <v>00872</v>
          </cell>
          <cell r="C167" t="str">
            <v>그린스팟</v>
          </cell>
          <cell r="D167" t="str">
            <v>코스트코 국내 어의리곱창돌김50매 (150g)</v>
          </cell>
          <cell r="F167">
            <v>16</v>
          </cell>
          <cell r="G167" t="str">
            <v>제품</v>
          </cell>
        </row>
        <row r="168">
          <cell r="A168" t="str">
            <v>A-GR01-12E01A</v>
          </cell>
          <cell r="B168" t="str">
            <v>00872</v>
          </cell>
          <cell r="C168" t="str">
            <v>그린스팟</v>
          </cell>
          <cell r="D168" t="str">
            <v>예맛 국내 신안갯벌김도시락4g*16봉</v>
          </cell>
          <cell r="F168">
            <v>10</v>
          </cell>
          <cell r="G168" t="str">
            <v>제품</v>
          </cell>
        </row>
        <row r="169">
          <cell r="A169" t="str">
            <v>A-GR01-04E01A</v>
          </cell>
          <cell r="B169" t="str">
            <v>00872</v>
          </cell>
          <cell r="C169" t="str">
            <v>그린스팟</v>
          </cell>
          <cell r="D169" t="str">
            <v>예맛 국내 두번구운곱창돌김도시락5g*30개</v>
          </cell>
          <cell r="F169">
            <v>6</v>
          </cell>
          <cell r="G169" t="str">
            <v>제품</v>
          </cell>
        </row>
        <row r="170">
          <cell r="A170" t="str">
            <v>A-GR01-10E01A</v>
          </cell>
          <cell r="B170" t="str">
            <v>00872</v>
          </cell>
          <cell r="C170" t="str">
            <v>그린스팟</v>
          </cell>
          <cell r="D170" t="str">
            <v>예맛 국내 두번구운감태김4g*20봉</v>
          </cell>
          <cell r="F170">
            <v>10</v>
          </cell>
          <cell r="G170" t="str">
            <v>제품</v>
          </cell>
        </row>
        <row r="171">
          <cell r="A171" t="str">
            <v>A-GR02-06F01B</v>
          </cell>
          <cell r="B171" t="str">
            <v>00872</v>
          </cell>
          <cell r="C171" t="str">
            <v>그린스팟</v>
          </cell>
          <cell r="D171" t="str">
            <v>예맛 해바라기씨유 예맛제팬 돌김자반80g*3봉 240g</v>
          </cell>
          <cell r="F171">
            <v>10</v>
          </cell>
          <cell r="G171" t="str">
            <v>제품</v>
          </cell>
        </row>
        <row r="172">
          <cell r="A172" t="str">
            <v>A-GR02-06F04B</v>
          </cell>
          <cell r="B172" t="str">
            <v>00872</v>
          </cell>
          <cell r="C172" t="str">
            <v>그린스팟</v>
          </cell>
          <cell r="D172" t="str">
            <v>예맛 해바라기씨유 요코다야 돌김자반80g*3봉 240g</v>
          </cell>
          <cell r="F172">
            <v>10</v>
          </cell>
          <cell r="G172" t="str">
            <v>제품</v>
          </cell>
        </row>
        <row r="173">
          <cell r="A173" t="str">
            <v>A-GR05-01E01A</v>
          </cell>
          <cell r="B173" t="str">
            <v>00872</v>
          </cell>
          <cell r="C173" t="str">
            <v>그린스팟</v>
          </cell>
          <cell r="D173" t="str">
            <v>(필리핀) S＆R미니식탁김12G</v>
          </cell>
          <cell r="F173">
            <v>12</v>
          </cell>
          <cell r="G173" t="str">
            <v>제품</v>
          </cell>
        </row>
        <row r="174">
          <cell r="A174" t="str">
            <v>B-GR01-02H03A</v>
          </cell>
          <cell r="B174" t="str">
            <v>00872</v>
          </cell>
          <cell r="C174" t="str">
            <v>그린스팟</v>
          </cell>
          <cell r="D174" t="str">
            <v>국내 찹쌀다시마부각150g</v>
          </cell>
          <cell r="F174">
            <v>1</v>
          </cell>
          <cell r="G174" t="str">
            <v>상품</v>
          </cell>
        </row>
        <row r="175">
          <cell r="A175" t="str">
            <v>B-GR02-01E01A</v>
          </cell>
          <cell r="B175" t="str">
            <v>00872</v>
          </cell>
          <cell r="C175" t="str">
            <v>그린스팟</v>
          </cell>
          <cell r="D175" t="str">
            <v>(일본) 일본세븐 예맛제팬 펀칭도시락6P</v>
          </cell>
          <cell r="F175">
            <v>12</v>
          </cell>
          <cell r="G175" t="str">
            <v>상품</v>
          </cell>
        </row>
        <row r="176">
          <cell r="A176" t="str">
            <v>A-GR01-10N01A</v>
          </cell>
          <cell r="B176" t="str">
            <v>00872</v>
          </cell>
          <cell r="C176" t="str">
            <v>그린스팟</v>
          </cell>
          <cell r="D176" t="str">
            <v>조미하지 않은 감태김8g(30매)*10</v>
          </cell>
          <cell r="F176">
            <v>10</v>
          </cell>
          <cell r="G176" t="str">
            <v>제품</v>
          </cell>
        </row>
        <row r="177">
          <cell r="A177" t="str">
            <v>B-GR01-02D05A</v>
          </cell>
          <cell r="B177" t="str">
            <v>00872</v>
          </cell>
          <cell r="C177" t="str">
            <v>그린스팟</v>
          </cell>
          <cell r="D177" t="str">
            <v>예맛 두번구운김밥김100매230g</v>
          </cell>
          <cell r="F177">
            <v>1</v>
          </cell>
          <cell r="G177" t="str">
            <v>상품</v>
          </cell>
        </row>
        <row r="178">
          <cell r="A178" t="str">
            <v>A-GR01-00E01A</v>
          </cell>
          <cell r="B178" t="str">
            <v>00872</v>
          </cell>
          <cell r="C178" t="str">
            <v>그린스팟</v>
          </cell>
          <cell r="D178" t="str">
            <v>예맛 신안갯벌김도시락세트 4g*48봉</v>
          </cell>
          <cell r="F178">
            <v>3</v>
          </cell>
          <cell r="G178" t="str">
            <v>제품</v>
          </cell>
        </row>
        <row r="179">
          <cell r="A179" t="str">
            <v>A-GR01-00N01A</v>
          </cell>
          <cell r="B179" t="str">
            <v>00872</v>
          </cell>
          <cell r="C179" t="str">
            <v>그린스팟</v>
          </cell>
          <cell r="D179" t="str">
            <v>코스트코 감태김세트</v>
          </cell>
          <cell r="F179">
            <v>1</v>
          </cell>
          <cell r="G179" t="str">
            <v>제품</v>
          </cell>
        </row>
        <row r="180">
          <cell r="A180" t="str">
            <v>B-GR01-00H01A</v>
          </cell>
          <cell r="B180" t="str">
            <v>00872</v>
          </cell>
          <cell r="C180" t="str">
            <v>그린스팟</v>
          </cell>
          <cell r="D180" t="str">
            <v>코스트코 찹쌀김부각세트</v>
          </cell>
          <cell r="F180">
            <v>1</v>
          </cell>
          <cell r="G180" t="str">
            <v>상품</v>
          </cell>
        </row>
        <row r="181">
          <cell r="A181" t="str">
            <v>A-GR01-01A02A</v>
          </cell>
          <cell r="B181" t="str">
            <v>00872</v>
          </cell>
          <cell r="C181" t="str">
            <v>그린스팟</v>
          </cell>
          <cell r="D181" t="str">
            <v>(E)KS구운재래김17g*20봉</v>
          </cell>
          <cell r="F181">
            <v>2</v>
          </cell>
          <cell r="G181" t="str">
            <v>제품</v>
          </cell>
        </row>
        <row r="182">
          <cell r="A182" t="str">
            <v>A-YM01-03M03A</v>
          </cell>
          <cell r="B182" t="str">
            <v>0</v>
          </cell>
          <cell r="C182" t="str">
            <v>예맛/자사</v>
          </cell>
          <cell r="D182" t="str">
            <v>캔 - 신안 1004 돌김 (낱개)</v>
          </cell>
          <cell r="F182">
            <v>1</v>
          </cell>
          <cell r="G182" t="str">
            <v>제품</v>
          </cell>
        </row>
        <row r="183">
          <cell r="A183" t="str">
            <v>B-YM01-03M01A</v>
          </cell>
          <cell r="B183" t="str">
            <v>00105</v>
          </cell>
          <cell r="C183" t="str">
            <v>예맛/자사</v>
          </cell>
          <cell r="D183" t="str">
            <v>예맛 국내 신안1004캔 3입</v>
          </cell>
          <cell r="F183">
            <v>1</v>
          </cell>
          <cell r="G183" t="str">
            <v>상품</v>
          </cell>
        </row>
        <row r="184">
          <cell r="A184" t="str">
            <v>A-YM01-03M01A</v>
          </cell>
          <cell r="B184" t="str">
            <v>0</v>
          </cell>
          <cell r="C184" t="str">
            <v>예맛/자사</v>
          </cell>
          <cell r="D184" t="str">
            <v>예맛 국내 신안1004캔 3입</v>
          </cell>
          <cell r="F184">
            <v>3</v>
          </cell>
          <cell r="G184" t="str">
            <v>제품</v>
          </cell>
        </row>
        <row r="185">
          <cell r="A185" t="str">
            <v>B-YM01-03M02A</v>
          </cell>
          <cell r="B185" t="str">
            <v>00105</v>
          </cell>
          <cell r="C185" t="str">
            <v>예맛/자사</v>
          </cell>
          <cell r="D185" t="str">
            <v>예맛 국내 신안1004캔 6입</v>
          </cell>
          <cell r="F185">
            <v>1</v>
          </cell>
          <cell r="G185" t="str">
            <v>상품</v>
          </cell>
        </row>
        <row r="186">
          <cell r="A186" t="str">
            <v>A-YM01-03M02A</v>
          </cell>
          <cell r="B186" t="str">
            <v>0</v>
          </cell>
          <cell r="C186" t="str">
            <v>예맛/자사</v>
          </cell>
          <cell r="D186" t="str">
            <v>예맛 국내 신안1004캔 6입</v>
          </cell>
          <cell r="F186">
            <v>6</v>
          </cell>
          <cell r="G186" t="str">
            <v>제품</v>
          </cell>
        </row>
        <row r="187">
          <cell r="A187" t="str">
            <v>B-YM01-10M01A</v>
          </cell>
          <cell r="B187" t="str">
            <v>00105</v>
          </cell>
          <cell r="C187" t="str">
            <v>예맛/자사</v>
          </cell>
          <cell r="D187" t="str">
            <v>예맛 국내 두번구운감태캔 3입</v>
          </cell>
          <cell r="F187">
            <v>1</v>
          </cell>
          <cell r="G187" t="str">
            <v>상품</v>
          </cell>
        </row>
        <row r="188">
          <cell r="A188" t="str">
            <v>A-YM01-10M01A</v>
          </cell>
          <cell r="B188" t="str">
            <v>0</v>
          </cell>
          <cell r="C188" t="str">
            <v>예맛/자사</v>
          </cell>
          <cell r="D188" t="str">
            <v>예맛 국내 두번구운감태캔 3입</v>
          </cell>
          <cell r="F188">
            <v>3</v>
          </cell>
          <cell r="G188" t="str">
            <v>제품</v>
          </cell>
        </row>
        <row r="189">
          <cell r="A189" t="str">
            <v>B-YM01-10M02A</v>
          </cell>
          <cell r="B189" t="str">
            <v>00105</v>
          </cell>
          <cell r="C189" t="str">
            <v>예맛/자사</v>
          </cell>
          <cell r="D189" t="str">
            <v>예맛 국내 두번구운감태캔 6입</v>
          </cell>
          <cell r="F189">
            <v>1</v>
          </cell>
          <cell r="G189" t="str">
            <v>상품</v>
          </cell>
        </row>
        <row r="190">
          <cell r="A190" t="str">
            <v>A-YM01-10M02A</v>
          </cell>
          <cell r="B190" t="str">
            <v>0</v>
          </cell>
          <cell r="C190" t="str">
            <v>예맛/자사</v>
          </cell>
          <cell r="D190" t="str">
            <v>예맛 국내 두번구운감태캔 6입</v>
          </cell>
          <cell r="F190">
            <v>6</v>
          </cell>
          <cell r="G190" t="str">
            <v>제품</v>
          </cell>
        </row>
        <row r="191">
          <cell r="A191" t="str">
            <v>A-YM01-10E01A</v>
          </cell>
          <cell r="B191" t="str">
            <v>0</v>
          </cell>
          <cell r="C191" t="str">
            <v>예맛/자사</v>
          </cell>
          <cell r="D191" t="str">
            <v>감태김 도시락</v>
          </cell>
          <cell r="F191">
            <v>1</v>
          </cell>
          <cell r="G191" t="str">
            <v>제품</v>
          </cell>
        </row>
        <row r="192">
          <cell r="A192" t="str">
            <v>A-YM01-10C01A</v>
          </cell>
          <cell r="B192" t="str">
            <v>0</v>
          </cell>
          <cell r="C192" t="str">
            <v>예맛/자사</v>
          </cell>
          <cell r="D192" t="str">
            <v>감태김 전장</v>
          </cell>
          <cell r="F192">
            <v>1</v>
          </cell>
          <cell r="G192" t="str">
            <v>제품</v>
          </cell>
        </row>
        <row r="193">
          <cell r="A193" t="str">
            <v>A-YM01-10M03A</v>
          </cell>
          <cell r="B193" t="str">
            <v>0</v>
          </cell>
          <cell r="C193" t="str">
            <v>예맛/자사</v>
          </cell>
          <cell r="D193" t="str">
            <v>감태김 캔</v>
          </cell>
          <cell r="F193">
            <v>1</v>
          </cell>
          <cell r="G193" t="str">
            <v>제품</v>
          </cell>
        </row>
        <row r="194">
          <cell r="A194" t="str">
            <v>B-YM01-04C01A</v>
          </cell>
          <cell r="B194" t="str">
            <v>00105</v>
          </cell>
          <cell r="C194" t="str">
            <v>예맛/자사</v>
          </cell>
          <cell r="D194" t="str">
            <v>예맛 국내 두번구운곱창돌김전장 6매*10봉</v>
          </cell>
          <cell r="F194">
            <v>1</v>
          </cell>
          <cell r="G194" t="str">
            <v>상품</v>
          </cell>
        </row>
        <row r="195">
          <cell r="A195" t="str">
            <v>A-YM01-04C01A</v>
          </cell>
          <cell r="B195" t="str">
            <v>0</v>
          </cell>
          <cell r="C195" t="str">
            <v>예맛/자사</v>
          </cell>
          <cell r="D195" t="str">
            <v>예맛 국내 두번구운곱창돌김전장 6매*10봉</v>
          </cell>
          <cell r="F195">
            <v>1</v>
          </cell>
          <cell r="G195" t="str">
            <v>제품</v>
          </cell>
        </row>
        <row r="196">
          <cell r="A196" t="str">
            <v>B-YM01-02H01A</v>
          </cell>
          <cell r="B196" t="str">
            <v>00105</v>
          </cell>
          <cell r="C196" t="str">
            <v>예맛/자사</v>
          </cell>
          <cell r="D196" t="str">
            <v>국내 찹쌀김부각250g</v>
          </cell>
          <cell r="F196">
            <v>15</v>
          </cell>
          <cell r="G196" t="str">
            <v>상품</v>
          </cell>
        </row>
        <row r="197">
          <cell r="A197" t="str">
            <v>B-YM01-08H02A</v>
          </cell>
          <cell r="B197" t="str">
            <v>00105</v>
          </cell>
          <cell r="C197" t="str">
            <v>예맛/자사</v>
          </cell>
          <cell r="D197" t="str">
            <v>국내 찹쌀다시마부각250g</v>
          </cell>
          <cell r="F197">
            <v>15</v>
          </cell>
          <cell r="G197" t="str">
            <v>상품</v>
          </cell>
        </row>
        <row r="198">
          <cell r="A198" t="str">
            <v>B-YM01-99Z01A</v>
          </cell>
          <cell r="B198" t="str">
            <v>0</v>
          </cell>
          <cell r="C198" t="str">
            <v>예맛/자사</v>
          </cell>
          <cell r="D198" t="str">
            <v>예맛 국내 마른김파지</v>
          </cell>
          <cell r="F198" t="str">
            <v>kg</v>
          </cell>
          <cell r="G198" t="str">
            <v>상품</v>
          </cell>
        </row>
        <row r="199">
          <cell r="A199" t="str">
            <v>B-YM01-98Z01A</v>
          </cell>
          <cell r="B199" t="str">
            <v>0</v>
          </cell>
          <cell r="C199" t="str">
            <v>예맛/자사</v>
          </cell>
          <cell r="D199" t="str">
            <v>예맛 국내 조미김파지</v>
          </cell>
          <cell r="F199" t="str">
            <v>kg</v>
          </cell>
          <cell r="G199" t="str">
            <v>상품</v>
          </cell>
        </row>
        <row r="200">
          <cell r="A200" t="str">
            <v>A-CO02-06F01B</v>
          </cell>
          <cell r="C200" t="str">
            <v>수출</v>
          </cell>
          <cell r="D200" t="str">
            <v>(일본) 해바라기씨유 예맛제팬 돌김자반80g*3봉 240g</v>
          </cell>
          <cell r="F200">
            <v>10</v>
          </cell>
          <cell r="G200" t="str">
            <v>제품</v>
          </cell>
        </row>
        <row r="201">
          <cell r="A201" t="str">
            <v>A-CO02-06F02B</v>
          </cell>
          <cell r="C201" t="str">
            <v>수출</v>
          </cell>
          <cell r="D201" t="str">
            <v>(일본) 해바라기씨유 시라꼬 돌김자반80g*3봉 240g</v>
          </cell>
          <cell r="F201">
            <v>10</v>
          </cell>
          <cell r="G201" t="str">
            <v>제품</v>
          </cell>
        </row>
        <row r="202">
          <cell r="A202" t="str">
            <v>A-CO02-06F03B</v>
          </cell>
          <cell r="C202" t="str">
            <v>수출</v>
          </cell>
          <cell r="D202" t="str">
            <v>(일본) 해바라기씨유 코스트코 돌김자반80g*3봉 240g</v>
          </cell>
          <cell r="F202">
            <v>10</v>
          </cell>
          <cell r="G202" t="str">
            <v>제품</v>
          </cell>
        </row>
        <row r="203">
          <cell r="A203" t="str">
            <v>A-CO02-06F04B</v>
          </cell>
          <cell r="C203" t="str">
            <v>수출</v>
          </cell>
          <cell r="D203" t="str">
            <v>(일본) 해바라기씨유 요코다야 돌김자반80g*3봉 240g</v>
          </cell>
          <cell r="F203">
            <v>10</v>
          </cell>
          <cell r="G203" t="str">
            <v>제품</v>
          </cell>
        </row>
        <row r="204">
          <cell r="A204" t="str">
            <v>C-CO02-06F04B</v>
          </cell>
          <cell r="C204" t="str">
            <v>수출</v>
          </cell>
          <cell r="D204" t="str">
            <v>(일본) 해바라기씨유 요코다야 돌김자반80g*3봉 240g</v>
          </cell>
          <cell r="F204">
            <v>10</v>
          </cell>
          <cell r="G204" t="str">
            <v>외주</v>
          </cell>
        </row>
        <row r="205">
          <cell r="A205" t="str">
            <v>A-CO02-06F01C</v>
          </cell>
          <cell r="C205" t="str">
            <v>수출</v>
          </cell>
          <cell r="D205" t="str">
            <v>(일본) 달콤한맛 돌김자반80g*3봉 240g</v>
          </cell>
          <cell r="F205">
            <v>10</v>
          </cell>
          <cell r="G205" t="str">
            <v>제품</v>
          </cell>
        </row>
        <row r="206">
          <cell r="A206" t="str">
            <v>C-CO02-06F01D</v>
          </cell>
          <cell r="C206" t="str">
            <v>수출</v>
          </cell>
          <cell r="D206" t="str">
            <v>(일본) 매운맛  시라꼬 돌김자반80g*3봉 240g</v>
          </cell>
          <cell r="F206">
            <v>10</v>
          </cell>
          <cell r="G206" t="str">
            <v>상품</v>
          </cell>
        </row>
        <row r="207">
          <cell r="A207" t="str">
            <v>A-CO02-06F01D</v>
          </cell>
          <cell r="C207" t="str">
            <v>수출</v>
          </cell>
          <cell r="D207" t="str">
            <v>(일본) 매운맛  시라꼬 돌김자반80g*3봉 240g</v>
          </cell>
          <cell r="F207">
            <v>30</v>
          </cell>
          <cell r="G207" t="str">
            <v>제품</v>
          </cell>
        </row>
        <row r="208">
          <cell r="A208" t="str">
            <v>A-CO02-06F02D</v>
          </cell>
          <cell r="C208" t="str">
            <v>수출</v>
          </cell>
          <cell r="D208" t="str">
            <v>(일본) 매운맛  예맛제팬 돌김자반80g*3봉 240g</v>
          </cell>
          <cell r="F208">
            <v>30</v>
          </cell>
          <cell r="G208" t="str">
            <v>제품</v>
          </cell>
        </row>
        <row r="209">
          <cell r="A209" t="str">
            <v>B-CO02-06F02D</v>
          </cell>
          <cell r="C209" t="str">
            <v>수출</v>
          </cell>
          <cell r="D209" t="str">
            <v>(일본) 매운맛  예맛제팬 돌김자반80g*3봉 240g</v>
          </cell>
          <cell r="F209">
            <v>30</v>
          </cell>
          <cell r="G209" t="str">
            <v>상품</v>
          </cell>
        </row>
        <row r="210">
          <cell r="A210" t="str">
            <v>A-CO02-06F03D</v>
          </cell>
          <cell r="C210" t="str">
            <v>수출</v>
          </cell>
          <cell r="D210" t="str">
            <v>(일본) 매운맛  코스트코 돌김자반80g*3봉 240g</v>
          </cell>
          <cell r="F210">
            <v>30</v>
          </cell>
          <cell r="G210" t="str">
            <v>제품</v>
          </cell>
        </row>
        <row r="211">
          <cell r="A211" t="str">
            <v>A-CI03-06F01A</v>
          </cell>
          <cell r="C211" t="str">
            <v>수출</v>
          </cell>
          <cell r="D211" t="str">
            <v>(중국) 오리지날 돌김자반80g*3봉 240g</v>
          </cell>
          <cell r="F211">
            <v>10</v>
          </cell>
          <cell r="G211" t="str">
            <v>제품</v>
          </cell>
        </row>
        <row r="212">
          <cell r="A212" t="str">
            <v>A-CI03-06F01B</v>
          </cell>
          <cell r="C212" t="str">
            <v>수출</v>
          </cell>
          <cell r="D212" t="str">
            <v>(중국) 해바라기씨유 돌김자반80g*3봉 240g</v>
          </cell>
          <cell r="F212">
            <v>10</v>
          </cell>
          <cell r="G212" t="str">
            <v>제품</v>
          </cell>
        </row>
        <row r="213">
          <cell r="A213" t="str">
            <v>A-CO03-01A01A</v>
          </cell>
          <cell r="C213" t="str">
            <v>수출</v>
          </cell>
          <cell r="D213" t="str">
            <v>(중국) KS구운재래김17g*10봉</v>
          </cell>
          <cell r="F213">
            <v>12</v>
          </cell>
          <cell r="G213" t="str">
            <v>제품</v>
          </cell>
        </row>
        <row r="214">
          <cell r="A214" t="str">
            <v>B-CO03-02H01A</v>
          </cell>
          <cell r="C214" t="str">
            <v>수출</v>
          </cell>
          <cell r="D214" t="str">
            <v>(중국) 찹쌀김부각150g</v>
          </cell>
          <cell r="E214" t="str">
            <v>B-HO01-02H01A</v>
          </cell>
          <cell r="F214">
            <v>18</v>
          </cell>
          <cell r="G214" t="str">
            <v>상품</v>
          </cell>
        </row>
        <row r="215">
          <cell r="A215" t="str">
            <v>A-DA03-01P01A</v>
          </cell>
          <cell r="C215" t="str">
            <v>수출</v>
          </cell>
          <cell r="D215" t="str">
            <v>(중국) 무조미아이김6P*12개</v>
          </cell>
          <cell r="F215">
            <v>12</v>
          </cell>
          <cell r="G215" t="str">
            <v>제품</v>
          </cell>
        </row>
        <row r="216">
          <cell r="A216" t="str">
            <v>B-CO07-06F01A</v>
          </cell>
          <cell r="C216" t="str">
            <v>수출</v>
          </cell>
          <cell r="D216" t="str">
            <v>(호주) 돌김자반80g*3봉 240g</v>
          </cell>
          <cell r="F216">
            <v>10</v>
          </cell>
          <cell r="G216" t="str">
            <v>상품</v>
          </cell>
        </row>
        <row r="217">
          <cell r="A217" t="str">
            <v>A-SR05-06F01A</v>
          </cell>
          <cell r="C217" t="str">
            <v>수출</v>
          </cell>
          <cell r="D217" t="str">
            <v>(필리핀) 오리지날  S＆R 돌김자반80g</v>
          </cell>
          <cell r="F217">
            <v>45</v>
          </cell>
          <cell r="G217" t="str">
            <v>제품</v>
          </cell>
        </row>
        <row r="218">
          <cell r="A218" t="str">
            <v>A-SR05-01E01A</v>
          </cell>
          <cell r="C218" t="str">
            <v>수출</v>
          </cell>
          <cell r="D218" t="str">
            <v>(필리핀) S＆R미니식탁김12g</v>
          </cell>
          <cell r="F218">
            <v>12</v>
          </cell>
          <cell r="G218" t="str">
            <v>제품</v>
          </cell>
        </row>
        <row r="219">
          <cell r="A219" t="str">
            <v>A-SR05-02D01A</v>
          </cell>
          <cell r="C219" t="str">
            <v>수출</v>
          </cell>
          <cell r="D219" t="str">
            <v>(필리핀) S＆R김밥김50매</v>
          </cell>
          <cell r="F219">
            <v>60</v>
          </cell>
          <cell r="G219" t="str">
            <v>제품</v>
          </cell>
        </row>
        <row r="220">
          <cell r="A220" t="str">
            <v>B-SR05-02D01A</v>
          </cell>
          <cell r="C220" t="str">
            <v>수출</v>
          </cell>
          <cell r="D220" t="str">
            <v>(필리핀) S＆R김밥김50매</v>
          </cell>
          <cell r="F220">
            <v>60</v>
          </cell>
          <cell r="G220" t="str">
            <v>상품</v>
          </cell>
        </row>
        <row r="221">
          <cell r="A221" t="str">
            <v>A-CO02-01A01A</v>
          </cell>
          <cell r="C221" t="str">
            <v>수출</v>
          </cell>
          <cell r="D221" t="str">
            <v>(일본) KS구운재래김17g*10봉</v>
          </cell>
          <cell r="F221">
            <v>12</v>
          </cell>
          <cell r="G221" t="str">
            <v>제품</v>
          </cell>
        </row>
        <row r="222">
          <cell r="A222" t="str">
            <v>B-CO02-01A01A</v>
          </cell>
          <cell r="C222" t="str">
            <v>수출</v>
          </cell>
          <cell r="D222" t="str">
            <v>(신안/일본) KS구운재래김17g*10봉</v>
          </cell>
          <cell r="F222">
            <v>12</v>
          </cell>
          <cell r="G222" t="str">
            <v>상품</v>
          </cell>
        </row>
        <row r="223">
          <cell r="A223" t="str">
            <v>A-CO04-01A01A</v>
          </cell>
          <cell r="C223" t="str">
            <v>수출</v>
          </cell>
          <cell r="D223" t="str">
            <v>(대만) KS구운재래김17g*10봉</v>
          </cell>
          <cell r="F223">
            <v>12</v>
          </cell>
          <cell r="G223" t="str">
            <v>제품</v>
          </cell>
        </row>
        <row r="224">
          <cell r="A224" t="str">
            <v>B-CO04-01A01A</v>
          </cell>
          <cell r="C224" t="str">
            <v>수출</v>
          </cell>
          <cell r="D224" t="str">
            <v>(신안/대만) KS구운재래김17g*10봉</v>
          </cell>
          <cell r="F224">
            <v>12</v>
          </cell>
          <cell r="G224" t="str">
            <v>상품</v>
          </cell>
        </row>
        <row r="225">
          <cell r="A225" t="str">
            <v>B-CO03-01A01A</v>
          </cell>
          <cell r="C225" t="str">
            <v>수출</v>
          </cell>
          <cell r="D225" t="str">
            <v>(신안/중국) KS구운재래김17g*10봉</v>
          </cell>
          <cell r="F225">
            <v>12</v>
          </cell>
          <cell r="G225" t="str">
            <v>상품</v>
          </cell>
        </row>
        <row r="226">
          <cell r="A226" t="str">
            <v>A-SV04-01E01A</v>
          </cell>
          <cell r="C226" t="str">
            <v>수출</v>
          </cell>
          <cell r="D226" t="str">
            <v>(대만) 세븐 한국전통도시락4.4g*3P</v>
          </cell>
          <cell r="F226">
            <v>24</v>
          </cell>
          <cell r="G226" t="str">
            <v>제품</v>
          </cell>
        </row>
        <row r="227">
          <cell r="A227" t="str">
            <v>A-GP04-01E01A</v>
          </cell>
          <cell r="C227" t="str">
            <v>수출</v>
          </cell>
          <cell r="D227" t="str">
            <v>(대만) 광푸웬 해태로구운 생생재래김5g*3P</v>
          </cell>
          <cell r="F227">
            <v>12</v>
          </cell>
          <cell r="G227" t="str">
            <v>제품</v>
          </cell>
        </row>
        <row r="228">
          <cell r="A228" t="str">
            <v>A-KO02-01E02A</v>
          </cell>
          <cell r="C228" t="str">
            <v>수출</v>
          </cell>
          <cell r="D228" t="str">
            <v>(일본) (고아사) 니꼬니꼬 재래도시락3봉</v>
          </cell>
          <cell r="F228">
            <v>10</v>
          </cell>
          <cell r="G228" t="str">
            <v>제품</v>
          </cell>
        </row>
        <row r="229">
          <cell r="A229" t="str">
            <v>A-KO02-01E01A</v>
          </cell>
          <cell r="C229" t="str">
            <v>수출</v>
          </cell>
          <cell r="D229" t="str">
            <v>(일본) (고아사) 니꼬니꼬 재래도시락2봉</v>
          </cell>
          <cell r="F229">
            <v>10</v>
          </cell>
          <cell r="G229" t="str">
            <v>제품</v>
          </cell>
        </row>
        <row r="230">
          <cell r="A230" t="str">
            <v>A-SH02-01E01A</v>
          </cell>
          <cell r="C230" t="str">
            <v>수출</v>
          </cell>
          <cell r="D230" t="str">
            <v>(일본) 시라꼬 올리브생생도시락3봉</v>
          </cell>
          <cell r="F230">
            <v>12</v>
          </cell>
          <cell r="G230" t="str">
            <v>제품</v>
          </cell>
        </row>
        <row r="231">
          <cell r="A231" t="str">
            <v>B-SH02-01G01A</v>
          </cell>
          <cell r="C231" t="str">
            <v>수출</v>
          </cell>
          <cell r="D231" t="str">
            <v>(일본) 시라꼬 맛김가루30G</v>
          </cell>
          <cell r="F231">
            <v>20</v>
          </cell>
          <cell r="G231" t="str">
            <v>상품</v>
          </cell>
        </row>
        <row r="232">
          <cell r="A232" t="str">
            <v>B-SH02-01G02A</v>
          </cell>
          <cell r="C232" t="str">
            <v>수출</v>
          </cell>
          <cell r="D232" t="str">
            <v>(일본) 시라꼬 후추맛 맛김가루30G</v>
          </cell>
          <cell r="F232">
            <v>20</v>
          </cell>
          <cell r="G232" t="str">
            <v>상품</v>
          </cell>
        </row>
        <row r="233">
          <cell r="A233" t="str">
            <v>A-SH02-06F01A</v>
          </cell>
          <cell r="C233" t="str">
            <v>수출</v>
          </cell>
          <cell r="D233" t="str">
            <v>(일본) 시라꼬 오리지날 돌김자반80G*3봉 240개</v>
          </cell>
          <cell r="F233">
            <v>10</v>
          </cell>
          <cell r="G233" t="str">
            <v>제품</v>
          </cell>
        </row>
        <row r="234">
          <cell r="A234" t="str">
            <v>A-SH02-06F01B</v>
          </cell>
          <cell r="C234" t="str">
            <v>수출</v>
          </cell>
          <cell r="D234" t="str">
            <v>(일본) 시라꼬 해바라기씨유 돌김자반80G*3봉 240개</v>
          </cell>
          <cell r="F234">
            <v>10</v>
          </cell>
          <cell r="G234" t="str">
            <v>제품</v>
          </cell>
        </row>
        <row r="235">
          <cell r="A235" t="str">
            <v>B-SV02-01E01A</v>
          </cell>
          <cell r="C235" t="str">
            <v>수출</v>
          </cell>
          <cell r="D235" t="str">
            <v>(일본) 일본세븐 예맛제팬 펀칭도시락6P</v>
          </cell>
          <cell r="F235">
            <v>12</v>
          </cell>
          <cell r="G235" t="str">
            <v>상품</v>
          </cell>
        </row>
        <row r="236">
          <cell r="A236" t="str">
            <v>B-SV02-01E02A</v>
          </cell>
          <cell r="C236" t="str">
            <v>수출</v>
          </cell>
          <cell r="D236" t="str">
            <v>(일본) 일본세븐 시라꼬 펀칭도시락6P</v>
          </cell>
          <cell r="F236">
            <v>12</v>
          </cell>
          <cell r="G236" t="str">
            <v>상품</v>
          </cell>
        </row>
        <row r="237">
          <cell r="A237" t="str">
            <v>A-SV02-01E01A</v>
          </cell>
          <cell r="C237" t="str">
            <v>수출</v>
          </cell>
          <cell r="D237" t="str">
            <v>(일본) 일본세븐 예맛제팬 펀칭도시락6P</v>
          </cell>
          <cell r="F237">
            <v>12</v>
          </cell>
          <cell r="G237" t="str">
            <v>제품</v>
          </cell>
        </row>
        <row r="238">
          <cell r="A238" t="str">
            <v>A-IY02-01E01A</v>
          </cell>
          <cell r="C238" t="str">
            <v>수출</v>
          </cell>
          <cell r="D238" t="str">
            <v>(일본) 이와사키 재래도시락3P</v>
          </cell>
          <cell r="F238">
            <v>24</v>
          </cell>
          <cell r="G238" t="str">
            <v>제품</v>
          </cell>
        </row>
        <row r="239">
          <cell r="A239" t="str">
            <v>A-IY02-03K01A</v>
          </cell>
          <cell r="C239" t="str">
            <v>수출</v>
          </cell>
          <cell r="D239" t="str">
            <v>(일본) 이와사키 옥돌미니도시락8P</v>
          </cell>
          <cell r="F239">
            <v>30</v>
          </cell>
          <cell r="G239" t="str">
            <v>제품</v>
          </cell>
        </row>
        <row r="240">
          <cell r="A240" t="str">
            <v>B-IY02-03K01A</v>
          </cell>
          <cell r="C240" t="str">
            <v>수출</v>
          </cell>
          <cell r="D240" t="str">
            <v>(일본) 이와사키 옥돌미니도시락8P</v>
          </cell>
          <cell r="F240">
            <v>30</v>
          </cell>
          <cell r="G240" t="str">
            <v>상품</v>
          </cell>
        </row>
        <row r="241">
          <cell r="A241" t="str">
            <v>A-TT08-01E01A</v>
          </cell>
          <cell r="C241" t="str">
            <v>수출</v>
          </cell>
          <cell r="D241" t="str">
            <v>(캐나다) T＆T 재래도시락3P</v>
          </cell>
          <cell r="F241">
            <v>24</v>
          </cell>
          <cell r="G241" t="str">
            <v>제품</v>
          </cell>
        </row>
        <row r="242">
          <cell r="A242" t="str">
            <v>A-TT08-01E01B</v>
          </cell>
          <cell r="C242" t="str">
            <v>수출</v>
          </cell>
          <cell r="D242" t="str">
            <v>(캐나다) T＆T 포도씨유 재래도시락12P</v>
          </cell>
          <cell r="F242">
            <v>12</v>
          </cell>
          <cell r="G242" t="str">
            <v>제품</v>
          </cell>
        </row>
        <row r="243">
          <cell r="A243" t="str">
            <v>A-TT08-01E02A</v>
          </cell>
          <cell r="C243" t="str">
            <v>수출</v>
          </cell>
          <cell r="D243" t="str">
            <v>(캐나다) T＆T 재래도시락12P</v>
          </cell>
          <cell r="F243">
            <v>12</v>
          </cell>
          <cell r="G243" t="str">
            <v>제품</v>
          </cell>
        </row>
        <row r="244">
          <cell r="A244" t="str">
            <v>A-TT09-01E03A</v>
          </cell>
          <cell r="C244" t="str">
            <v>수출</v>
          </cell>
          <cell r="D244" t="str">
            <v>(미국) T&amp;T 재래도시락 12P</v>
          </cell>
          <cell r="F244">
            <v>12</v>
          </cell>
          <cell r="G244" t="str">
            <v>제품</v>
          </cell>
        </row>
        <row r="245">
          <cell r="A245" t="str">
            <v>A-TT09-01E03B</v>
          </cell>
          <cell r="C245" t="str">
            <v>수출</v>
          </cell>
          <cell r="D245" t="str">
            <v>(미국) T&amp;T 포도씨유 재래도시락 12P</v>
          </cell>
          <cell r="F245">
            <v>12</v>
          </cell>
          <cell r="G245" t="str">
            <v>제품</v>
          </cell>
        </row>
        <row r="246">
          <cell r="A246" t="str">
            <v>B-HP02-02D01A</v>
          </cell>
          <cell r="C246" t="str">
            <v>수출</v>
          </cell>
          <cell r="D246" t="str">
            <v>(일본) 해피식품 두번구운김밥김 10매</v>
          </cell>
          <cell r="F246">
            <v>100</v>
          </cell>
          <cell r="G246" t="str">
            <v>상품</v>
          </cell>
        </row>
        <row r="247">
          <cell r="A247" t="str">
            <v>A-HP02-02D01A</v>
          </cell>
          <cell r="C247" t="str">
            <v>수출</v>
          </cell>
          <cell r="D247" t="str">
            <v>(일본) 해피식품 두번구운김밥김 10매</v>
          </cell>
          <cell r="F247">
            <v>100</v>
          </cell>
          <cell r="G247" t="str">
            <v>제품</v>
          </cell>
        </row>
        <row r="248">
          <cell r="A248" t="str">
            <v>B-HP02-02D02A</v>
          </cell>
          <cell r="C248" t="str">
            <v>수출</v>
          </cell>
          <cell r="D248" t="str">
            <v>(일본) 해피식품 두번구운김밥김 100매</v>
          </cell>
          <cell r="F248">
            <v>10</v>
          </cell>
          <cell r="G248" t="str">
            <v>상품</v>
          </cell>
        </row>
        <row r="249">
          <cell r="A249" t="str">
            <v>A-HP02-02D02A</v>
          </cell>
          <cell r="C249" t="str">
            <v>수출</v>
          </cell>
          <cell r="D249" t="str">
            <v>(일본) 해피식품 두번구운김밥김 100매</v>
          </cell>
          <cell r="F249">
            <v>10</v>
          </cell>
          <cell r="G249" t="str">
            <v>제품</v>
          </cell>
        </row>
        <row r="250">
          <cell r="A250" t="str">
            <v>A-HP02-01E01A</v>
          </cell>
          <cell r="C250" t="str">
            <v>수출</v>
          </cell>
          <cell r="D250" t="str">
            <v>(일본) 해피식품 재래도시락6봉*12</v>
          </cell>
          <cell r="F250">
            <v>12</v>
          </cell>
          <cell r="G250" t="str">
            <v>제품</v>
          </cell>
        </row>
        <row r="251">
          <cell r="A251" t="str">
            <v>A-HP02-01E02A</v>
          </cell>
          <cell r="C251" t="str">
            <v>수출</v>
          </cell>
          <cell r="D251" t="str">
            <v>(일본) 해피식품 재래도시락12봉*6</v>
          </cell>
          <cell r="F251">
            <v>6</v>
          </cell>
          <cell r="G251" t="str">
            <v>제품</v>
          </cell>
        </row>
        <row r="252">
          <cell r="A252" t="str">
            <v>A-HP02-01E03A</v>
          </cell>
          <cell r="C252" t="str">
            <v>수출</v>
          </cell>
          <cell r="D252" t="str">
            <v>(일본) 해피식품 재래도시락3봉*24</v>
          </cell>
          <cell r="F252">
            <v>24</v>
          </cell>
          <cell r="G252" t="str">
            <v>제품</v>
          </cell>
        </row>
        <row r="253">
          <cell r="A253" t="str">
            <v>A-HP02-01C01A</v>
          </cell>
          <cell r="C253" t="str">
            <v>수출</v>
          </cell>
          <cell r="D253" t="str">
            <v>(일본) 해피식품 재래전장16g 5매*3봉</v>
          </cell>
          <cell r="F253">
            <v>12</v>
          </cell>
          <cell r="G253" t="str">
            <v>제품</v>
          </cell>
        </row>
        <row r="254">
          <cell r="A254" t="str">
            <v>B-HP02-01C01A</v>
          </cell>
          <cell r="C254" t="str">
            <v>수출</v>
          </cell>
          <cell r="D254" t="str">
            <v>(일본) 해피식품 재래전장16g 5매*3봉</v>
          </cell>
          <cell r="F254">
            <v>12</v>
          </cell>
          <cell r="G254" t="str">
            <v>상품</v>
          </cell>
        </row>
        <row r="255">
          <cell r="A255" t="str">
            <v>A-HL04-01E01A</v>
          </cell>
          <cell r="C255" t="str">
            <v>수출</v>
          </cell>
          <cell r="D255" t="str">
            <v>(대만) 할머니정성 수니쿡재래김4.5g*6p</v>
          </cell>
          <cell r="F255">
            <v>12</v>
          </cell>
          <cell r="G255" t="str">
            <v>제품</v>
          </cell>
        </row>
        <row r="256">
          <cell r="A256" t="str">
            <v>A-CO09-04A01A</v>
          </cell>
          <cell r="C256" t="str">
            <v>수출</v>
          </cell>
          <cell r="D256" t="str">
            <v xml:space="preserve">(미국) 구운곱창돌김식탁김17g*10P </v>
          </cell>
          <cell r="F256">
            <v>10</v>
          </cell>
          <cell r="G256" t="str">
            <v>제품</v>
          </cell>
        </row>
        <row r="257">
          <cell r="A257" t="str">
            <v>A-BS02-01E02A</v>
          </cell>
          <cell r="B257" t="str">
            <v>00610</v>
          </cell>
          <cell r="C257" t="str">
            <v>간접</v>
          </cell>
          <cell r="D257" t="str">
            <v>(일본) (고아사) 니꼬니꼬 재래도시락3봉</v>
          </cell>
          <cell r="F257">
            <v>10</v>
          </cell>
          <cell r="G257" t="str">
            <v>제품</v>
          </cell>
        </row>
        <row r="258">
          <cell r="A258" t="str">
            <v>A-BS02-01E01A</v>
          </cell>
          <cell r="B258" t="str">
            <v>00610</v>
          </cell>
          <cell r="C258" t="str">
            <v>간접</v>
          </cell>
          <cell r="D258" t="str">
            <v>(일본) (고아사) 니꼬니꼬 재래도시락2봉</v>
          </cell>
          <cell r="F258">
            <v>10</v>
          </cell>
          <cell r="G258" t="str">
            <v>제품</v>
          </cell>
        </row>
        <row r="259">
          <cell r="A259" t="str">
            <v>A-YM03-01E01A</v>
          </cell>
          <cell r="B259" t="str">
            <v>00105</v>
          </cell>
          <cell r="C259" t="str">
            <v>예맛식품</v>
          </cell>
          <cell r="D259" t="str">
            <v>샘스용_키즈도시락7.5g</v>
          </cell>
          <cell r="F259">
            <v>6</v>
          </cell>
          <cell r="G259" t="str">
            <v>외주</v>
          </cell>
        </row>
        <row r="260">
          <cell r="A260" t="str">
            <v>C-YM03-01E01A</v>
          </cell>
          <cell r="B260" t="str">
            <v>00105</v>
          </cell>
          <cell r="C260" t="str">
            <v>예맛식품</v>
          </cell>
          <cell r="D260" t="str">
            <v>샘스용_키즈도시락7.5g</v>
          </cell>
          <cell r="F260">
            <v>6</v>
          </cell>
          <cell r="G260" t="str">
            <v>외주</v>
          </cell>
        </row>
        <row r="261">
          <cell r="A261" t="str">
            <v>C-SC01-01E01A</v>
          </cell>
          <cell r="B261" t="str">
            <v>00611</v>
          </cell>
          <cell r="C261" t="str">
            <v>신안씨푸드</v>
          </cell>
          <cell r="D261" t="str">
            <v>(캐나다) T＆T 재래도시락3P</v>
          </cell>
          <cell r="F261">
            <v>24</v>
          </cell>
          <cell r="G261" t="str">
            <v>외주</v>
          </cell>
        </row>
        <row r="262">
          <cell r="A262" t="str">
            <v>C-SC01-01E02A</v>
          </cell>
          <cell r="B262" t="str">
            <v>00611</v>
          </cell>
          <cell r="C262" t="str">
            <v>신안씨푸드</v>
          </cell>
          <cell r="D262" t="str">
            <v>(캐나다) T＆T 포도씨유 재래도시락12P</v>
          </cell>
          <cell r="F262">
            <v>12</v>
          </cell>
          <cell r="G262" t="str">
            <v>외주</v>
          </cell>
        </row>
        <row r="263">
          <cell r="A263" t="str">
            <v>C-SC01-01E02B</v>
          </cell>
          <cell r="B263" t="str">
            <v>00611</v>
          </cell>
          <cell r="C263" t="str">
            <v>신안씨푸드</v>
          </cell>
          <cell r="D263" t="str">
            <v>(캐나다) T＆T 재래도시락12P</v>
          </cell>
          <cell r="F263">
            <v>12</v>
          </cell>
          <cell r="G263" t="str">
            <v>외주</v>
          </cell>
        </row>
        <row r="264">
          <cell r="A264" t="str">
            <v>C-SV04-01E01A</v>
          </cell>
          <cell r="B264" t="str">
            <v>00611</v>
          </cell>
          <cell r="C264" t="str">
            <v>신안씨푸드</v>
          </cell>
          <cell r="D264" t="str">
            <v>(대만) 세븐 한국전통도시락4.4g*3P</v>
          </cell>
          <cell r="F264">
            <v>24</v>
          </cell>
          <cell r="G264" t="str">
            <v>외주</v>
          </cell>
        </row>
        <row r="266">
          <cell r="A266" t="str">
            <v>A-증정품-00000S</v>
          </cell>
          <cell r="C266" t="str">
            <v>예맛</v>
          </cell>
          <cell r="D266" t="str">
            <v>A-제품증정</v>
          </cell>
          <cell r="F266">
            <v>1</v>
          </cell>
          <cell r="G266" t="str">
            <v>증정</v>
          </cell>
        </row>
        <row r="267">
          <cell r="A267" t="str">
            <v>B-증정품-00000S</v>
          </cell>
          <cell r="C267" t="str">
            <v>예맛</v>
          </cell>
          <cell r="D267" t="str">
            <v>B-상품증정</v>
          </cell>
          <cell r="F267">
            <v>1</v>
          </cell>
          <cell r="G267" t="str">
            <v>증정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4"/>
  <sheetViews>
    <sheetView zoomScaleNormal="100" zoomScaleSheetLayoutView="75" workbookViewId="0">
      <pane ySplit="3" topLeftCell="A202" activePane="bottomLeft" state="frozen"/>
      <selection pane="bottomLeft" activeCell="E13" sqref="E13"/>
    </sheetView>
  </sheetViews>
  <sheetFormatPr defaultColWidth="9" defaultRowHeight="16.5"/>
  <cols>
    <col min="1" max="1" width="15.875" style="18" customWidth="1"/>
    <col min="2" max="2" width="10.625" style="18" customWidth="1"/>
    <col min="3" max="3" width="22.125" style="19" customWidth="1"/>
    <col min="4" max="4" width="16.875" style="81" customWidth="1"/>
    <col min="5" max="5" width="44.25" style="82" bestFit="1" customWidth="1"/>
    <col min="6" max="6" width="15.875" style="18" customWidth="1"/>
    <col min="7" max="9" width="9" style="19"/>
    <col min="10" max="10" width="9.375" style="19" bestFit="1" customWidth="1"/>
    <col min="11" max="16384" width="9" style="19"/>
  </cols>
  <sheetData>
    <row r="1" spans="1:10" ht="20.25">
      <c r="B1" s="107" t="s">
        <v>777</v>
      </c>
      <c r="D1" s="83"/>
      <c r="E1" s="108" t="s">
        <v>778</v>
      </c>
      <c r="F1" s="109">
        <f>COUNTA(A4:A323)</f>
        <v>318</v>
      </c>
      <c r="G1" s="109"/>
      <c r="H1" s="110"/>
      <c r="I1" s="100"/>
      <c r="J1" s="109"/>
    </row>
    <row r="2" spans="1:10" ht="17.25" thickBot="1">
      <c r="G2" s="18"/>
      <c r="H2" s="111"/>
      <c r="I2" s="101"/>
      <c r="J2" s="101"/>
    </row>
    <row r="3" spans="1:10" s="18" customFormat="1">
      <c r="A3" s="112" t="s">
        <v>779</v>
      </c>
      <c r="B3" s="113" t="s">
        <v>5</v>
      </c>
      <c r="C3" s="113" t="s">
        <v>780</v>
      </c>
      <c r="D3" s="114" t="s">
        <v>781</v>
      </c>
      <c r="E3" s="115" t="s">
        <v>782</v>
      </c>
      <c r="F3" s="113" t="s">
        <v>783</v>
      </c>
      <c r="G3" s="113" t="s">
        <v>90</v>
      </c>
      <c r="H3" s="116" t="s">
        <v>89</v>
      </c>
      <c r="I3" s="102" t="s">
        <v>784</v>
      </c>
      <c r="J3" s="117" t="s">
        <v>865</v>
      </c>
    </row>
    <row r="4" spans="1:10" s="83" customFormat="1">
      <c r="A4" s="118" t="s">
        <v>295</v>
      </c>
      <c r="B4" s="119" t="s">
        <v>285</v>
      </c>
      <c r="C4" s="119" t="s">
        <v>726</v>
      </c>
      <c r="D4" s="120" t="s">
        <v>762</v>
      </c>
      <c r="E4" s="121" t="s">
        <v>529</v>
      </c>
      <c r="F4" s="119" t="s">
        <v>709</v>
      </c>
      <c r="G4" s="119" t="s">
        <v>724</v>
      </c>
      <c r="H4" s="122" t="s">
        <v>713</v>
      </c>
      <c r="I4" s="103" t="s">
        <v>723</v>
      </c>
      <c r="J4" s="123"/>
    </row>
    <row r="5" spans="1:10" s="83" customFormat="1">
      <c r="A5" s="118" t="s">
        <v>296</v>
      </c>
      <c r="B5" s="119" t="s">
        <v>285</v>
      </c>
      <c r="C5" s="119" t="s">
        <v>726</v>
      </c>
      <c r="D5" s="120" t="s">
        <v>762</v>
      </c>
      <c r="E5" s="121" t="s">
        <v>530</v>
      </c>
      <c r="F5" s="119" t="s">
        <v>709</v>
      </c>
      <c r="G5" s="119" t="s">
        <v>724</v>
      </c>
      <c r="H5" s="122" t="s">
        <v>713</v>
      </c>
      <c r="I5" s="103" t="s">
        <v>723</v>
      </c>
      <c r="J5" s="123"/>
    </row>
    <row r="6" spans="1:10" s="83" customFormat="1">
      <c r="A6" s="118" t="s">
        <v>297</v>
      </c>
      <c r="B6" s="119" t="s">
        <v>285</v>
      </c>
      <c r="C6" s="119" t="s">
        <v>726</v>
      </c>
      <c r="D6" s="120" t="s">
        <v>762</v>
      </c>
      <c r="E6" s="121" t="s">
        <v>531</v>
      </c>
      <c r="F6" s="119" t="s">
        <v>709</v>
      </c>
      <c r="G6" s="119" t="s">
        <v>724</v>
      </c>
      <c r="H6" s="122" t="s">
        <v>713</v>
      </c>
      <c r="I6" s="103" t="s">
        <v>723</v>
      </c>
      <c r="J6" s="123"/>
    </row>
    <row r="7" spans="1:10" s="83" customFormat="1">
      <c r="A7" s="118" t="s">
        <v>298</v>
      </c>
      <c r="B7" s="119" t="s">
        <v>285</v>
      </c>
      <c r="C7" s="119" t="s">
        <v>726</v>
      </c>
      <c r="D7" s="120" t="s">
        <v>762</v>
      </c>
      <c r="E7" s="121" t="s">
        <v>532</v>
      </c>
      <c r="F7" s="119" t="s">
        <v>709</v>
      </c>
      <c r="G7" s="119" t="s">
        <v>724</v>
      </c>
      <c r="H7" s="122" t="s">
        <v>713</v>
      </c>
      <c r="I7" s="103" t="s">
        <v>723</v>
      </c>
      <c r="J7" s="123"/>
    </row>
    <row r="8" spans="1:10" s="83" customFormat="1">
      <c r="A8" s="118" t="s">
        <v>299</v>
      </c>
      <c r="B8" s="119" t="s">
        <v>285</v>
      </c>
      <c r="C8" s="119" t="s">
        <v>726</v>
      </c>
      <c r="D8" s="120" t="s">
        <v>762</v>
      </c>
      <c r="E8" s="121" t="s">
        <v>533</v>
      </c>
      <c r="F8" s="119" t="s">
        <v>709</v>
      </c>
      <c r="G8" s="119" t="s">
        <v>724</v>
      </c>
      <c r="H8" s="122" t="s">
        <v>713</v>
      </c>
      <c r="I8" s="103" t="s">
        <v>723</v>
      </c>
      <c r="J8" s="123"/>
    </row>
    <row r="9" spans="1:10" s="83" customFormat="1">
      <c r="A9" s="118" t="s">
        <v>300</v>
      </c>
      <c r="B9" s="119" t="s">
        <v>285</v>
      </c>
      <c r="C9" s="119" t="s">
        <v>726</v>
      </c>
      <c r="D9" s="120" t="s">
        <v>762</v>
      </c>
      <c r="E9" s="121" t="s">
        <v>534</v>
      </c>
      <c r="F9" s="119" t="s">
        <v>709</v>
      </c>
      <c r="G9" s="119" t="s">
        <v>724</v>
      </c>
      <c r="H9" s="122" t="s">
        <v>713</v>
      </c>
      <c r="I9" s="103" t="s">
        <v>723</v>
      </c>
      <c r="J9" s="123"/>
    </row>
    <row r="10" spans="1:10" s="83" customFormat="1">
      <c r="A10" s="118" t="s">
        <v>301</v>
      </c>
      <c r="B10" s="119" t="s">
        <v>285</v>
      </c>
      <c r="C10" s="119" t="s">
        <v>726</v>
      </c>
      <c r="D10" s="120" t="s">
        <v>762</v>
      </c>
      <c r="E10" s="121" t="s">
        <v>535</v>
      </c>
      <c r="F10" s="119" t="s">
        <v>1073</v>
      </c>
      <c r="G10" s="119" t="s">
        <v>724</v>
      </c>
      <c r="H10" s="122" t="s">
        <v>713</v>
      </c>
      <c r="I10" s="103" t="s">
        <v>723</v>
      </c>
      <c r="J10" s="123"/>
    </row>
    <row r="11" spans="1:10" s="83" customFormat="1">
      <c r="A11" s="118" t="s">
        <v>302</v>
      </c>
      <c r="B11" s="119" t="s">
        <v>285</v>
      </c>
      <c r="C11" s="119" t="s">
        <v>726</v>
      </c>
      <c r="D11" s="120" t="s">
        <v>762</v>
      </c>
      <c r="E11" s="121" t="s">
        <v>536</v>
      </c>
      <c r="F11" s="119" t="s">
        <v>1073</v>
      </c>
      <c r="G11" s="119" t="s">
        <v>724</v>
      </c>
      <c r="H11" s="122" t="s">
        <v>713</v>
      </c>
      <c r="I11" s="103" t="s">
        <v>723</v>
      </c>
      <c r="J11" s="123"/>
    </row>
    <row r="12" spans="1:10" s="83" customFormat="1">
      <c r="A12" s="118" t="s">
        <v>944</v>
      </c>
      <c r="B12" s="119" t="s">
        <v>285</v>
      </c>
      <c r="C12" s="119" t="s">
        <v>726</v>
      </c>
      <c r="D12" s="120" t="s">
        <v>762</v>
      </c>
      <c r="E12" s="121" t="s">
        <v>945</v>
      </c>
      <c r="F12" s="119" t="s">
        <v>709</v>
      </c>
      <c r="G12" s="119" t="s">
        <v>724</v>
      </c>
      <c r="H12" s="122" t="s">
        <v>713</v>
      </c>
      <c r="I12" s="103" t="s">
        <v>723</v>
      </c>
      <c r="J12" s="123"/>
    </row>
    <row r="13" spans="1:10" s="83" customFormat="1">
      <c r="A13" s="118" t="s">
        <v>946</v>
      </c>
      <c r="B13" s="119" t="s">
        <v>285</v>
      </c>
      <c r="C13" s="119" t="s">
        <v>726</v>
      </c>
      <c r="D13" s="120" t="s">
        <v>762</v>
      </c>
      <c r="E13" s="121" t="s">
        <v>947</v>
      </c>
      <c r="F13" s="119" t="s">
        <v>709</v>
      </c>
      <c r="G13" s="119" t="s">
        <v>724</v>
      </c>
      <c r="H13" s="122" t="s">
        <v>713</v>
      </c>
      <c r="I13" s="103" t="s">
        <v>723</v>
      </c>
      <c r="J13" s="123"/>
    </row>
    <row r="14" spans="1:10" s="83" customFormat="1">
      <c r="A14" s="118" t="s">
        <v>948</v>
      </c>
      <c r="B14" s="119" t="s">
        <v>285</v>
      </c>
      <c r="C14" s="119" t="s">
        <v>726</v>
      </c>
      <c r="D14" s="120" t="s">
        <v>762</v>
      </c>
      <c r="E14" s="121" t="s">
        <v>949</v>
      </c>
      <c r="F14" s="119" t="s">
        <v>709</v>
      </c>
      <c r="G14" s="119" t="s">
        <v>724</v>
      </c>
      <c r="H14" s="122" t="s">
        <v>713</v>
      </c>
      <c r="I14" s="103" t="s">
        <v>723</v>
      </c>
      <c r="J14" s="123"/>
    </row>
    <row r="15" spans="1:10" s="83" customFormat="1">
      <c r="A15" s="118" t="s">
        <v>1125</v>
      </c>
      <c r="B15" s="119" t="s">
        <v>285</v>
      </c>
      <c r="C15" s="119" t="s">
        <v>726</v>
      </c>
      <c r="D15" s="120" t="s">
        <v>762</v>
      </c>
      <c r="E15" s="121" t="s">
        <v>1126</v>
      </c>
      <c r="F15" s="119" t="s">
        <v>709</v>
      </c>
      <c r="G15" s="119" t="s">
        <v>724</v>
      </c>
      <c r="H15" s="122" t="s">
        <v>713</v>
      </c>
      <c r="I15" s="103" t="s">
        <v>723</v>
      </c>
      <c r="J15" s="123"/>
    </row>
    <row r="16" spans="1:10" s="83" customFormat="1">
      <c r="A16" s="118" t="s">
        <v>303</v>
      </c>
      <c r="B16" s="119" t="s">
        <v>285</v>
      </c>
      <c r="C16" s="119" t="s">
        <v>126</v>
      </c>
      <c r="D16" s="120" t="s">
        <v>763</v>
      </c>
      <c r="E16" s="121" t="s">
        <v>950</v>
      </c>
      <c r="F16" s="119" t="s">
        <v>925</v>
      </c>
      <c r="G16" s="119" t="s">
        <v>714</v>
      </c>
      <c r="H16" s="119" t="s">
        <v>290</v>
      </c>
      <c r="I16" s="124" t="s">
        <v>785</v>
      </c>
      <c r="J16" s="123">
        <v>551</v>
      </c>
    </row>
    <row r="17" spans="1:10" s="83" customFormat="1">
      <c r="A17" s="118" t="s">
        <v>304</v>
      </c>
      <c r="B17" s="119" t="s">
        <v>285</v>
      </c>
      <c r="C17" s="119" t="s">
        <v>131</v>
      </c>
      <c r="D17" s="120" t="s">
        <v>763</v>
      </c>
      <c r="E17" s="121" t="s">
        <v>537</v>
      </c>
      <c r="F17" s="119" t="s">
        <v>925</v>
      </c>
      <c r="G17" s="119" t="s">
        <v>715</v>
      </c>
      <c r="H17" s="119" t="s">
        <v>291</v>
      </c>
      <c r="I17" s="124" t="s">
        <v>755</v>
      </c>
      <c r="J17" s="123">
        <v>388</v>
      </c>
    </row>
    <row r="18" spans="1:10" s="83" customFormat="1">
      <c r="A18" s="118" t="s">
        <v>305</v>
      </c>
      <c r="B18" s="119" t="s">
        <v>285</v>
      </c>
      <c r="C18" s="119" t="s">
        <v>133</v>
      </c>
      <c r="D18" s="120" t="s">
        <v>763</v>
      </c>
      <c r="E18" s="121" t="s">
        <v>951</v>
      </c>
      <c r="F18" s="119" t="s">
        <v>1073</v>
      </c>
      <c r="G18" s="119" t="s">
        <v>714</v>
      </c>
      <c r="H18" s="119" t="s">
        <v>290</v>
      </c>
      <c r="I18" s="124" t="s">
        <v>785</v>
      </c>
      <c r="J18" s="123">
        <v>9975</v>
      </c>
    </row>
    <row r="19" spans="1:10" s="83" customFormat="1">
      <c r="A19" s="118" t="s">
        <v>306</v>
      </c>
      <c r="B19" s="119" t="s">
        <v>285</v>
      </c>
      <c r="C19" s="119" t="s">
        <v>133</v>
      </c>
      <c r="D19" s="120" t="s">
        <v>763</v>
      </c>
      <c r="E19" s="121" t="s">
        <v>538</v>
      </c>
      <c r="F19" s="119" t="s">
        <v>1073</v>
      </c>
      <c r="G19" s="119" t="s">
        <v>718</v>
      </c>
      <c r="H19" s="119" t="s">
        <v>294</v>
      </c>
      <c r="I19" s="124" t="s">
        <v>786</v>
      </c>
      <c r="J19" s="123">
        <v>5040</v>
      </c>
    </row>
    <row r="20" spans="1:10" s="83" customFormat="1">
      <c r="A20" s="118" t="s">
        <v>307</v>
      </c>
      <c r="B20" s="119" t="s">
        <v>285</v>
      </c>
      <c r="C20" s="119" t="s">
        <v>151</v>
      </c>
      <c r="D20" s="120" t="s">
        <v>763</v>
      </c>
      <c r="E20" s="121" t="s">
        <v>539</v>
      </c>
      <c r="F20" s="119" t="s">
        <v>1073</v>
      </c>
      <c r="G20" s="119" t="s">
        <v>714</v>
      </c>
      <c r="H20" s="119" t="s">
        <v>290</v>
      </c>
      <c r="I20" s="124" t="s">
        <v>785</v>
      </c>
      <c r="J20" s="123">
        <v>18260</v>
      </c>
    </row>
    <row r="21" spans="1:10" s="83" customFormat="1">
      <c r="A21" s="118" t="s">
        <v>308</v>
      </c>
      <c r="B21" s="119" t="s">
        <v>285</v>
      </c>
      <c r="C21" s="119" t="s">
        <v>727</v>
      </c>
      <c r="D21" s="120" t="s">
        <v>763</v>
      </c>
      <c r="E21" s="121" t="s">
        <v>540</v>
      </c>
      <c r="F21" s="119" t="s">
        <v>710</v>
      </c>
      <c r="G21" s="119" t="s">
        <v>718</v>
      </c>
      <c r="H21" s="119" t="s">
        <v>294</v>
      </c>
      <c r="I21" s="124" t="s">
        <v>786</v>
      </c>
      <c r="J21" s="123">
        <v>8792</v>
      </c>
    </row>
    <row r="22" spans="1:10" s="83" customFormat="1">
      <c r="A22" s="118" t="s">
        <v>309</v>
      </c>
      <c r="B22" s="119" t="s">
        <v>285</v>
      </c>
      <c r="C22" s="119" t="s">
        <v>727</v>
      </c>
      <c r="D22" s="120" t="s">
        <v>764</v>
      </c>
      <c r="E22" s="121" t="s">
        <v>541</v>
      </c>
      <c r="F22" s="119" t="s">
        <v>1073</v>
      </c>
      <c r="G22" s="119"/>
      <c r="H22" s="119" t="s">
        <v>754</v>
      </c>
      <c r="I22" s="124" t="s">
        <v>754</v>
      </c>
      <c r="J22" s="123">
        <v>222338</v>
      </c>
    </row>
    <row r="23" spans="1:10" s="83" customFormat="1">
      <c r="A23" s="118" t="s">
        <v>310</v>
      </c>
      <c r="B23" s="119" t="s">
        <v>285</v>
      </c>
      <c r="C23" s="119" t="s">
        <v>140</v>
      </c>
      <c r="D23" s="120" t="s">
        <v>764</v>
      </c>
      <c r="E23" s="121" t="s">
        <v>542</v>
      </c>
      <c r="F23" s="119" t="s">
        <v>1073</v>
      </c>
      <c r="G23" s="119" t="s">
        <v>718</v>
      </c>
      <c r="H23" s="119" t="s">
        <v>294</v>
      </c>
      <c r="I23" s="124" t="s">
        <v>786</v>
      </c>
      <c r="J23" s="123">
        <v>216240</v>
      </c>
    </row>
    <row r="24" spans="1:10" s="83" customFormat="1">
      <c r="A24" s="118" t="s">
        <v>311</v>
      </c>
      <c r="B24" s="119" t="s">
        <v>285</v>
      </c>
      <c r="C24" s="119" t="s">
        <v>124</v>
      </c>
      <c r="D24" s="120" t="s">
        <v>764</v>
      </c>
      <c r="E24" s="121" t="s">
        <v>543</v>
      </c>
      <c r="F24" s="119" t="s">
        <v>1073</v>
      </c>
      <c r="G24" s="119" t="s">
        <v>714</v>
      </c>
      <c r="H24" s="119" t="s">
        <v>290</v>
      </c>
      <c r="I24" s="124" t="s">
        <v>785</v>
      </c>
      <c r="J24" s="123">
        <v>456654</v>
      </c>
    </row>
    <row r="25" spans="1:10" s="83" customFormat="1">
      <c r="A25" s="118" t="s">
        <v>312</v>
      </c>
      <c r="B25" s="119" t="s">
        <v>285</v>
      </c>
      <c r="C25" s="119" t="s">
        <v>158</v>
      </c>
      <c r="D25" s="120" t="s">
        <v>764</v>
      </c>
      <c r="E25" s="121" t="s">
        <v>952</v>
      </c>
      <c r="F25" s="119" t="s">
        <v>1066</v>
      </c>
      <c r="G25" s="119" t="s">
        <v>714</v>
      </c>
      <c r="H25" s="119" t="s">
        <v>290</v>
      </c>
      <c r="I25" s="124" t="s">
        <v>785</v>
      </c>
      <c r="J25" s="123">
        <v>3176</v>
      </c>
    </row>
    <row r="26" spans="1:10" s="83" customFormat="1">
      <c r="A26" s="118" t="s">
        <v>313</v>
      </c>
      <c r="B26" s="119" t="s">
        <v>285</v>
      </c>
      <c r="C26" s="119" t="s">
        <v>124</v>
      </c>
      <c r="D26" s="120" t="s">
        <v>764</v>
      </c>
      <c r="E26" s="121" t="s">
        <v>953</v>
      </c>
      <c r="F26" s="119" t="s">
        <v>1066</v>
      </c>
      <c r="G26" s="119" t="s">
        <v>715</v>
      </c>
      <c r="H26" s="119" t="s">
        <v>291</v>
      </c>
      <c r="I26" s="124" t="s">
        <v>755</v>
      </c>
      <c r="J26" s="123">
        <v>6510</v>
      </c>
    </row>
    <row r="27" spans="1:10" s="83" customFormat="1">
      <c r="A27" s="118" t="s">
        <v>314</v>
      </c>
      <c r="B27" s="119" t="s">
        <v>285</v>
      </c>
      <c r="C27" s="119" t="s">
        <v>133</v>
      </c>
      <c r="D27" s="120" t="s">
        <v>764</v>
      </c>
      <c r="E27" s="121" t="s">
        <v>544</v>
      </c>
      <c r="F27" s="119" t="s">
        <v>1073</v>
      </c>
      <c r="G27" s="119" t="s">
        <v>714</v>
      </c>
      <c r="H27" s="119" t="s">
        <v>290</v>
      </c>
      <c r="I27" s="124" t="s">
        <v>785</v>
      </c>
      <c r="J27" s="123">
        <v>39900</v>
      </c>
    </row>
    <row r="28" spans="1:10" s="83" customFormat="1">
      <c r="A28" s="118" t="s">
        <v>315</v>
      </c>
      <c r="B28" s="119" t="s">
        <v>285</v>
      </c>
      <c r="C28" s="119" t="s">
        <v>131</v>
      </c>
      <c r="D28" s="120" t="s">
        <v>764</v>
      </c>
      <c r="E28" s="121" t="s">
        <v>954</v>
      </c>
      <c r="F28" s="119" t="s">
        <v>1073</v>
      </c>
      <c r="G28" s="119" t="s">
        <v>714</v>
      </c>
      <c r="H28" s="119" t="s">
        <v>290</v>
      </c>
      <c r="I28" s="124" t="s">
        <v>785</v>
      </c>
      <c r="J28" s="123">
        <v>181560</v>
      </c>
    </row>
    <row r="29" spans="1:10" s="83" customFormat="1">
      <c r="A29" s="118" t="s">
        <v>316</v>
      </c>
      <c r="B29" s="119" t="s">
        <v>285</v>
      </c>
      <c r="C29" s="119" t="s">
        <v>131</v>
      </c>
      <c r="D29" s="120" t="s">
        <v>764</v>
      </c>
      <c r="E29" s="121" t="s">
        <v>545</v>
      </c>
      <c r="F29" s="119" t="s">
        <v>1073</v>
      </c>
      <c r="G29" s="119" t="s">
        <v>714</v>
      </c>
      <c r="H29" s="119" t="s">
        <v>290</v>
      </c>
      <c r="I29" s="124" t="s">
        <v>785</v>
      </c>
      <c r="J29" s="123">
        <v>239400</v>
      </c>
    </row>
    <row r="30" spans="1:10" s="83" customFormat="1">
      <c r="A30" s="118" t="s">
        <v>317</v>
      </c>
      <c r="B30" s="119" t="s">
        <v>285</v>
      </c>
      <c r="C30" s="119" t="s">
        <v>131</v>
      </c>
      <c r="D30" s="120" t="s">
        <v>764</v>
      </c>
      <c r="E30" s="121" t="s">
        <v>546</v>
      </c>
      <c r="F30" s="119" t="s">
        <v>1065</v>
      </c>
      <c r="G30" s="119" t="s">
        <v>718</v>
      </c>
      <c r="H30" s="119" t="s">
        <v>294</v>
      </c>
      <c r="I30" s="124" t="s">
        <v>786</v>
      </c>
      <c r="J30" s="123">
        <v>64000</v>
      </c>
    </row>
    <row r="31" spans="1:10" s="83" customFormat="1">
      <c r="A31" s="118" t="s">
        <v>318</v>
      </c>
      <c r="B31" s="119" t="s">
        <v>283</v>
      </c>
      <c r="C31" s="146" t="s">
        <v>1099</v>
      </c>
      <c r="D31" s="120" t="s">
        <v>765</v>
      </c>
      <c r="E31" s="121" t="s">
        <v>787</v>
      </c>
      <c r="F31" s="119" t="s">
        <v>1067</v>
      </c>
      <c r="G31" s="119" t="s">
        <v>717</v>
      </c>
      <c r="H31" s="119" t="s">
        <v>293</v>
      </c>
      <c r="I31" s="124" t="s">
        <v>788</v>
      </c>
      <c r="J31" s="123">
        <v>168810</v>
      </c>
    </row>
    <row r="32" spans="1:10" s="83" customFormat="1">
      <c r="A32" s="118" t="s">
        <v>319</v>
      </c>
      <c r="B32" s="119" t="s">
        <v>283</v>
      </c>
      <c r="C32" s="119" t="s">
        <v>125</v>
      </c>
      <c r="D32" s="120" t="s">
        <v>765</v>
      </c>
      <c r="E32" s="121" t="s">
        <v>955</v>
      </c>
      <c r="F32" s="119" t="s">
        <v>1067</v>
      </c>
      <c r="G32" s="119" t="s">
        <v>714</v>
      </c>
      <c r="H32" s="119" t="s">
        <v>290</v>
      </c>
      <c r="I32" s="124" t="s">
        <v>785</v>
      </c>
      <c r="J32" s="123">
        <v>176400</v>
      </c>
    </row>
    <row r="33" spans="1:10" s="83" customFormat="1">
      <c r="A33" s="118" t="s">
        <v>320</v>
      </c>
      <c r="B33" s="119" t="s">
        <v>283</v>
      </c>
      <c r="C33" s="119" t="s">
        <v>132</v>
      </c>
      <c r="D33" s="120" t="s">
        <v>765</v>
      </c>
      <c r="E33" s="121" t="s">
        <v>1100</v>
      </c>
      <c r="F33" s="119" t="s">
        <v>1067</v>
      </c>
      <c r="G33" s="119" t="s">
        <v>714</v>
      </c>
      <c r="H33" s="119" t="s">
        <v>290</v>
      </c>
      <c r="I33" s="124" t="s">
        <v>785</v>
      </c>
      <c r="J33" s="123">
        <v>183750</v>
      </c>
    </row>
    <row r="34" spans="1:10" s="83" customFormat="1">
      <c r="A34" s="118" t="s">
        <v>321</v>
      </c>
      <c r="B34" s="119" t="s">
        <v>283</v>
      </c>
      <c r="C34" s="119" t="s">
        <v>122</v>
      </c>
      <c r="D34" s="120" t="s">
        <v>765</v>
      </c>
      <c r="E34" s="121" t="s">
        <v>1101</v>
      </c>
      <c r="F34" s="119" t="s">
        <v>1067</v>
      </c>
      <c r="G34" s="119" t="s">
        <v>717</v>
      </c>
      <c r="H34" s="119" t="s">
        <v>293</v>
      </c>
      <c r="I34" s="124" t="s">
        <v>788</v>
      </c>
      <c r="J34" s="123">
        <v>182070</v>
      </c>
    </row>
    <row r="35" spans="1:10" s="83" customFormat="1">
      <c r="A35" s="118" t="s">
        <v>322</v>
      </c>
      <c r="B35" s="119" t="s">
        <v>283</v>
      </c>
      <c r="C35" s="119" t="s">
        <v>125</v>
      </c>
      <c r="D35" s="120" t="s">
        <v>765</v>
      </c>
      <c r="E35" s="121" t="s">
        <v>956</v>
      </c>
      <c r="F35" s="119" t="s">
        <v>1067</v>
      </c>
      <c r="G35" s="119" t="s">
        <v>716</v>
      </c>
      <c r="H35" s="119" t="s">
        <v>292</v>
      </c>
      <c r="I35" s="124" t="s">
        <v>753</v>
      </c>
      <c r="J35" s="123">
        <v>148785</v>
      </c>
    </row>
    <row r="36" spans="1:10" s="83" customFormat="1">
      <c r="A36" s="118" t="s">
        <v>323</v>
      </c>
      <c r="B36" s="119" t="s">
        <v>283</v>
      </c>
      <c r="C36" s="146" t="s">
        <v>1102</v>
      </c>
      <c r="D36" s="120" t="s">
        <v>765</v>
      </c>
      <c r="E36" s="121" t="s">
        <v>548</v>
      </c>
      <c r="F36" s="119" t="s">
        <v>1067</v>
      </c>
      <c r="G36" s="119" t="s">
        <v>717</v>
      </c>
      <c r="H36" s="119" t="s">
        <v>293</v>
      </c>
      <c r="I36" s="124" t="s">
        <v>788</v>
      </c>
      <c r="J36" s="123">
        <v>157080</v>
      </c>
    </row>
    <row r="37" spans="1:10" s="83" customFormat="1">
      <c r="A37" s="118" t="s">
        <v>324</v>
      </c>
      <c r="B37" s="119" t="s">
        <v>283</v>
      </c>
      <c r="C37" s="119" t="s">
        <v>140</v>
      </c>
      <c r="D37" s="120" t="s">
        <v>765</v>
      </c>
      <c r="E37" s="121" t="s">
        <v>549</v>
      </c>
      <c r="F37" s="119" t="s">
        <v>1067</v>
      </c>
      <c r="G37" s="119" t="s">
        <v>716</v>
      </c>
      <c r="H37" s="119" t="s">
        <v>292</v>
      </c>
      <c r="I37" s="124" t="s">
        <v>753</v>
      </c>
      <c r="J37" s="123">
        <v>120360</v>
      </c>
    </row>
    <row r="38" spans="1:10" s="83" customFormat="1">
      <c r="A38" s="118" t="s">
        <v>325</v>
      </c>
      <c r="B38" s="119" t="s">
        <v>283</v>
      </c>
      <c r="C38" s="119" t="s">
        <v>132</v>
      </c>
      <c r="D38" s="120" t="s">
        <v>765</v>
      </c>
      <c r="E38" s="121" t="s">
        <v>550</v>
      </c>
      <c r="F38" s="119" t="s">
        <v>1067</v>
      </c>
      <c r="G38" s="119" t="s">
        <v>714</v>
      </c>
      <c r="H38" s="119" t="s">
        <v>290</v>
      </c>
      <c r="I38" s="124" t="s">
        <v>785</v>
      </c>
      <c r="J38" s="123">
        <v>208950</v>
      </c>
    </row>
    <row r="39" spans="1:10" s="83" customFormat="1">
      <c r="A39" s="118" t="s">
        <v>326</v>
      </c>
      <c r="B39" s="119" t="s">
        <v>283</v>
      </c>
      <c r="C39" s="119" t="s">
        <v>140</v>
      </c>
      <c r="D39" s="120" t="s">
        <v>765</v>
      </c>
      <c r="E39" s="121" t="s">
        <v>551</v>
      </c>
      <c r="F39" s="119" t="s">
        <v>1067</v>
      </c>
      <c r="G39" s="119" t="s">
        <v>714</v>
      </c>
      <c r="H39" s="119" t="s">
        <v>290</v>
      </c>
      <c r="I39" s="124" t="s">
        <v>785</v>
      </c>
      <c r="J39" s="123">
        <v>202980</v>
      </c>
    </row>
    <row r="40" spans="1:10" s="83" customFormat="1">
      <c r="A40" s="118" t="s">
        <v>327</v>
      </c>
      <c r="B40" s="119" t="s">
        <v>283</v>
      </c>
      <c r="C40" s="119" t="s">
        <v>125</v>
      </c>
      <c r="D40" s="120" t="s">
        <v>765</v>
      </c>
      <c r="E40" s="121" t="s">
        <v>552</v>
      </c>
      <c r="F40" s="119" t="s">
        <v>1067</v>
      </c>
      <c r="G40" s="119" t="s">
        <v>717</v>
      </c>
      <c r="H40" s="119" t="s">
        <v>293</v>
      </c>
      <c r="I40" s="124" t="s">
        <v>788</v>
      </c>
      <c r="J40" s="123">
        <v>157500</v>
      </c>
    </row>
    <row r="41" spans="1:10" s="83" customFormat="1">
      <c r="A41" s="118" t="s">
        <v>328</v>
      </c>
      <c r="B41" s="119" t="s">
        <v>283</v>
      </c>
      <c r="C41" s="119" t="s">
        <v>140</v>
      </c>
      <c r="D41" s="120" t="s">
        <v>765</v>
      </c>
      <c r="E41" s="121" t="s">
        <v>789</v>
      </c>
      <c r="F41" s="119" t="s">
        <v>1067</v>
      </c>
      <c r="G41" s="119" t="s">
        <v>717</v>
      </c>
      <c r="H41" s="119" t="s">
        <v>293</v>
      </c>
      <c r="I41" s="124" t="s">
        <v>788</v>
      </c>
      <c r="J41" s="123">
        <v>123900</v>
      </c>
    </row>
    <row r="42" spans="1:10" s="83" customFormat="1">
      <c r="A42" s="118" t="s">
        <v>329</v>
      </c>
      <c r="B42" s="119" t="s">
        <v>283</v>
      </c>
      <c r="C42" s="146" t="s">
        <v>1099</v>
      </c>
      <c r="D42" s="120" t="s">
        <v>765</v>
      </c>
      <c r="E42" s="121" t="s">
        <v>790</v>
      </c>
      <c r="F42" s="119" t="s">
        <v>1067</v>
      </c>
      <c r="G42" s="119" t="s">
        <v>717</v>
      </c>
      <c r="H42" s="119" t="s">
        <v>293</v>
      </c>
      <c r="I42" s="124" t="s">
        <v>788</v>
      </c>
      <c r="J42" s="123">
        <v>168810</v>
      </c>
    </row>
    <row r="43" spans="1:10" s="83" customFormat="1">
      <c r="A43" s="118" t="s">
        <v>330</v>
      </c>
      <c r="B43" s="119" t="s">
        <v>283</v>
      </c>
      <c r="C43" s="146" t="s">
        <v>1099</v>
      </c>
      <c r="D43" s="120" t="s">
        <v>765</v>
      </c>
      <c r="E43" s="121" t="s">
        <v>553</v>
      </c>
      <c r="F43" s="119" t="s">
        <v>1067</v>
      </c>
      <c r="G43" s="119" t="s">
        <v>717</v>
      </c>
      <c r="H43" s="119" t="s">
        <v>293</v>
      </c>
      <c r="I43" s="124" t="s">
        <v>788</v>
      </c>
      <c r="J43" s="123">
        <v>217350</v>
      </c>
    </row>
    <row r="44" spans="1:10" s="83" customFormat="1">
      <c r="A44" s="118" t="s">
        <v>331</v>
      </c>
      <c r="B44" s="119" t="s">
        <v>283</v>
      </c>
      <c r="C44" s="119" t="s">
        <v>866</v>
      </c>
      <c r="D44" s="120" t="s">
        <v>765</v>
      </c>
      <c r="E44" s="121" t="s">
        <v>554</v>
      </c>
      <c r="F44" s="119" t="s">
        <v>1067</v>
      </c>
      <c r="G44" s="119" t="s">
        <v>717</v>
      </c>
      <c r="H44" s="119" t="s">
        <v>293</v>
      </c>
      <c r="I44" s="124" t="s">
        <v>788</v>
      </c>
      <c r="J44" s="123">
        <v>266175</v>
      </c>
    </row>
    <row r="45" spans="1:10" s="83" customFormat="1">
      <c r="A45" s="118" t="s">
        <v>332</v>
      </c>
      <c r="B45" s="119" t="s">
        <v>283</v>
      </c>
      <c r="C45" s="119" t="s">
        <v>132</v>
      </c>
      <c r="D45" s="120" t="s">
        <v>765</v>
      </c>
      <c r="E45" s="121" t="s">
        <v>555</v>
      </c>
      <c r="F45" s="119" t="s">
        <v>1067</v>
      </c>
      <c r="G45" s="119" t="s">
        <v>714</v>
      </c>
      <c r="H45" s="119" t="s">
        <v>290</v>
      </c>
      <c r="I45" s="124" t="s">
        <v>785</v>
      </c>
      <c r="J45" s="123">
        <v>105</v>
      </c>
    </row>
    <row r="46" spans="1:10" s="83" customFormat="1">
      <c r="A46" s="118" t="s">
        <v>333</v>
      </c>
      <c r="B46" s="119" t="s">
        <v>283</v>
      </c>
      <c r="C46" s="119" t="s">
        <v>132</v>
      </c>
      <c r="D46" s="120" t="s">
        <v>765</v>
      </c>
      <c r="E46" s="121" t="s">
        <v>556</v>
      </c>
      <c r="F46" s="119" t="s">
        <v>1068</v>
      </c>
      <c r="G46" s="119" t="s">
        <v>719</v>
      </c>
      <c r="H46" s="119" t="s">
        <v>712</v>
      </c>
      <c r="I46" s="124" t="s">
        <v>720</v>
      </c>
      <c r="J46" s="123">
        <v>130</v>
      </c>
    </row>
    <row r="47" spans="1:10" s="83" customFormat="1">
      <c r="A47" s="118" t="s">
        <v>334</v>
      </c>
      <c r="B47" s="119" t="s">
        <v>283</v>
      </c>
      <c r="C47" s="119" t="s">
        <v>728</v>
      </c>
      <c r="D47" s="120" t="s">
        <v>765</v>
      </c>
      <c r="E47" s="121" t="s">
        <v>557</v>
      </c>
      <c r="F47" s="119" t="s">
        <v>1067</v>
      </c>
      <c r="G47" s="119" t="s">
        <v>714</v>
      </c>
      <c r="H47" s="119" t="s">
        <v>290</v>
      </c>
      <c r="I47" s="124" t="s">
        <v>785</v>
      </c>
      <c r="J47" s="123">
        <v>0</v>
      </c>
    </row>
    <row r="48" spans="1:10" s="83" customFormat="1">
      <c r="A48" s="118" t="s">
        <v>335</v>
      </c>
      <c r="B48" s="119" t="s">
        <v>283</v>
      </c>
      <c r="C48" s="119" t="s">
        <v>132</v>
      </c>
      <c r="D48" s="120" t="s">
        <v>765</v>
      </c>
      <c r="E48" s="121" t="s">
        <v>558</v>
      </c>
      <c r="F48" s="119" t="s">
        <v>1067</v>
      </c>
      <c r="G48" s="119" t="s">
        <v>714</v>
      </c>
      <c r="H48" s="119" t="s">
        <v>290</v>
      </c>
      <c r="I48" s="124" t="s">
        <v>785</v>
      </c>
      <c r="J48" s="123">
        <v>180030</v>
      </c>
    </row>
    <row r="49" spans="1:10" s="83" customFormat="1">
      <c r="A49" s="118" t="s">
        <v>336</v>
      </c>
      <c r="B49" s="119" t="s">
        <v>283</v>
      </c>
      <c r="C49" s="119" t="s">
        <v>132</v>
      </c>
      <c r="D49" s="120" t="s">
        <v>765</v>
      </c>
      <c r="E49" s="121" t="s">
        <v>559</v>
      </c>
      <c r="F49" s="119" t="s">
        <v>1067</v>
      </c>
      <c r="G49" s="119" t="s">
        <v>717</v>
      </c>
      <c r="H49" s="119" t="s">
        <v>293</v>
      </c>
      <c r="I49" s="124" t="s">
        <v>788</v>
      </c>
      <c r="J49" s="123">
        <v>147900</v>
      </c>
    </row>
    <row r="50" spans="1:10" s="83" customFormat="1">
      <c r="A50" s="118" t="s">
        <v>337</v>
      </c>
      <c r="B50" s="119" t="s">
        <v>283</v>
      </c>
      <c r="C50" s="146" t="s">
        <v>1103</v>
      </c>
      <c r="D50" s="120" t="s">
        <v>765</v>
      </c>
      <c r="E50" s="121" t="s">
        <v>560</v>
      </c>
      <c r="F50" s="119" t="s">
        <v>1067</v>
      </c>
      <c r="G50" s="119" t="s">
        <v>714</v>
      </c>
      <c r="H50" s="119" t="s">
        <v>290</v>
      </c>
      <c r="I50" s="124" t="s">
        <v>785</v>
      </c>
      <c r="J50" s="123">
        <v>173250</v>
      </c>
    </row>
    <row r="51" spans="1:10" s="83" customFormat="1">
      <c r="A51" s="118" t="s">
        <v>338</v>
      </c>
      <c r="B51" s="119" t="s">
        <v>283</v>
      </c>
      <c r="C51" s="119" t="s">
        <v>132</v>
      </c>
      <c r="D51" s="120" t="s">
        <v>765</v>
      </c>
      <c r="E51" s="121" t="s">
        <v>561</v>
      </c>
      <c r="F51" s="119" t="s">
        <v>1067</v>
      </c>
      <c r="G51" s="119" t="s">
        <v>717</v>
      </c>
      <c r="H51" s="119" t="s">
        <v>293</v>
      </c>
      <c r="I51" s="124" t="s">
        <v>788</v>
      </c>
      <c r="J51" s="123">
        <v>158025</v>
      </c>
    </row>
    <row r="52" spans="1:10" s="83" customFormat="1">
      <c r="A52" s="118" t="s">
        <v>339</v>
      </c>
      <c r="B52" s="119" t="s">
        <v>283</v>
      </c>
      <c r="C52" s="119" t="s">
        <v>122</v>
      </c>
      <c r="D52" s="120" t="s">
        <v>765</v>
      </c>
      <c r="E52" s="121" t="s">
        <v>562</v>
      </c>
      <c r="F52" s="119" t="s">
        <v>1068</v>
      </c>
      <c r="G52" s="119" t="s">
        <v>719</v>
      </c>
      <c r="H52" s="119" t="s">
        <v>712</v>
      </c>
      <c r="I52" s="124" t="s">
        <v>720</v>
      </c>
      <c r="J52" s="123">
        <v>127</v>
      </c>
    </row>
    <row r="53" spans="1:10" s="83" customFormat="1">
      <c r="A53" s="118" t="s">
        <v>340</v>
      </c>
      <c r="B53" s="119" t="s">
        <v>283</v>
      </c>
      <c r="C53" s="119" t="s">
        <v>122</v>
      </c>
      <c r="D53" s="120" t="s">
        <v>765</v>
      </c>
      <c r="E53" s="121" t="s">
        <v>563</v>
      </c>
      <c r="F53" s="119" t="s">
        <v>1068</v>
      </c>
      <c r="G53" s="119" t="s">
        <v>719</v>
      </c>
      <c r="H53" s="119" t="s">
        <v>712</v>
      </c>
      <c r="I53" s="124" t="s">
        <v>720</v>
      </c>
      <c r="J53" s="123">
        <v>123</v>
      </c>
    </row>
    <row r="54" spans="1:10" s="83" customFormat="1">
      <c r="A54" s="118" t="s">
        <v>341</v>
      </c>
      <c r="B54" s="119" t="s">
        <v>283</v>
      </c>
      <c r="C54" s="119" t="s">
        <v>125</v>
      </c>
      <c r="D54" s="120" t="s">
        <v>765</v>
      </c>
      <c r="E54" s="121" t="s">
        <v>564</v>
      </c>
      <c r="F54" s="119" t="s">
        <v>1067</v>
      </c>
      <c r="G54" s="119" t="s">
        <v>719</v>
      </c>
      <c r="H54" s="119" t="s">
        <v>712</v>
      </c>
      <c r="I54" s="124" t="s">
        <v>720</v>
      </c>
      <c r="J54" s="123">
        <v>146</v>
      </c>
    </row>
    <row r="55" spans="1:10" s="83" customFormat="1">
      <c r="A55" s="118" t="s">
        <v>342</v>
      </c>
      <c r="B55" s="119" t="s">
        <v>283</v>
      </c>
      <c r="C55" s="119" t="s">
        <v>122</v>
      </c>
      <c r="D55" s="120" t="s">
        <v>765</v>
      </c>
      <c r="E55" s="121" t="s">
        <v>565</v>
      </c>
      <c r="F55" s="119" t="s">
        <v>1067</v>
      </c>
      <c r="G55" s="119" t="s">
        <v>717</v>
      </c>
      <c r="H55" s="119" t="s">
        <v>293</v>
      </c>
      <c r="I55" s="124" t="s">
        <v>788</v>
      </c>
      <c r="J55" s="123">
        <v>147900</v>
      </c>
    </row>
    <row r="56" spans="1:10" s="83" customFormat="1">
      <c r="A56" s="118" t="s">
        <v>343</v>
      </c>
      <c r="B56" s="119" t="s">
        <v>283</v>
      </c>
      <c r="C56" s="119" t="s">
        <v>125</v>
      </c>
      <c r="D56" s="120" t="s">
        <v>765</v>
      </c>
      <c r="E56" s="121" t="s">
        <v>735</v>
      </c>
      <c r="F56" s="119" t="s">
        <v>1067</v>
      </c>
      <c r="G56" s="119" t="s">
        <v>717</v>
      </c>
      <c r="H56" s="119" t="s">
        <v>293</v>
      </c>
      <c r="I56" s="124" t="s">
        <v>788</v>
      </c>
      <c r="J56" s="123">
        <v>148920</v>
      </c>
    </row>
    <row r="57" spans="1:10" s="83" customFormat="1">
      <c r="A57" s="118" t="s">
        <v>344</v>
      </c>
      <c r="B57" s="119" t="s">
        <v>283</v>
      </c>
      <c r="C57" s="119" t="s">
        <v>122</v>
      </c>
      <c r="D57" s="120" t="s">
        <v>765</v>
      </c>
      <c r="E57" s="121" t="s">
        <v>736</v>
      </c>
      <c r="F57" s="119" t="s">
        <v>1067</v>
      </c>
      <c r="G57" s="119" t="s">
        <v>717</v>
      </c>
      <c r="H57" s="119" t="s">
        <v>293</v>
      </c>
      <c r="I57" s="124" t="s">
        <v>788</v>
      </c>
      <c r="J57" s="123">
        <v>153300</v>
      </c>
    </row>
    <row r="58" spans="1:10" s="83" customFormat="1">
      <c r="A58" s="118" t="s">
        <v>345</v>
      </c>
      <c r="B58" s="119" t="s">
        <v>283</v>
      </c>
      <c r="C58" s="146" t="s">
        <v>1104</v>
      </c>
      <c r="D58" s="120" t="s">
        <v>765</v>
      </c>
      <c r="E58" s="121" t="s">
        <v>566</v>
      </c>
      <c r="F58" s="119" t="s">
        <v>1067</v>
      </c>
      <c r="G58" s="119" t="s">
        <v>717</v>
      </c>
      <c r="H58" s="119" t="s">
        <v>293</v>
      </c>
      <c r="I58" s="124" t="s">
        <v>788</v>
      </c>
      <c r="J58" s="123">
        <v>160140</v>
      </c>
    </row>
    <row r="59" spans="1:10" s="83" customFormat="1">
      <c r="A59" s="118" t="s">
        <v>346</v>
      </c>
      <c r="B59" s="119" t="s">
        <v>283</v>
      </c>
      <c r="C59" s="119" t="s">
        <v>122</v>
      </c>
      <c r="D59" s="120" t="s">
        <v>765</v>
      </c>
      <c r="E59" s="121" t="s">
        <v>567</v>
      </c>
      <c r="F59" s="119" t="s">
        <v>1067</v>
      </c>
      <c r="G59" s="119" t="s">
        <v>717</v>
      </c>
      <c r="H59" s="119" t="s">
        <v>293</v>
      </c>
      <c r="I59" s="124" t="s">
        <v>788</v>
      </c>
      <c r="J59" s="123">
        <v>229500</v>
      </c>
    </row>
    <row r="60" spans="1:10" s="83" customFormat="1">
      <c r="A60" s="118" t="s">
        <v>347</v>
      </c>
      <c r="B60" s="119" t="s">
        <v>283</v>
      </c>
      <c r="C60" s="146" t="s">
        <v>1102</v>
      </c>
      <c r="D60" s="120" t="s">
        <v>765</v>
      </c>
      <c r="E60" s="121" t="s">
        <v>568</v>
      </c>
      <c r="F60" s="119" t="s">
        <v>1067</v>
      </c>
      <c r="G60" s="119" t="s">
        <v>717</v>
      </c>
      <c r="H60" s="119" t="s">
        <v>293</v>
      </c>
      <c r="I60" s="124" t="s">
        <v>788</v>
      </c>
      <c r="J60" s="123">
        <v>162750</v>
      </c>
    </row>
    <row r="61" spans="1:10" s="83" customFormat="1">
      <c r="A61" s="118" t="s">
        <v>348</v>
      </c>
      <c r="B61" s="119" t="s">
        <v>283</v>
      </c>
      <c r="C61" s="119" t="s">
        <v>122</v>
      </c>
      <c r="D61" s="120" t="s">
        <v>765</v>
      </c>
      <c r="E61" s="121" t="s">
        <v>569</v>
      </c>
      <c r="F61" s="119" t="s">
        <v>1067</v>
      </c>
      <c r="G61" s="119" t="s">
        <v>717</v>
      </c>
      <c r="H61" s="119" t="s">
        <v>293</v>
      </c>
      <c r="I61" s="124" t="s">
        <v>788</v>
      </c>
      <c r="J61" s="123">
        <v>285600</v>
      </c>
    </row>
    <row r="62" spans="1:10" s="83" customFormat="1">
      <c r="A62" s="118" t="s">
        <v>349</v>
      </c>
      <c r="B62" s="119" t="s">
        <v>283</v>
      </c>
      <c r="C62" s="119" t="s">
        <v>122</v>
      </c>
      <c r="D62" s="120" t="s">
        <v>765</v>
      </c>
      <c r="E62" s="121" t="s">
        <v>570</v>
      </c>
      <c r="F62" s="119" t="s">
        <v>1067</v>
      </c>
      <c r="G62" s="119" t="s">
        <v>717</v>
      </c>
      <c r="H62" s="119" t="s">
        <v>293</v>
      </c>
      <c r="I62" s="124" t="s">
        <v>788</v>
      </c>
      <c r="J62" s="123">
        <v>243600</v>
      </c>
    </row>
    <row r="63" spans="1:10" s="83" customFormat="1">
      <c r="A63" s="118" t="s">
        <v>350</v>
      </c>
      <c r="B63" s="119" t="s">
        <v>283</v>
      </c>
      <c r="C63" s="119" t="s">
        <v>122</v>
      </c>
      <c r="D63" s="120" t="s">
        <v>765</v>
      </c>
      <c r="E63" s="121" t="s">
        <v>571</v>
      </c>
      <c r="F63" s="119" t="s">
        <v>1067</v>
      </c>
      <c r="G63" s="119" t="s">
        <v>716</v>
      </c>
      <c r="H63" s="119" t="s">
        <v>292</v>
      </c>
      <c r="I63" s="124" t="s">
        <v>753</v>
      </c>
      <c r="J63" s="123">
        <v>243600</v>
      </c>
    </row>
    <row r="64" spans="1:10" s="83" customFormat="1">
      <c r="A64" s="118" t="s">
        <v>351</v>
      </c>
      <c r="B64" s="119" t="s">
        <v>283</v>
      </c>
      <c r="C64" s="119" t="s">
        <v>122</v>
      </c>
      <c r="D64" s="120" t="s">
        <v>765</v>
      </c>
      <c r="E64" s="121" t="s">
        <v>737</v>
      </c>
      <c r="F64" s="119" t="s">
        <v>1067</v>
      </c>
      <c r="G64" s="119" t="s">
        <v>717</v>
      </c>
      <c r="H64" s="119" t="s">
        <v>293</v>
      </c>
      <c r="I64" s="124" t="s">
        <v>788</v>
      </c>
      <c r="J64" s="123">
        <v>290850</v>
      </c>
    </row>
    <row r="65" spans="1:10" s="83" customFormat="1">
      <c r="A65" s="118" t="s">
        <v>352</v>
      </c>
      <c r="B65" s="119" t="s">
        <v>283</v>
      </c>
      <c r="C65" s="119" t="s">
        <v>122</v>
      </c>
      <c r="D65" s="120" t="s">
        <v>765</v>
      </c>
      <c r="E65" s="121" t="s">
        <v>572</v>
      </c>
      <c r="F65" s="119" t="s">
        <v>1068</v>
      </c>
      <c r="G65" s="119" t="s">
        <v>719</v>
      </c>
      <c r="H65" s="119" t="s">
        <v>712</v>
      </c>
      <c r="I65" s="124" t="s">
        <v>720</v>
      </c>
      <c r="J65" s="123">
        <v>127</v>
      </c>
    </row>
    <row r="66" spans="1:10" s="83" customFormat="1">
      <c r="A66" s="118" t="s">
        <v>353</v>
      </c>
      <c r="B66" s="119" t="s">
        <v>283</v>
      </c>
      <c r="C66" s="119" t="s">
        <v>125</v>
      </c>
      <c r="D66" s="120" t="s">
        <v>765</v>
      </c>
      <c r="E66" s="121" t="s">
        <v>957</v>
      </c>
      <c r="F66" s="119" t="s">
        <v>1067</v>
      </c>
      <c r="G66" s="119"/>
      <c r="H66" s="119" t="s">
        <v>754</v>
      </c>
      <c r="I66" s="124" t="s">
        <v>754</v>
      </c>
      <c r="J66" s="123">
        <v>141750</v>
      </c>
    </row>
    <row r="67" spans="1:10" s="83" customFormat="1">
      <c r="A67" s="118" t="s">
        <v>354</v>
      </c>
      <c r="B67" s="119" t="s">
        <v>283</v>
      </c>
      <c r="C67" s="119" t="s">
        <v>125</v>
      </c>
      <c r="D67" s="120" t="s">
        <v>765</v>
      </c>
      <c r="E67" s="121" t="s">
        <v>573</v>
      </c>
      <c r="F67" s="119" t="s">
        <v>1067</v>
      </c>
      <c r="G67" s="119" t="s">
        <v>717</v>
      </c>
      <c r="H67" s="119" t="s">
        <v>293</v>
      </c>
      <c r="I67" s="124" t="s">
        <v>788</v>
      </c>
      <c r="J67" s="123">
        <v>132720</v>
      </c>
    </row>
    <row r="68" spans="1:10" s="83" customFormat="1">
      <c r="A68" s="118" t="s">
        <v>355</v>
      </c>
      <c r="B68" s="119" t="s">
        <v>283</v>
      </c>
      <c r="C68" s="146" t="s">
        <v>1104</v>
      </c>
      <c r="D68" s="120" t="s">
        <v>765</v>
      </c>
      <c r="E68" s="121" t="s">
        <v>574</v>
      </c>
      <c r="F68" s="119" t="s">
        <v>1067</v>
      </c>
      <c r="G68" s="119" t="s">
        <v>717</v>
      </c>
      <c r="H68" s="119" t="s">
        <v>293</v>
      </c>
      <c r="I68" s="124" t="s">
        <v>788</v>
      </c>
      <c r="J68" s="123">
        <v>147900</v>
      </c>
    </row>
    <row r="69" spans="1:10" s="83" customFormat="1">
      <c r="A69" s="118" t="s">
        <v>356</v>
      </c>
      <c r="B69" s="119" t="s">
        <v>283</v>
      </c>
      <c r="C69" s="147" t="s">
        <v>1104</v>
      </c>
      <c r="D69" s="120" t="s">
        <v>765</v>
      </c>
      <c r="E69" s="121" t="s">
        <v>575</v>
      </c>
      <c r="F69" s="119" t="s">
        <v>1067</v>
      </c>
      <c r="G69" s="119" t="s">
        <v>717</v>
      </c>
      <c r="H69" s="119" t="s">
        <v>293</v>
      </c>
      <c r="I69" s="124" t="s">
        <v>788</v>
      </c>
      <c r="J69" s="123">
        <v>102510</v>
      </c>
    </row>
    <row r="70" spans="1:10" s="83" customFormat="1">
      <c r="A70" s="118" t="s">
        <v>357</v>
      </c>
      <c r="B70" s="119" t="s">
        <v>283</v>
      </c>
      <c r="C70" s="119" t="s">
        <v>125</v>
      </c>
      <c r="D70" s="120" t="s">
        <v>765</v>
      </c>
      <c r="E70" s="121" t="s">
        <v>791</v>
      </c>
      <c r="F70" s="119" t="s">
        <v>1067</v>
      </c>
      <c r="G70" s="119" t="s">
        <v>717</v>
      </c>
      <c r="H70" s="119" t="s">
        <v>293</v>
      </c>
      <c r="I70" s="124" t="s">
        <v>788</v>
      </c>
      <c r="J70" s="123">
        <v>249900</v>
      </c>
    </row>
    <row r="71" spans="1:10" s="83" customFormat="1">
      <c r="A71" s="118" t="s">
        <v>358</v>
      </c>
      <c r="B71" s="119" t="s">
        <v>283</v>
      </c>
      <c r="C71" s="119" t="s">
        <v>125</v>
      </c>
      <c r="D71" s="120" t="s">
        <v>765</v>
      </c>
      <c r="E71" s="121" t="s">
        <v>576</v>
      </c>
      <c r="F71" s="119" t="s">
        <v>935</v>
      </c>
      <c r="G71" s="119" t="s">
        <v>719</v>
      </c>
      <c r="H71" s="119" t="s">
        <v>712</v>
      </c>
      <c r="I71" s="124" t="s">
        <v>720</v>
      </c>
      <c r="J71" s="123">
        <v>127</v>
      </c>
    </row>
    <row r="72" spans="1:10" s="83" customFormat="1">
      <c r="A72" s="118" t="s">
        <v>359</v>
      </c>
      <c r="B72" s="119" t="s">
        <v>283</v>
      </c>
      <c r="C72" s="90" t="s">
        <v>134</v>
      </c>
      <c r="D72" s="120" t="s">
        <v>765</v>
      </c>
      <c r="E72" s="121" t="s">
        <v>738</v>
      </c>
      <c r="F72" s="119" t="s">
        <v>935</v>
      </c>
      <c r="G72" s="119" t="s">
        <v>716</v>
      </c>
      <c r="H72" s="119" t="s">
        <v>292</v>
      </c>
      <c r="I72" s="124" t="s">
        <v>753</v>
      </c>
      <c r="J72" s="123">
        <v>87</v>
      </c>
    </row>
    <row r="73" spans="1:10" s="83" customFormat="1">
      <c r="A73" s="118" t="s">
        <v>360</v>
      </c>
      <c r="B73" s="119" t="s">
        <v>283</v>
      </c>
      <c r="C73" s="146" t="s">
        <v>1099</v>
      </c>
      <c r="D73" s="120" t="s">
        <v>765</v>
      </c>
      <c r="E73" s="121" t="s">
        <v>577</v>
      </c>
      <c r="F73" s="119" t="s">
        <v>935</v>
      </c>
      <c r="G73" s="119" t="s">
        <v>716</v>
      </c>
      <c r="H73" s="119" t="s">
        <v>292</v>
      </c>
      <c r="I73" s="124" t="s">
        <v>753</v>
      </c>
      <c r="J73" s="123">
        <v>140</v>
      </c>
    </row>
    <row r="74" spans="1:10" s="83" customFormat="1">
      <c r="A74" s="118" t="s">
        <v>361</v>
      </c>
      <c r="B74" s="119" t="s">
        <v>283</v>
      </c>
      <c r="C74" s="147" t="s">
        <v>1099</v>
      </c>
      <c r="D74" s="120" t="s">
        <v>765</v>
      </c>
      <c r="E74" s="121" t="s">
        <v>578</v>
      </c>
      <c r="F74" s="119" t="s">
        <v>935</v>
      </c>
      <c r="G74" s="119" t="s">
        <v>716</v>
      </c>
      <c r="H74" s="119" t="s">
        <v>292</v>
      </c>
      <c r="I74" s="124" t="s">
        <v>753</v>
      </c>
      <c r="J74" s="123">
        <v>127</v>
      </c>
    </row>
    <row r="75" spans="1:10" s="83" customFormat="1">
      <c r="A75" s="118" t="s">
        <v>362</v>
      </c>
      <c r="B75" s="119" t="s">
        <v>283</v>
      </c>
      <c r="C75" s="119" t="s">
        <v>122</v>
      </c>
      <c r="D75" s="120" t="s">
        <v>765</v>
      </c>
      <c r="E75" s="121" t="s">
        <v>739</v>
      </c>
      <c r="F75" s="119" t="s">
        <v>935</v>
      </c>
      <c r="G75" s="119" t="s">
        <v>716</v>
      </c>
      <c r="H75" s="119" t="s">
        <v>292</v>
      </c>
      <c r="I75" s="124" t="s">
        <v>753</v>
      </c>
      <c r="J75" s="123">
        <v>218</v>
      </c>
    </row>
    <row r="76" spans="1:10" s="83" customFormat="1">
      <c r="A76" s="118" t="s">
        <v>363</v>
      </c>
      <c r="B76" s="119" t="s">
        <v>283</v>
      </c>
      <c r="C76" s="119" t="s">
        <v>122</v>
      </c>
      <c r="D76" s="120" t="s">
        <v>765</v>
      </c>
      <c r="E76" s="121" t="s">
        <v>740</v>
      </c>
      <c r="F76" s="119" t="s">
        <v>935</v>
      </c>
      <c r="G76" s="119" t="s">
        <v>716</v>
      </c>
      <c r="H76" s="119" t="s">
        <v>292</v>
      </c>
      <c r="I76" s="124" t="s">
        <v>753</v>
      </c>
      <c r="J76" s="123">
        <v>211</v>
      </c>
    </row>
    <row r="77" spans="1:10" s="83" customFormat="1">
      <c r="A77" s="118" t="s">
        <v>364</v>
      </c>
      <c r="B77" s="119" t="s">
        <v>283</v>
      </c>
      <c r="C77" s="119" t="s">
        <v>122</v>
      </c>
      <c r="D77" s="120" t="s">
        <v>765</v>
      </c>
      <c r="E77" s="121" t="s">
        <v>741</v>
      </c>
      <c r="F77" s="119" t="s">
        <v>1068</v>
      </c>
      <c r="G77" s="119" t="s">
        <v>716</v>
      </c>
      <c r="H77" s="119" t="s">
        <v>292</v>
      </c>
      <c r="I77" s="124" t="s">
        <v>753</v>
      </c>
      <c r="J77" s="123">
        <v>186</v>
      </c>
    </row>
    <row r="78" spans="1:10" s="83" customFormat="1">
      <c r="A78" s="118" t="s">
        <v>365</v>
      </c>
      <c r="B78" s="119" t="s">
        <v>283</v>
      </c>
      <c r="C78" s="119" t="s">
        <v>122</v>
      </c>
      <c r="D78" s="120" t="s">
        <v>765</v>
      </c>
      <c r="E78" s="121" t="s">
        <v>742</v>
      </c>
      <c r="F78" s="119" t="s">
        <v>935</v>
      </c>
      <c r="G78" s="119" t="s">
        <v>716</v>
      </c>
      <c r="H78" s="119" t="s">
        <v>292</v>
      </c>
      <c r="I78" s="124" t="s">
        <v>753</v>
      </c>
      <c r="J78" s="123">
        <v>181</v>
      </c>
    </row>
    <row r="79" spans="1:10" s="83" customFormat="1">
      <c r="A79" s="118" t="s">
        <v>366</v>
      </c>
      <c r="B79" s="119" t="s">
        <v>283</v>
      </c>
      <c r="C79" s="119" t="s">
        <v>122</v>
      </c>
      <c r="D79" s="120" t="s">
        <v>765</v>
      </c>
      <c r="E79" s="121" t="s">
        <v>743</v>
      </c>
      <c r="F79" s="119" t="s">
        <v>1067</v>
      </c>
      <c r="G79" s="119" t="s">
        <v>716</v>
      </c>
      <c r="H79" s="119" t="s">
        <v>292</v>
      </c>
      <c r="I79" s="124" t="s">
        <v>753</v>
      </c>
      <c r="J79" s="123">
        <v>206</v>
      </c>
    </row>
    <row r="80" spans="1:10" s="83" customFormat="1">
      <c r="A80" s="118" t="s">
        <v>367</v>
      </c>
      <c r="B80" s="119" t="s">
        <v>283</v>
      </c>
      <c r="C80" s="119" t="s">
        <v>122</v>
      </c>
      <c r="D80" s="120" t="s">
        <v>765</v>
      </c>
      <c r="E80" s="121" t="s">
        <v>744</v>
      </c>
      <c r="F80" s="119" t="s">
        <v>1067</v>
      </c>
      <c r="G80" s="119" t="s">
        <v>716</v>
      </c>
      <c r="H80" s="119" t="s">
        <v>292</v>
      </c>
      <c r="I80" s="124" t="s">
        <v>753</v>
      </c>
      <c r="J80" s="123">
        <v>200</v>
      </c>
    </row>
    <row r="81" spans="1:10" s="83" customFormat="1">
      <c r="A81" s="118" t="s">
        <v>368</v>
      </c>
      <c r="B81" s="119" t="s">
        <v>283</v>
      </c>
      <c r="C81" s="119" t="s">
        <v>123</v>
      </c>
      <c r="D81" s="120" t="s">
        <v>765</v>
      </c>
      <c r="E81" s="121" t="s">
        <v>745</v>
      </c>
      <c r="F81" s="119" t="s">
        <v>1068</v>
      </c>
      <c r="G81" s="119" t="s">
        <v>716</v>
      </c>
      <c r="H81" s="119" t="s">
        <v>292</v>
      </c>
      <c r="I81" s="124" t="s">
        <v>753</v>
      </c>
      <c r="J81" s="123">
        <v>151</v>
      </c>
    </row>
    <row r="82" spans="1:10" s="83" customFormat="1">
      <c r="A82" s="118" t="s">
        <v>369</v>
      </c>
      <c r="B82" s="119" t="s">
        <v>283</v>
      </c>
      <c r="C82" s="90" t="s">
        <v>134</v>
      </c>
      <c r="D82" s="120" t="s">
        <v>765</v>
      </c>
      <c r="E82" s="121" t="s">
        <v>746</v>
      </c>
      <c r="F82" s="119" t="s">
        <v>935</v>
      </c>
      <c r="G82" s="119" t="s">
        <v>716</v>
      </c>
      <c r="H82" s="119" t="s">
        <v>292</v>
      </c>
      <c r="I82" s="124" t="s">
        <v>753</v>
      </c>
      <c r="J82" s="123">
        <v>95</v>
      </c>
    </row>
    <row r="83" spans="1:10" s="83" customFormat="1">
      <c r="A83" s="118" t="s">
        <v>756</v>
      </c>
      <c r="B83" s="119" t="s">
        <v>283</v>
      </c>
      <c r="C83" s="143" t="s">
        <v>867</v>
      </c>
      <c r="D83" s="120" t="s">
        <v>765</v>
      </c>
      <c r="E83" s="121" t="s">
        <v>757</v>
      </c>
      <c r="F83" s="119" t="s">
        <v>1067</v>
      </c>
      <c r="G83" s="119"/>
      <c r="H83" s="119" t="s">
        <v>754</v>
      </c>
      <c r="I83" s="124" t="s">
        <v>754</v>
      </c>
      <c r="J83" s="123">
        <v>275400</v>
      </c>
    </row>
    <row r="84" spans="1:10" s="83" customFormat="1">
      <c r="A84" s="118" t="s">
        <v>792</v>
      </c>
      <c r="B84" s="119" t="s">
        <v>283</v>
      </c>
      <c r="C84" s="119" t="s">
        <v>122</v>
      </c>
      <c r="D84" s="120" t="s">
        <v>765</v>
      </c>
      <c r="E84" s="121" t="s">
        <v>793</v>
      </c>
      <c r="F84" s="119" t="s">
        <v>935</v>
      </c>
      <c r="G84" s="119" t="s">
        <v>719</v>
      </c>
      <c r="H84" s="119" t="s">
        <v>712</v>
      </c>
      <c r="I84" s="124" t="s">
        <v>720</v>
      </c>
      <c r="J84" s="123">
        <v>164</v>
      </c>
    </row>
    <row r="85" spans="1:10" s="83" customFormat="1">
      <c r="A85" s="118" t="s">
        <v>868</v>
      </c>
      <c r="B85" s="119" t="s">
        <v>283</v>
      </c>
      <c r="C85" s="119" t="s">
        <v>125</v>
      </c>
      <c r="D85" s="120" t="s">
        <v>765</v>
      </c>
      <c r="E85" s="121" t="s">
        <v>869</v>
      </c>
      <c r="F85" s="119" t="s">
        <v>1067</v>
      </c>
      <c r="G85" s="119"/>
      <c r="H85" s="119"/>
      <c r="I85" s="124"/>
      <c r="J85" s="123">
        <v>157500</v>
      </c>
    </row>
    <row r="86" spans="1:10" s="83" customFormat="1">
      <c r="A86" s="118" t="s">
        <v>870</v>
      </c>
      <c r="B86" s="119" t="s">
        <v>283</v>
      </c>
      <c r="C86" s="119" t="s">
        <v>132</v>
      </c>
      <c r="D86" s="120" t="s">
        <v>765</v>
      </c>
      <c r="E86" s="121" t="s">
        <v>871</v>
      </c>
      <c r="F86" s="119" t="s">
        <v>1068</v>
      </c>
      <c r="G86" s="119"/>
      <c r="H86" s="119"/>
      <c r="I86" s="124"/>
      <c r="J86" s="123">
        <v>136</v>
      </c>
    </row>
    <row r="87" spans="1:10" s="83" customFormat="1">
      <c r="A87" s="118" t="s">
        <v>872</v>
      </c>
      <c r="B87" s="119" t="s">
        <v>283</v>
      </c>
      <c r="C87" s="119" t="s">
        <v>132</v>
      </c>
      <c r="D87" s="120" t="s">
        <v>765</v>
      </c>
      <c r="E87" s="121" t="s">
        <v>873</v>
      </c>
      <c r="F87" s="119" t="s">
        <v>1068</v>
      </c>
      <c r="G87" s="119"/>
      <c r="H87" s="119"/>
      <c r="I87" s="124"/>
      <c r="J87" s="123">
        <v>149</v>
      </c>
    </row>
    <row r="88" spans="1:10" s="83" customFormat="1">
      <c r="A88" s="118" t="s">
        <v>874</v>
      </c>
      <c r="B88" s="119" t="s">
        <v>283</v>
      </c>
      <c r="C88" s="119" t="s">
        <v>132</v>
      </c>
      <c r="D88" s="120" t="s">
        <v>765</v>
      </c>
      <c r="E88" s="121" t="s">
        <v>875</v>
      </c>
      <c r="F88" s="119" t="s">
        <v>1067</v>
      </c>
      <c r="G88" s="119"/>
      <c r="H88" s="119"/>
      <c r="I88" s="124"/>
      <c r="J88" s="123">
        <v>267750</v>
      </c>
    </row>
    <row r="89" spans="1:10" s="83" customFormat="1">
      <c r="A89" s="118" t="s">
        <v>876</v>
      </c>
      <c r="B89" s="119" t="s">
        <v>283</v>
      </c>
      <c r="C89" s="119" t="s">
        <v>132</v>
      </c>
      <c r="D89" s="120" t="s">
        <v>765</v>
      </c>
      <c r="E89" s="121" t="s">
        <v>877</v>
      </c>
      <c r="F89" s="119" t="s">
        <v>1067</v>
      </c>
      <c r="G89" s="119"/>
      <c r="H89" s="119"/>
      <c r="I89" s="124"/>
      <c r="J89" s="123">
        <v>311850</v>
      </c>
    </row>
    <row r="90" spans="1:10" s="83" customFormat="1">
      <c r="A90" s="118" t="s">
        <v>878</v>
      </c>
      <c r="B90" s="119" t="s">
        <v>283</v>
      </c>
      <c r="C90" s="146" t="s">
        <v>1104</v>
      </c>
      <c r="D90" s="120" t="s">
        <v>765</v>
      </c>
      <c r="E90" s="121" t="s">
        <v>879</v>
      </c>
      <c r="F90" s="119" t="s">
        <v>1067</v>
      </c>
      <c r="G90" s="119"/>
      <c r="H90" s="119"/>
      <c r="I90" s="124"/>
      <c r="J90" s="123">
        <v>181650</v>
      </c>
    </row>
    <row r="91" spans="1:10" s="83" customFormat="1">
      <c r="A91" s="118" t="s">
        <v>880</v>
      </c>
      <c r="B91" s="119" t="s">
        <v>283</v>
      </c>
      <c r="C91" s="119" t="s">
        <v>835</v>
      </c>
      <c r="D91" s="120" t="s">
        <v>765</v>
      </c>
      <c r="E91" s="121" t="s">
        <v>881</v>
      </c>
      <c r="F91" s="119" t="s">
        <v>1067</v>
      </c>
      <c r="G91" s="119"/>
      <c r="H91" s="119"/>
      <c r="I91" s="124"/>
      <c r="J91" s="123">
        <v>131250</v>
      </c>
    </row>
    <row r="92" spans="1:10" s="83" customFormat="1">
      <c r="A92" s="118" t="s">
        <v>882</v>
      </c>
      <c r="B92" s="119" t="s">
        <v>283</v>
      </c>
      <c r="C92" s="119" t="s">
        <v>835</v>
      </c>
      <c r="D92" s="120" t="s">
        <v>765</v>
      </c>
      <c r="E92" s="121" t="s">
        <v>883</v>
      </c>
      <c r="F92" s="119" t="s">
        <v>1067</v>
      </c>
      <c r="G92" s="119"/>
      <c r="H92" s="119"/>
      <c r="I92" s="124"/>
      <c r="J92" s="123">
        <v>131250</v>
      </c>
    </row>
    <row r="93" spans="1:10" s="83" customFormat="1">
      <c r="A93" s="118" t="s">
        <v>862</v>
      </c>
      <c r="B93" s="119" t="s">
        <v>283</v>
      </c>
      <c r="C93" s="119" t="s">
        <v>122</v>
      </c>
      <c r="D93" s="120" t="s">
        <v>765</v>
      </c>
      <c r="E93" s="121" t="s">
        <v>884</v>
      </c>
      <c r="F93" s="119" t="s">
        <v>1068</v>
      </c>
      <c r="G93" s="119"/>
      <c r="H93" s="119"/>
      <c r="I93" s="124"/>
      <c r="J93" s="123"/>
    </row>
    <row r="94" spans="1:10" s="83" customFormat="1">
      <c r="A94" s="118" t="s">
        <v>885</v>
      </c>
      <c r="B94" s="119" t="s">
        <v>283</v>
      </c>
      <c r="C94" s="119" t="s">
        <v>122</v>
      </c>
      <c r="D94" s="120" t="s">
        <v>765</v>
      </c>
      <c r="E94" s="121" t="s">
        <v>886</v>
      </c>
      <c r="F94" s="119" t="s">
        <v>1067</v>
      </c>
      <c r="G94" s="119"/>
      <c r="H94" s="119"/>
      <c r="I94" s="124"/>
      <c r="J94" s="123">
        <v>243600</v>
      </c>
    </row>
    <row r="95" spans="1:10" s="83" customFormat="1">
      <c r="A95" s="118" t="s">
        <v>936</v>
      </c>
      <c r="B95" s="119" t="s">
        <v>283</v>
      </c>
      <c r="C95" s="119" t="s">
        <v>835</v>
      </c>
      <c r="D95" s="120" t="s">
        <v>765</v>
      </c>
      <c r="E95" s="121" t="s">
        <v>937</v>
      </c>
      <c r="F95" s="119" t="s">
        <v>1067</v>
      </c>
      <c r="G95" s="119"/>
      <c r="H95" s="119"/>
      <c r="I95" s="124"/>
      <c r="J95" s="123">
        <v>147000</v>
      </c>
    </row>
    <row r="96" spans="1:10" s="83" customFormat="1">
      <c r="A96" s="118" t="s">
        <v>930</v>
      </c>
      <c r="B96" s="119" t="s">
        <v>283</v>
      </c>
      <c r="C96" s="119" t="s">
        <v>835</v>
      </c>
      <c r="D96" s="120" t="s">
        <v>765</v>
      </c>
      <c r="E96" s="121" t="s">
        <v>938</v>
      </c>
      <c r="F96" s="119" t="s">
        <v>1067</v>
      </c>
      <c r="G96" s="119"/>
      <c r="H96" s="119"/>
      <c r="I96" s="124"/>
      <c r="J96" s="123">
        <v>147000</v>
      </c>
    </row>
    <row r="97" spans="1:10" s="83" customFormat="1">
      <c r="A97" s="118" t="s">
        <v>958</v>
      </c>
      <c r="B97" s="119" t="s">
        <v>283</v>
      </c>
      <c r="C97" s="119" t="s">
        <v>132</v>
      </c>
      <c r="D97" s="120" t="s">
        <v>765</v>
      </c>
      <c r="E97" s="121" t="s">
        <v>988</v>
      </c>
      <c r="F97" s="119" t="s">
        <v>1067</v>
      </c>
      <c r="G97" s="119"/>
      <c r="H97" s="119"/>
      <c r="I97" s="124"/>
      <c r="J97" s="123">
        <v>157500</v>
      </c>
    </row>
    <row r="98" spans="1:10" s="83" customFormat="1">
      <c r="A98" s="118" t="s">
        <v>983</v>
      </c>
      <c r="B98" s="119" t="s">
        <v>283</v>
      </c>
      <c r="C98" s="119" t="s">
        <v>125</v>
      </c>
      <c r="D98" s="120" t="s">
        <v>765</v>
      </c>
      <c r="E98" s="121" t="s">
        <v>989</v>
      </c>
      <c r="F98" s="119" t="s">
        <v>1067</v>
      </c>
      <c r="G98" s="119"/>
      <c r="H98" s="119"/>
      <c r="I98" s="124"/>
      <c r="J98" s="123"/>
    </row>
    <row r="99" spans="1:10" s="83" customFormat="1">
      <c r="A99" s="118" t="s">
        <v>984</v>
      </c>
      <c r="B99" s="119" t="s">
        <v>283</v>
      </c>
      <c r="C99" s="119" t="s">
        <v>132</v>
      </c>
      <c r="D99" s="120" t="s">
        <v>765</v>
      </c>
      <c r="E99" s="121" t="s">
        <v>990</v>
      </c>
      <c r="F99" s="119" t="s">
        <v>1067</v>
      </c>
      <c r="G99" s="119"/>
      <c r="H99" s="119"/>
      <c r="I99" s="124"/>
      <c r="J99" s="123">
        <v>157500</v>
      </c>
    </row>
    <row r="100" spans="1:10" s="83" customFormat="1">
      <c r="A100" s="118" t="s">
        <v>1074</v>
      </c>
      <c r="B100" s="119" t="s">
        <v>283</v>
      </c>
      <c r="C100" s="119" t="s">
        <v>122</v>
      </c>
      <c r="D100" s="120" t="s">
        <v>765</v>
      </c>
      <c r="E100" s="121" t="s">
        <v>1075</v>
      </c>
      <c r="F100" s="119" t="s">
        <v>1067</v>
      </c>
      <c r="G100" s="119"/>
      <c r="H100" s="119"/>
      <c r="I100" s="124"/>
      <c r="J100" s="123">
        <v>162750</v>
      </c>
    </row>
    <row r="101" spans="1:10" s="83" customFormat="1">
      <c r="A101" s="118" t="s">
        <v>1076</v>
      </c>
      <c r="B101" s="119" t="s">
        <v>283</v>
      </c>
      <c r="C101" s="119" t="s">
        <v>132</v>
      </c>
      <c r="D101" s="120" t="s">
        <v>765</v>
      </c>
      <c r="E101" s="121" t="s">
        <v>1077</v>
      </c>
      <c r="F101" s="119" t="s">
        <v>1067</v>
      </c>
      <c r="G101" s="119"/>
      <c r="H101" s="119"/>
      <c r="I101" s="124"/>
      <c r="J101" s="123">
        <v>150150</v>
      </c>
    </row>
    <row r="102" spans="1:10" s="83" customFormat="1">
      <c r="A102" s="118" t="s">
        <v>1078</v>
      </c>
      <c r="B102" s="119" t="s">
        <v>283</v>
      </c>
      <c r="C102" s="145" t="s">
        <v>1079</v>
      </c>
      <c r="D102" s="120" t="s">
        <v>765</v>
      </c>
      <c r="E102" s="121" t="s">
        <v>1080</v>
      </c>
      <c r="F102" s="119" t="s">
        <v>1067</v>
      </c>
      <c r="G102" s="119"/>
      <c r="H102" s="119"/>
      <c r="I102" s="124"/>
      <c r="J102" s="123">
        <v>159600</v>
      </c>
    </row>
    <row r="103" spans="1:10" s="83" customFormat="1">
      <c r="A103" s="118" t="s">
        <v>1105</v>
      </c>
      <c r="B103" s="119" t="s">
        <v>283</v>
      </c>
      <c r="C103" s="145" t="s">
        <v>1079</v>
      </c>
      <c r="D103" s="120" t="s">
        <v>765</v>
      </c>
      <c r="E103" s="148" t="s">
        <v>1106</v>
      </c>
      <c r="F103" s="119" t="s">
        <v>1067</v>
      </c>
      <c r="G103" s="119"/>
      <c r="H103" s="119"/>
      <c r="I103" s="124"/>
      <c r="J103" s="123">
        <v>183750</v>
      </c>
    </row>
    <row r="104" spans="1:10" s="83" customFormat="1">
      <c r="A104" s="157" t="s">
        <v>1127</v>
      </c>
      <c r="B104" s="119" t="s">
        <v>283</v>
      </c>
      <c r="C104" s="145" t="s">
        <v>1079</v>
      </c>
      <c r="D104" s="120" t="s">
        <v>1128</v>
      </c>
      <c r="E104" s="148" t="s">
        <v>1129</v>
      </c>
      <c r="F104" s="119" t="s">
        <v>1067</v>
      </c>
      <c r="G104" s="119"/>
      <c r="H104" s="119"/>
      <c r="I104" s="124"/>
      <c r="J104" s="123">
        <v>176400</v>
      </c>
    </row>
    <row r="105" spans="1:10" s="83" customFormat="1">
      <c r="A105" s="118" t="s">
        <v>370</v>
      </c>
      <c r="B105" s="119" t="s">
        <v>283</v>
      </c>
      <c r="C105" s="119" t="s">
        <v>125</v>
      </c>
      <c r="D105" s="120" t="s">
        <v>765</v>
      </c>
      <c r="E105" s="121" t="s">
        <v>959</v>
      </c>
      <c r="F105" s="119" t="s">
        <v>1067</v>
      </c>
      <c r="G105" s="119" t="s">
        <v>714</v>
      </c>
      <c r="H105" s="119" t="s">
        <v>290</v>
      </c>
      <c r="I105" s="124" t="s">
        <v>785</v>
      </c>
      <c r="J105" s="123">
        <v>203910</v>
      </c>
    </row>
    <row r="106" spans="1:10" s="83" customFormat="1">
      <c r="A106" s="118" t="s">
        <v>371</v>
      </c>
      <c r="B106" s="119" t="s">
        <v>283</v>
      </c>
      <c r="C106" s="119" t="s">
        <v>122</v>
      </c>
      <c r="D106" s="120" t="s">
        <v>765</v>
      </c>
      <c r="E106" s="121" t="s">
        <v>579</v>
      </c>
      <c r="F106" s="119" t="s">
        <v>1067</v>
      </c>
      <c r="G106" s="119" t="s">
        <v>717</v>
      </c>
      <c r="H106" s="119" t="s">
        <v>293</v>
      </c>
      <c r="I106" s="124" t="s">
        <v>788</v>
      </c>
      <c r="J106" s="123">
        <v>100570</v>
      </c>
    </row>
    <row r="107" spans="1:10" s="83" customFormat="1">
      <c r="A107" s="118" t="s">
        <v>372</v>
      </c>
      <c r="B107" s="119" t="s">
        <v>283</v>
      </c>
      <c r="C107" s="119" t="s">
        <v>140</v>
      </c>
      <c r="D107" s="120" t="s">
        <v>765</v>
      </c>
      <c r="E107" s="121" t="s">
        <v>580</v>
      </c>
      <c r="F107" s="119" t="s">
        <v>1067</v>
      </c>
      <c r="G107" s="119"/>
      <c r="H107" s="119" t="s">
        <v>754</v>
      </c>
      <c r="I107" s="124" t="s">
        <v>754</v>
      </c>
      <c r="J107" s="123">
        <v>191760</v>
      </c>
    </row>
    <row r="108" spans="1:10" s="83" customFormat="1">
      <c r="A108" s="118" t="s">
        <v>373</v>
      </c>
      <c r="B108" s="119" t="s">
        <v>283</v>
      </c>
      <c r="C108" s="146" t="s">
        <v>1102</v>
      </c>
      <c r="D108" s="120" t="s">
        <v>765</v>
      </c>
      <c r="E108" s="121" t="s">
        <v>581</v>
      </c>
      <c r="F108" s="119" t="s">
        <v>1067</v>
      </c>
      <c r="G108" s="119" t="s">
        <v>717</v>
      </c>
      <c r="H108" s="119" t="s">
        <v>293</v>
      </c>
      <c r="I108" s="124" t="s">
        <v>788</v>
      </c>
      <c r="J108" s="123">
        <v>289680</v>
      </c>
    </row>
    <row r="109" spans="1:10" s="83" customFormat="1">
      <c r="A109" s="118" t="s">
        <v>374</v>
      </c>
      <c r="B109" s="119" t="s">
        <v>283</v>
      </c>
      <c r="C109" s="119" t="s">
        <v>132</v>
      </c>
      <c r="D109" s="120" t="s">
        <v>765</v>
      </c>
      <c r="E109" s="121" t="s">
        <v>582</v>
      </c>
      <c r="F109" s="119" t="s">
        <v>1067</v>
      </c>
      <c r="G109" s="119" t="s">
        <v>714</v>
      </c>
      <c r="H109" s="119" t="s">
        <v>290</v>
      </c>
      <c r="I109" s="124" t="s">
        <v>785</v>
      </c>
      <c r="J109" s="123">
        <v>280350</v>
      </c>
    </row>
    <row r="110" spans="1:10" s="83" customFormat="1">
      <c r="A110" s="118" t="s">
        <v>375</v>
      </c>
      <c r="B110" s="119" t="s">
        <v>283</v>
      </c>
      <c r="C110" s="119" t="s">
        <v>140</v>
      </c>
      <c r="D110" s="120" t="s">
        <v>765</v>
      </c>
      <c r="E110" s="121" t="s">
        <v>583</v>
      </c>
      <c r="F110" s="119" t="s">
        <v>1067</v>
      </c>
      <c r="G110" s="119" t="s">
        <v>714</v>
      </c>
      <c r="H110" s="119" t="s">
        <v>290</v>
      </c>
      <c r="I110" s="124" t="s">
        <v>785</v>
      </c>
      <c r="J110" s="123">
        <v>272340</v>
      </c>
    </row>
    <row r="111" spans="1:10" s="83" customFormat="1">
      <c r="A111" s="118" t="s">
        <v>376</v>
      </c>
      <c r="B111" s="119" t="s">
        <v>283</v>
      </c>
      <c r="C111" s="119" t="s">
        <v>125</v>
      </c>
      <c r="D111" s="120" t="s">
        <v>765</v>
      </c>
      <c r="E111" s="121" t="s">
        <v>584</v>
      </c>
      <c r="F111" s="119" t="s">
        <v>1067</v>
      </c>
      <c r="G111" s="119" t="s">
        <v>717</v>
      </c>
      <c r="H111" s="119" t="s">
        <v>293</v>
      </c>
      <c r="I111" s="124" t="s">
        <v>788</v>
      </c>
      <c r="J111" s="123">
        <v>298200</v>
      </c>
    </row>
    <row r="112" spans="1:10" s="83" customFormat="1">
      <c r="A112" s="118" t="s">
        <v>377</v>
      </c>
      <c r="B112" s="119" t="s">
        <v>283</v>
      </c>
      <c r="C112" s="119" t="s">
        <v>140</v>
      </c>
      <c r="D112" s="120" t="s">
        <v>765</v>
      </c>
      <c r="E112" s="121" t="s">
        <v>794</v>
      </c>
      <c r="F112" s="119" t="s">
        <v>1067</v>
      </c>
      <c r="G112" s="119" t="s">
        <v>717</v>
      </c>
      <c r="H112" s="119" t="s">
        <v>293</v>
      </c>
      <c r="I112" s="124" t="s">
        <v>788</v>
      </c>
      <c r="J112" s="123">
        <v>197400</v>
      </c>
    </row>
    <row r="113" spans="1:10" s="83" customFormat="1">
      <c r="A113" s="118" t="s">
        <v>378</v>
      </c>
      <c r="B113" s="119" t="s">
        <v>283</v>
      </c>
      <c r="C113" s="147" t="s">
        <v>1099</v>
      </c>
      <c r="D113" s="120" t="s">
        <v>765</v>
      </c>
      <c r="E113" s="121" t="s">
        <v>585</v>
      </c>
      <c r="F113" s="119" t="s">
        <v>1067</v>
      </c>
      <c r="G113" s="119" t="s">
        <v>717</v>
      </c>
      <c r="H113" s="119" t="s">
        <v>293</v>
      </c>
      <c r="I113" s="124" t="s">
        <v>788</v>
      </c>
      <c r="J113" s="123">
        <v>255000</v>
      </c>
    </row>
    <row r="114" spans="1:10" s="83" customFormat="1">
      <c r="A114" s="118" t="s">
        <v>379</v>
      </c>
      <c r="B114" s="119" t="s">
        <v>283</v>
      </c>
      <c r="C114" s="119" t="s">
        <v>132</v>
      </c>
      <c r="D114" s="120" t="s">
        <v>765</v>
      </c>
      <c r="E114" s="121" t="s">
        <v>586</v>
      </c>
      <c r="F114" s="119" t="s">
        <v>1067</v>
      </c>
      <c r="G114" s="119" t="s">
        <v>717</v>
      </c>
      <c r="H114" s="119" t="s">
        <v>293</v>
      </c>
      <c r="I114" s="124" t="s">
        <v>788</v>
      </c>
      <c r="J114" s="123">
        <v>255000</v>
      </c>
    </row>
    <row r="115" spans="1:10" s="83" customFormat="1">
      <c r="A115" s="118" t="s">
        <v>380</v>
      </c>
      <c r="B115" s="119" t="s">
        <v>283</v>
      </c>
      <c r="C115" s="119" t="s">
        <v>728</v>
      </c>
      <c r="D115" s="120" t="s">
        <v>765</v>
      </c>
      <c r="E115" s="121" t="s">
        <v>587</v>
      </c>
      <c r="F115" s="119" t="s">
        <v>1067</v>
      </c>
      <c r="G115" s="119" t="s">
        <v>717</v>
      </c>
      <c r="H115" s="119" t="s">
        <v>293</v>
      </c>
      <c r="I115" s="124" t="s">
        <v>788</v>
      </c>
      <c r="J115" s="123">
        <v>0</v>
      </c>
    </row>
    <row r="116" spans="1:10" s="83" customFormat="1">
      <c r="A116" s="118" t="s">
        <v>381</v>
      </c>
      <c r="B116" s="119" t="s">
        <v>283</v>
      </c>
      <c r="C116" s="119" t="s">
        <v>132</v>
      </c>
      <c r="D116" s="120" t="s">
        <v>765</v>
      </c>
      <c r="E116" s="121" t="s">
        <v>588</v>
      </c>
      <c r="F116" s="119" t="s">
        <v>1067</v>
      </c>
      <c r="G116" s="119" t="s">
        <v>714</v>
      </c>
      <c r="H116" s="119" t="s">
        <v>290</v>
      </c>
      <c r="I116" s="124" t="s">
        <v>785</v>
      </c>
      <c r="J116" s="123">
        <v>188700</v>
      </c>
    </row>
    <row r="117" spans="1:10" s="83" customFormat="1">
      <c r="A117" s="118" t="s">
        <v>382</v>
      </c>
      <c r="B117" s="119" t="s">
        <v>283</v>
      </c>
      <c r="C117" s="119" t="s">
        <v>132</v>
      </c>
      <c r="D117" s="120" t="s">
        <v>765</v>
      </c>
      <c r="E117" s="121" t="s">
        <v>589</v>
      </c>
      <c r="F117" s="119" t="s">
        <v>1067</v>
      </c>
      <c r="G117" s="119" t="s">
        <v>714</v>
      </c>
      <c r="H117" s="119" t="s">
        <v>290</v>
      </c>
      <c r="I117" s="124" t="s">
        <v>785</v>
      </c>
      <c r="J117" s="123">
        <v>140</v>
      </c>
    </row>
    <row r="118" spans="1:10" s="83" customFormat="1">
      <c r="A118" s="118" t="s">
        <v>383</v>
      </c>
      <c r="B118" s="119" t="s">
        <v>283</v>
      </c>
      <c r="C118" s="119" t="s">
        <v>132</v>
      </c>
      <c r="D118" s="120" t="s">
        <v>765</v>
      </c>
      <c r="E118" s="121" t="s">
        <v>590</v>
      </c>
      <c r="F118" s="119" t="s">
        <v>1067</v>
      </c>
      <c r="G118" s="119" t="s">
        <v>714</v>
      </c>
      <c r="H118" s="119" t="s">
        <v>290</v>
      </c>
      <c r="I118" s="124" t="s">
        <v>785</v>
      </c>
      <c r="J118" s="123">
        <v>194250</v>
      </c>
    </row>
    <row r="119" spans="1:10" s="83" customFormat="1">
      <c r="A119" s="118" t="s">
        <v>384</v>
      </c>
      <c r="B119" s="119" t="s">
        <v>283</v>
      </c>
      <c r="C119" s="119" t="s">
        <v>728</v>
      </c>
      <c r="D119" s="120" t="s">
        <v>765</v>
      </c>
      <c r="E119" s="121" t="s">
        <v>591</v>
      </c>
      <c r="F119" s="119" t="s">
        <v>1067</v>
      </c>
      <c r="G119" s="119"/>
      <c r="H119" s="119" t="s">
        <v>754</v>
      </c>
      <c r="I119" s="124" t="s">
        <v>754</v>
      </c>
      <c r="J119" s="123">
        <v>0</v>
      </c>
    </row>
    <row r="120" spans="1:10" s="83" customFormat="1">
      <c r="A120" s="118" t="s">
        <v>385</v>
      </c>
      <c r="B120" s="119" t="s">
        <v>283</v>
      </c>
      <c r="C120" s="119" t="s">
        <v>132</v>
      </c>
      <c r="D120" s="120" t="s">
        <v>765</v>
      </c>
      <c r="E120" s="121" t="s">
        <v>960</v>
      </c>
      <c r="F120" s="119" t="s">
        <v>1067</v>
      </c>
      <c r="G120" s="119" t="s">
        <v>714</v>
      </c>
      <c r="H120" s="119" t="s">
        <v>290</v>
      </c>
      <c r="I120" s="124" t="s">
        <v>785</v>
      </c>
      <c r="J120" s="123">
        <v>188700</v>
      </c>
    </row>
    <row r="121" spans="1:10" s="83" customFormat="1">
      <c r="A121" s="118" t="s">
        <v>386</v>
      </c>
      <c r="B121" s="119" t="s">
        <v>283</v>
      </c>
      <c r="C121" s="119" t="s">
        <v>132</v>
      </c>
      <c r="D121" s="120" t="s">
        <v>765</v>
      </c>
      <c r="E121" s="121" t="s">
        <v>592</v>
      </c>
      <c r="F121" s="119" t="s">
        <v>1067</v>
      </c>
      <c r="G121" s="119" t="s">
        <v>717</v>
      </c>
      <c r="H121" s="119" t="s">
        <v>293</v>
      </c>
      <c r="I121" s="124" t="s">
        <v>788</v>
      </c>
      <c r="J121" s="123">
        <v>127500</v>
      </c>
    </row>
    <row r="122" spans="1:10" s="83" customFormat="1" ht="18" customHeight="1">
      <c r="A122" s="118" t="s">
        <v>387</v>
      </c>
      <c r="B122" s="119" t="s">
        <v>283</v>
      </c>
      <c r="C122" s="119" t="s">
        <v>132</v>
      </c>
      <c r="D122" s="120" t="s">
        <v>765</v>
      </c>
      <c r="E122" s="121" t="s">
        <v>593</v>
      </c>
      <c r="F122" s="119" t="s">
        <v>1067</v>
      </c>
      <c r="G122" s="119" t="s">
        <v>717</v>
      </c>
      <c r="H122" s="119" t="s">
        <v>293</v>
      </c>
      <c r="I122" s="124" t="s">
        <v>788</v>
      </c>
      <c r="J122" s="123">
        <v>127500</v>
      </c>
    </row>
    <row r="123" spans="1:10" s="83" customFormat="1">
      <c r="A123" s="118" t="s">
        <v>388</v>
      </c>
      <c r="B123" s="119" t="s">
        <v>283</v>
      </c>
      <c r="C123" s="147" t="s">
        <v>1103</v>
      </c>
      <c r="D123" s="120" t="s">
        <v>765</v>
      </c>
      <c r="E123" s="121" t="s">
        <v>594</v>
      </c>
      <c r="F123" s="119" t="s">
        <v>1067</v>
      </c>
      <c r="G123" s="119"/>
      <c r="H123" s="119" t="s">
        <v>754</v>
      </c>
      <c r="I123" s="124" t="s">
        <v>754</v>
      </c>
      <c r="J123" s="123">
        <v>215250</v>
      </c>
    </row>
    <row r="124" spans="1:10" s="83" customFormat="1">
      <c r="A124" s="118" t="s">
        <v>389</v>
      </c>
      <c r="B124" s="119" t="s">
        <v>283</v>
      </c>
      <c r="C124" s="119" t="s">
        <v>132</v>
      </c>
      <c r="D124" s="120" t="s">
        <v>765</v>
      </c>
      <c r="E124" s="121" t="s">
        <v>595</v>
      </c>
      <c r="F124" s="119" t="s">
        <v>1067</v>
      </c>
      <c r="G124" s="119" t="s">
        <v>717</v>
      </c>
      <c r="H124" s="119" t="s">
        <v>293</v>
      </c>
      <c r="I124" s="124" t="s">
        <v>788</v>
      </c>
      <c r="J124" s="123">
        <v>157500</v>
      </c>
    </row>
    <row r="125" spans="1:10" s="83" customFormat="1">
      <c r="A125" s="118" t="s">
        <v>390</v>
      </c>
      <c r="B125" s="119" t="s">
        <v>283</v>
      </c>
      <c r="C125" s="119" t="s">
        <v>122</v>
      </c>
      <c r="D125" s="120" t="s">
        <v>765</v>
      </c>
      <c r="E125" s="121" t="s">
        <v>596</v>
      </c>
      <c r="F125" s="119" t="s">
        <v>1068</v>
      </c>
      <c r="G125" s="119" t="s">
        <v>719</v>
      </c>
      <c r="H125" s="119" t="s">
        <v>712</v>
      </c>
      <c r="I125" s="124" t="s">
        <v>720</v>
      </c>
      <c r="J125" s="123">
        <v>169</v>
      </c>
    </row>
    <row r="126" spans="1:10" s="83" customFormat="1">
      <c r="A126" s="118" t="s">
        <v>391</v>
      </c>
      <c r="B126" s="119" t="s">
        <v>283</v>
      </c>
      <c r="C126" s="119" t="s">
        <v>122</v>
      </c>
      <c r="D126" s="120" t="s">
        <v>765</v>
      </c>
      <c r="E126" s="121" t="s">
        <v>597</v>
      </c>
      <c r="F126" s="119" t="s">
        <v>1068</v>
      </c>
      <c r="G126" s="119" t="s">
        <v>719</v>
      </c>
      <c r="H126" s="119" t="s">
        <v>712</v>
      </c>
      <c r="I126" s="124" t="s">
        <v>720</v>
      </c>
      <c r="J126" s="123">
        <v>164</v>
      </c>
    </row>
    <row r="127" spans="1:10" s="83" customFormat="1">
      <c r="A127" s="118" t="s">
        <v>392</v>
      </c>
      <c r="B127" s="119" t="s">
        <v>283</v>
      </c>
      <c r="C127" s="119" t="s">
        <v>122</v>
      </c>
      <c r="D127" s="120" t="s">
        <v>765</v>
      </c>
      <c r="E127" s="121" t="s">
        <v>598</v>
      </c>
      <c r="F127" s="119" t="s">
        <v>1068</v>
      </c>
      <c r="G127" s="119" t="s">
        <v>719</v>
      </c>
      <c r="H127" s="119" t="s">
        <v>712</v>
      </c>
      <c r="I127" s="124" t="s">
        <v>720</v>
      </c>
      <c r="J127" s="123">
        <v>164</v>
      </c>
    </row>
    <row r="128" spans="1:10" s="83" customFormat="1">
      <c r="A128" s="118" t="s">
        <v>393</v>
      </c>
      <c r="B128" s="119" t="s">
        <v>283</v>
      </c>
      <c r="C128" s="119" t="s">
        <v>122</v>
      </c>
      <c r="D128" s="120" t="s">
        <v>765</v>
      </c>
      <c r="E128" s="121" t="s">
        <v>599</v>
      </c>
      <c r="F128" s="119" t="s">
        <v>1067</v>
      </c>
      <c r="G128" s="119" t="s">
        <v>717</v>
      </c>
      <c r="H128" s="119" t="s">
        <v>293</v>
      </c>
      <c r="I128" s="124" t="s">
        <v>788</v>
      </c>
      <c r="J128" s="123">
        <v>127500</v>
      </c>
    </row>
    <row r="129" spans="1:10" s="83" customFormat="1">
      <c r="A129" s="118" t="s">
        <v>733</v>
      </c>
      <c r="B129" s="119" t="s">
        <v>283</v>
      </c>
      <c r="C129" s="147" t="s">
        <v>1104</v>
      </c>
      <c r="D129" s="120" t="s">
        <v>765</v>
      </c>
      <c r="E129" s="121" t="s">
        <v>600</v>
      </c>
      <c r="F129" s="119" t="s">
        <v>1067</v>
      </c>
      <c r="G129" s="119" t="s">
        <v>717</v>
      </c>
      <c r="H129" s="119" t="s">
        <v>293</v>
      </c>
      <c r="I129" s="124" t="s">
        <v>788</v>
      </c>
      <c r="J129" s="123">
        <v>115260</v>
      </c>
    </row>
    <row r="130" spans="1:10" s="83" customFormat="1">
      <c r="A130" s="118" t="s">
        <v>394</v>
      </c>
      <c r="B130" s="119" t="s">
        <v>283</v>
      </c>
      <c r="C130" s="119" t="s">
        <v>122</v>
      </c>
      <c r="D130" s="120" t="s">
        <v>765</v>
      </c>
      <c r="E130" s="121" t="s">
        <v>601</v>
      </c>
      <c r="F130" s="119" t="s">
        <v>1067</v>
      </c>
      <c r="G130" s="119" t="s">
        <v>717</v>
      </c>
      <c r="H130" s="119" t="s">
        <v>293</v>
      </c>
      <c r="I130" s="124" t="s">
        <v>788</v>
      </c>
      <c r="J130" s="123">
        <v>198900</v>
      </c>
    </row>
    <row r="131" spans="1:10" s="83" customFormat="1">
      <c r="A131" s="118" t="s">
        <v>395</v>
      </c>
      <c r="B131" s="119" t="s">
        <v>283</v>
      </c>
      <c r="C131" s="119" t="s">
        <v>122</v>
      </c>
      <c r="D131" s="120" t="s">
        <v>765</v>
      </c>
      <c r="E131" s="121" t="s">
        <v>602</v>
      </c>
      <c r="F131" s="119" t="s">
        <v>1067</v>
      </c>
      <c r="G131" s="119" t="s">
        <v>717</v>
      </c>
      <c r="H131" s="119" t="s">
        <v>293</v>
      </c>
      <c r="I131" s="124" t="s">
        <v>788</v>
      </c>
      <c r="J131" s="123">
        <v>163200</v>
      </c>
    </row>
    <row r="132" spans="1:10" s="83" customFormat="1">
      <c r="A132" s="118" t="s">
        <v>396</v>
      </c>
      <c r="B132" s="119" t="s">
        <v>283</v>
      </c>
      <c r="C132" s="119" t="s">
        <v>122</v>
      </c>
      <c r="D132" s="120" t="s">
        <v>765</v>
      </c>
      <c r="E132" s="121" t="s">
        <v>603</v>
      </c>
      <c r="F132" s="119" t="s">
        <v>1067</v>
      </c>
      <c r="G132" s="119" t="s">
        <v>717</v>
      </c>
      <c r="H132" s="119" t="s">
        <v>293</v>
      </c>
      <c r="I132" s="124" t="s">
        <v>788</v>
      </c>
      <c r="J132" s="123">
        <v>290700</v>
      </c>
    </row>
    <row r="133" spans="1:10" s="83" customFormat="1">
      <c r="A133" s="118" t="s">
        <v>397</v>
      </c>
      <c r="B133" s="119" t="s">
        <v>283</v>
      </c>
      <c r="C133" s="119" t="s">
        <v>122</v>
      </c>
      <c r="D133" s="120" t="s">
        <v>765</v>
      </c>
      <c r="E133" s="121" t="s">
        <v>604</v>
      </c>
      <c r="F133" s="119" t="s">
        <v>1067</v>
      </c>
      <c r="G133" s="119" t="s">
        <v>717</v>
      </c>
      <c r="H133" s="119" t="s">
        <v>293</v>
      </c>
      <c r="I133" s="124" t="s">
        <v>788</v>
      </c>
      <c r="J133" s="123">
        <v>250920</v>
      </c>
    </row>
    <row r="134" spans="1:10" s="83" customFormat="1">
      <c r="A134" s="118" t="s">
        <v>398</v>
      </c>
      <c r="B134" s="119" t="s">
        <v>283</v>
      </c>
      <c r="C134" s="146" t="s">
        <v>1102</v>
      </c>
      <c r="D134" s="120" t="s">
        <v>765</v>
      </c>
      <c r="E134" s="121" t="s">
        <v>605</v>
      </c>
      <c r="F134" s="119" t="s">
        <v>1067</v>
      </c>
      <c r="G134" s="119" t="s">
        <v>717</v>
      </c>
      <c r="H134" s="119" t="s">
        <v>293</v>
      </c>
      <c r="I134" s="124" t="s">
        <v>788</v>
      </c>
      <c r="J134" s="123">
        <v>285600</v>
      </c>
    </row>
    <row r="135" spans="1:10" s="83" customFormat="1">
      <c r="A135" s="118" t="s">
        <v>399</v>
      </c>
      <c r="B135" s="119" t="s">
        <v>283</v>
      </c>
      <c r="C135" s="146" t="s">
        <v>728</v>
      </c>
      <c r="D135" s="120" t="s">
        <v>765</v>
      </c>
      <c r="E135" s="121" t="s">
        <v>606</v>
      </c>
      <c r="F135" s="119" t="s">
        <v>1067</v>
      </c>
      <c r="G135" s="119" t="s">
        <v>716</v>
      </c>
      <c r="H135" s="119" t="s">
        <v>292</v>
      </c>
      <c r="I135" s="124" t="s">
        <v>753</v>
      </c>
      <c r="J135" s="123">
        <v>210120</v>
      </c>
    </row>
    <row r="136" spans="1:10" s="83" customFormat="1">
      <c r="A136" s="118" t="s">
        <v>400</v>
      </c>
      <c r="B136" s="119" t="s">
        <v>283</v>
      </c>
      <c r="C136" s="119" t="s">
        <v>122</v>
      </c>
      <c r="D136" s="120" t="s">
        <v>765</v>
      </c>
      <c r="E136" s="121" t="s">
        <v>607</v>
      </c>
      <c r="F136" s="119" t="s">
        <v>1067</v>
      </c>
      <c r="G136" s="119" t="s">
        <v>717</v>
      </c>
      <c r="H136" s="119" t="s">
        <v>293</v>
      </c>
      <c r="I136" s="124" t="s">
        <v>788</v>
      </c>
      <c r="J136" s="123">
        <v>276150</v>
      </c>
    </row>
    <row r="137" spans="1:10" s="83" customFormat="1">
      <c r="A137" s="118" t="s">
        <v>401</v>
      </c>
      <c r="B137" s="119" t="s">
        <v>283</v>
      </c>
      <c r="C137" s="119" t="s">
        <v>122</v>
      </c>
      <c r="D137" s="120" t="s">
        <v>765</v>
      </c>
      <c r="E137" s="121" t="s">
        <v>608</v>
      </c>
      <c r="F137" s="119" t="s">
        <v>1068</v>
      </c>
      <c r="G137" s="119" t="s">
        <v>719</v>
      </c>
      <c r="H137" s="119" t="s">
        <v>712</v>
      </c>
      <c r="I137" s="124" t="s">
        <v>720</v>
      </c>
      <c r="J137" s="123">
        <v>169</v>
      </c>
    </row>
    <row r="138" spans="1:10" s="83" customFormat="1">
      <c r="A138" s="118" t="s">
        <v>402</v>
      </c>
      <c r="B138" s="119" t="s">
        <v>283</v>
      </c>
      <c r="C138" s="119" t="s">
        <v>125</v>
      </c>
      <c r="D138" s="120" t="s">
        <v>765</v>
      </c>
      <c r="E138" s="121" t="s">
        <v>284</v>
      </c>
      <c r="F138" s="119" t="s">
        <v>1067</v>
      </c>
      <c r="G138" s="119" t="s">
        <v>717</v>
      </c>
      <c r="H138" s="119" t="s">
        <v>293</v>
      </c>
      <c r="I138" s="124" t="s">
        <v>788</v>
      </c>
      <c r="J138" s="123">
        <v>173</v>
      </c>
    </row>
    <row r="139" spans="1:10" s="83" customFormat="1">
      <c r="A139" s="118" t="s">
        <v>403</v>
      </c>
      <c r="B139" s="119" t="s">
        <v>283</v>
      </c>
      <c r="C139" s="119" t="s">
        <v>125</v>
      </c>
      <c r="D139" s="120" t="s">
        <v>765</v>
      </c>
      <c r="E139" s="121" t="s">
        <v>609</v>
      </c>
      <c r="F139" s="119" t="s">
        <v>1067</v>
      </c>
      <c r="G139" s="119" t="s">
        <v>717</v>
      </c>
      <c r="H139" s="119" t="s">
        <v>293</v>
      </c>
      <c r="I139" s="124" t="s">
        <v>788</v>
      </c>
      <c r="J139" s="123">
        <v>96390</v>
      </c>
    </row>
    <row r="140" spans="1:10" s="83" customFormat="1">
      <c r="A140" s="118" t="s">
        <v>734</v>
      </c>
      <c r="B140" s="119" t="s">
        <v>283</v>
      </c>
      <c r="C140" s="119" t="s">
        <v>125</v>
      </c>
      <c r="D140" s="120" t="s">
        <v>765</v>
      </c>
      <c r="E140" s="121" t="s">
        <v>610</v>
      </c>
      <c r="F140" s="119" t="s">
        <v>1067</v>
      </c>
      <c r="G140" s="119"/>
      <c r="H140" s="119" t="s">
        <v>754</v>
      </c>
      <c r="I140" s="124" t="s">
        <v>754</v>
      </c>
      <c r="J140" s="123">
        <v>108675</v>
      </c>
    </row>
    <row r="141" spans="1:10" s="83" customFormat="1">
      <c r="A141" s="118" t="s">
        <v>404</v>
      </c>
      <c r="B141" s="119" t="s">
        <v>283</v>
      </c>
      <c r="C141" s="119" t="s">
        <v>125</v>
      </c>
      <c r="D141" s="120" t="s">
        <v>765</v>
      </c>
      <c r="E141" s="121" t="s">
        <v>611</v>
      </c>
      <c r="F141" s="119" t="s">
        <v>1067</v>
      </c>
      <c r="G141" s="119"/>
      <c r="H141" s="119" t="s">
        <v>754</v>
      </c>
      <c r="I141" s="124" t="s">
        <v>754</v>
      </c>
      <c r="J141" s="123">
        <v>191100</v>
      </c>
    </row>
    <row r="142" spans="1:10" s="83" customFormat="1">
      <c r="A142" s="118" t="s">
        <v>405</v>
      </c>
      <c r="B142" s="119" t="s">
        <v>283</v>
      </c>
      <c r="C142" s="119" t="s">
        <v>125</v>
      </c>
      <c r="D142" s="120" t="s">
        <v>765</v>
      </c>
      <c r="E142" s="121" t="s">
        <v>612</v>
      </c>
      <c r="F142" s="119" t="s">
        <v>1067</v>
      </c>
      <c r="G142" s="119" t="s">
        <v>716</v>
      </c>
      <c r="H142" s="119" t="s">
        <v>292</v>
      </c>
      <c r="I142" s="124" t="s">
        <v>753</v>
      </c>
      <c r="J142" s="123">
        <v>238350</v>
      </c>
    </row>
    <row r="143" spans="1:10" s="83" customFormat="1">
      <c r="A143" s="118" t="s">
        <v>406</v>
      </c>
      <c r="B143" s="119" t="s">
        <v>283</v>
      </c>
      <c r="C143" s="119" t="s">
        <v>125</v>
      </c>
      <c r="D143" s="120" t="s">
        <v>765</v>
      </c>
      <c r="E143" s="121" t="s">
        <v>613</v>
      </c>
      <c r="F143" s="119" t="s">
        <v>1067</v>
      </c>
      <c r="G143" s="119"/>
      <c r="H143" s="119" t="s">
        <v>754</v>
      </c>
      <c r="I143" s="124" t="s">
        <v>754</v>
      </c>
      <c r="J143" s="123">
        <v>189720</v>
      </c>
    </row>
    <row r="144" spans="1:10" s="83" customFormat="1">
      <c r="A144" s="118" t="s">
        <v>407</v>
      </c>
      <c r="B144" s="119" t="s">
        <v>283</v>
      </c>
      <c r="C144" s="119" t="s">
        <v>125</v>
      </c>
      <c r="D144" s="120" t="s">
        <v>765</v>
      </c>
      <c r="E144" s="121" t="s">
        <v>614</v>
      </c>
      <c r="F144" s="119" t="s">
        <v>1067</v>
      </c>
      <c r="G144" s="119" t="s">
        <v>716</v>
      </c>
      <c r="H144" s="119" t="s">
        <v>292</v>
      </c>
      <c r="I144" s="124" t="s">
        <v>753</v>
      </c>
      <c r="J144" s="123">
        <v>238350</v>
      </c>
    </row>
    <row r="145" spans="1:10" s="83" customFormat="1">
      <c r="A145" s="118" t="s">
        <v>408</v>
      </c>
      <c r="B145" s="119" t="s">
        <v>283</v>
      </c>
      <c r="C145" s="119" t="s">
        <v>125</v>
      </c>
      <c r="D145" s="120" t="s">
        <v>765</v>
      </c>
      <c r="E145" s="121" t="s">
        <v>615</v>
      </c>
      <c r="F145" s="119" t="s">
        <v>1067</v>
      </c>
      <c r="G145" s="119" t="s">
        <v>717</v>
      </c>
      <c r="H145" s="119" t="s">
        <v>293</v>
      </c>
      <c r="I145" s="124" t="s">
        <v>788</v>
      </c>
      <c r="J145" s="123">
        <v>129150</v>
      </c>
    </row>
    <row r="146" spans="1:10" s="83" customFormat="1">
      <c r="A146" s="118" t="s">
        <v>409</v>
      </c>
      <c r="B146" s="119" t="s">
        <v>283</v>
      </c>
      <c r="C146" s="119" t="s">
        <v>728</v>
      </c>
      <c r="D146" s="120" t="s">
        <v>765</v>
      </c>
      <c r="E146" s="121" t="s">
        <v>616</v>
      </c>
      <c r="F146" s="119" t="s">
        <v>1067</v>
      </c>
      <c r="G146" s="119"/>
      <c r="H146" s="119" t="s">
        <v>754</v>
      </c>
      <c r="I146" s="124" t="s">
        <v>754</v>
      </c>
      <c r="J146" s="123">
        <v>0</v>
      </c>
    </row>
    <row r="147" spans="1:10" s="83" customFormat="1">
      <c r="A147" s="118" t="s">
        <v>410</v>
      </c>
      <c r="B147" s="119" t="s">
        <v>283</v>
      </c>
      <c r="C147" s="149" t="s">
        <v>1104</v>
      </c>
      <c r="D147" s="120" t="s">
        <v>765</v>
      </c>
      <c r="E147" s="121" t="s">
        <v>732</v>
      </c>
      <c r="F147" s="119" t="s">
        <v>1067</v>
      </c>
      <c r="G147" s="119" t="s">
        <v>717</v>
      </c>
      <c r="H147" s="119" t="s">
        <v>293</v>
      </c>
      <c r="I147" s="124" t="s">
        <v>788</v>
      </c>
      <c r="J147" s="123">
        <v>105570</v>
      </c>
    </row>
    <row r="148" spans="1:10" s="83" customFormat="1">
      <c r="A148" s="118" t="s">
        <v>411</v>
      </c>
      <c r="B148" s="119" t="s">
        <v>283</v>
      </c>
      <c r="C148" s="147" t="s">
        <v>1104</v>
      </c>
      <c r="D148" s="120" t="s">
        <v>765</v>
      </c>
      <c r="E148" s="121" t="s">
        <v>617</v>
      </c>
      <c r="F148" s="119" t="s">
        <v>1067</v>
      </c>
      <c r="G148" s="119" t="s">
        <v>717</v>
      </c>
      <c r="H148" s="119" t="s">
        <v>293</v>
      </c>
      <c r="I148" s="124" t="s">
        <v>788</v>
      </c>
      <c r="J148" s="123">
        <v>117300</v>
      </c>
    </row>
    <row r="149" spans="1:10" s="83" customFormat="1">
      <c r="A149" s="118" t="s">
        <v>412</v>
      </c>
      <c r="B149" s="119" t="s">
        <v>283</v>
      </c>
      <c r="C149" s="119" t="s">
        <v>125</v>
      </c>
      <c r="D149" s="120" t="s">
        <v>765</v>
      </c>
      <c r="E149" s="121" t="s">
        <v>795</v>
      </c>
      <c r="F149" s="119" t="s">
        <v>1067</v>
      </c>
      <c r="G149" s="119" t="s">
        <v>717</v>
      </c>
      <c r="H149" s="119" t="s">
        <v>293</v>
      </c>
      <c r="I149" s="124" t="s">
        <v>788</v>
      </c>
      <c r="J149" s="123">
        <v>207060</v>
      </c>
    </row>
    <row r="150" spans="1:10" s="83" customFormat="1">
      <c r="A150" s="118" t="s">
        <v>413</v>
      </c>
      <c r="B150" s="119" t="s">
        <v>283</v>
      </c>
      <c r="C150" s="119" t="s">
        <v>125</v>
      </c>
      <c r="D150" s="120" t="s">
        <v>765</v>
      </c>
      <c r="E150" s="121" t="s">
        <v>618</v>
      </c>
      <c r="F150" s="119" t="s">
        <v>1068</v>
      </c>
      <c r="G150" s="119" t="s">
        <v>719</v>
      </c>
      <c r="H150" s="119" t="s">
        <v>712</v>
      </c>
      <c r="I150" s="124" t="s">
        <v>720</v>
      </c>
      <c r="J150" s="123">
        <v>186</v>
      </c>
    </row>
    <row r="151" spans="1:10" s="83" customFormat="1">
      <c r="A151" s="118" t="s">
        <v>414</v>
      </c>
      <c r="B151" s="119" t="s">
        <v>283</v>
      </c>
      <c r="C151" s="143" t="s">
        <v>867</v>
      </c>
      <c r="D151" s="120" t="s">
        <v>765</v>
      </c>
      <c r="E151" s="121" t="s">
        <v>619</v>
      </c>
      <c r="F151" s="119" t="s">
        <v>1067</v>
      </c>
      <c r="G151" s="119"/>
      <c r="H151" s="119" t="s">
        <v>754</v>
      </c>
      <c r="I151" s="124" t="s">
        <v>754</v>
      </c>
      <c r="J151" s="123">
        <v>216300</v>
      </c>
    </row>
    <row r="152" spans="1:10" s="83" customFormat="1">
      <c r="A152" s="118" t="s">
        <v>760</v>
      </c>
      <c r="B152" s="119" t="s">
        <v>283</v>
      </c>
      <c r="C152" s="143" t="s">
        <v>867</v>
      </c>
      <c r="D152" s="120" t="s">
        <v>765</v>
      </c>
      <c r="E152" s="121" t="s">
        <v>758</v>
      </c>
      <c r="F152" s="119" t="s">
        <v>1067</v>
      </c>
      <c r="G152" s="119"/>
      <c r="H152" s="119"/>
      <c r="I152" s="124"/>
      <c r="J152" s="123">
        <v>219300</v>
      </c>
    </row>
    <row r="153" spans="1:10" s="83" customFormat="1">
      <c r="A153" s="118" t="s">
        <v>796</v>
      </c>
      <c r="B153" s="119" t="s">
        <v>283</v>
      </c>
      <c r="C153" s="119" t="s">
        <v>122</v>
      </c>
      <c r="D153" s="120" t="s">
        <v>765</v>
      </c>
      <c r="E153" s="121" t="s">
        <v>797</v>
      </c>
      <c r="F153" s="119" t="s">
        <v>935</v>
      </c>
      <c r="G153" s="119" t="s">
        <v>719</v>
      </c>
      <c r="H153" s="119" t="s">
        <v>712</v>
      </c>
      <c r="I153" s="124" t="s">
        <v>720</v>
      </c>
      <c r="J153" s="123">
        <v>164</v>
      </c>
    </row>
    <row r="154" spans="1:10" s="83" customFormat="1">
      <c r="A154" s="118" t="s">
        <v>798</v>
      </c>
      <c r="B154" s="119" t="s">
        <v>283</v>
      </c>
      <c r="C154" s="119" t="s">
        <v>125</v>
      </c>
      <c r="D154" s="120" t="s">
        <v>765</v>
      </c>
      <c r="E154" s="121" t="s">
        <v>799</v>
      </c>
      <c r="F154" s="119" t="s">
        <v>935</v>
      </c>
      <c r="G154" s="119" t="s">
        <v>719</v>
      </c>
      <c r="H154" s="119" t="s">
        <v>712</v>
      </c>
      <c r="I154" s="124" t="s">
        <v>720</v>
      </c>
      <c r="J154" s="123">
        <v>150</v>
      </c>
    </row>
    <row r="155" spans="1:10" s="83" customFormat="1">
      <c r="A155" s="118" t="s">
        <v>800</v>
      </c>
      <c r="B155" s="119" t="s">
        <v>283</v>
      </c>
      <c r="C155" s="119" t="s">
        <v>125</v>
      </c>
      <c r="D155" s="120" t="s">
        <v>765</v>
      </c>
      <c r="E155" s="121" t="s">
        <v>801</v>
      </c>
      <c r="F155" s="119" t="s">
        <v>935</v>
      </c>
      <c r="G155" s="119" t="s">
        <v>719</v>
      </c>
      <c r="H155" s="119" t="s">
        <v>712</v>
      </c>
      <c r="I155" s="124" t="s">
        <v>720</v>
      </c>
      <c r="J155" s="123">
        <v>158</v>
      </c>
    </row>
    <row r="156" spans="1:10" s="83" customFormat="1">
      <c r="A156" s="118" t="s">
        <v>802</v>
      </c>
      <c r="B156" s="119" t="s">
        <v>283</v>
      </c>
      <c r="C156" s="119" t="s">
        <v>125</v>
      </c>
      <c r="D156" s="120" t="s">
        <v>765</v>
      </c>
      <c r="E156" s="121" t="s">
        <v>803</v>
      </c>
      <c r="F156" s="119" t="s">
        <v>935</v>
      </c>
      <c r="G156" s="119" t="s">
        <v>719</v>
      </c>
      <c r="H156" s="119" t="s">
        <v>712</v>
      </c>
      <c r="I156" s="124" t="s">
        <v>720</v>
      </c>
      <c r="J156" s="123">
        <v>130</v>
      </c>
    </row>
    <row r="157" spans="1:10" s="83" customFormat="1">
      <c r="A157" s="118" t="s">
        <v>804</v>
      </c>
      <c r="B157" s="119" t="s">
        <v>283</v>
      </c>
      <c r="C157" s="119" t="s">
        <v>122</v>
      </c>
      <c r="D157" s="120" t="s">
        <v>765</v>
      </c>
      <c r="E157" s="121" t="s">
        <v>774</v>
      </c>
      <c r="F157" s="119" t="s">
        <v>1067</v>
      </c>
      <c r="G157" s="119" t="s">
        <v>716</v>
      </c>
      <c r="H157" s="119" t="s">
        <v>292</v>
      </c>
      <c r="I157" s="124" t="s">
        <v>753</v>
      </c>
      <c r="J157" s="123">
        <v>276150</v>
      </c>
    </row>
    <row r="158" spans="1:10" s="83" customFormat="1">
      <c r="A158" s="118" t="s">
        <v>887</v>
      </c>
      <c r="B158" s="119" t="s">
        <v>283</v>
      </c>
      <c r="C158" s="119" t="s">
        <v>125</v>
      </c>
      <c r="D158" s="120" t="s">
        <v>765</v>
      </c>
      <c r="E158" s="121" t="s">
        <v>888</v>
      </c>
      <c r="F158" s="119" t="s">
        <v>1067</v>
      </c>
      <c r="G158" s="119" t="s">
        <v>717</v>
      </c>
      <c r="H158" s="119" t="s">
        <v>293</v>
      </c>
      <c r="I158" s="124" t="s">
        <v>788</v>
      </c>
      <c r="J158" s="123">
        <v>298200</v>
      </c>
    </row>
    <row r="159" spans="1:10" s="83" customFormat="1">
      <c r="A159" s="118" t="s">
        <v>889</v>
      </c>
      <c r="B159" s="119" t="s">
        <v>283</v>
      </c>
      <c r="C159" s="119" t="s">
        <v>132</v>
      </c>
      <c r="D159" s="120" t="s">
        <v>765</v>
      </c>
      <c r="E159" s="121" t="s">
        <v>890</v>
      </c>
      <c r="F159" s="119" t="s">
        <v>1067</v>
      </c>
      <c r="G159" s="119" t="s">
        <v>717</v>
      </c>
      <c r="H159" s="119" t="s">
        <v>293</v>
      </c>
      <c r="I159" s="124" t="s">
        <v>788</v>
      </c>
      <c r="J159" s="123">
        <v>270900</v>
      </c>
    </row>
    <row r="160" spans="1:10" s="83" customFormat="1">
      <c r="A160" s="118" t="s">
        <v>891</v>
      </c>
      <c r="B160" s="119" t="s">
        <v>283</v>
      </c>
      <c r="C160" s="147" t="s">
        <v>1104</v>
      </c>
      <c r="D160" s="120" t="s">
        <v>765</v>
      </c>
      <c r="E160" s="121" t="s">
        <v>892</v>
      </c>
      <c r="F160" s="119" t="s">
        <v>1067</v>
      </c>
      <c r="G160" s="119" t="s">
        <v>717</v>
      </c>
      <c r="H160" s="119" t="s">
        <v>293</v>
      </c>
      <c r="I160" s="124" t="s">
        <v>788</v>
      </c>
      <c r="J160" s="123">
        <v>334950</v>
      </c>
    </row>
    <row r="161" spans="1:10" s="83" customFormat="1">
      <c r="A161" s="118" t="s">
        <v>863</v>
      </c>
      <c r="B161" s="119" t="s">
        <v>283</v>
      </c>
      <c r="C161" s="119" t="s">
        <v>122</v>
      </c>
      <c r="D161" s="120" t="s">
        <v>765</v>
      </c>
      <c r="E161" s="121" t="s">
        <v>893</v>
      </c>
      <c r="F161" s="119" t="s">
        <v>1068</v>
      </c>
      <c r="G161" s="119"/>
      <c r="H161" s="119"/>
      <c r="I161" s="124"/>
      <c r="J161" s="123">
        <v>147</v>
      </c>
    </row>
    <row r="162" spans="1:10" s="83" customFormat="1">
      <c r="A162" s="118" t="s">
        <v>894</v>
      </c>
      <c r="B162" s="119" t="s">
        <v>283</v>
      </c>
      <c r="C162" s="119" t="s">
        <v>122</v>
      </c>
      <c r="D162" s="120" t="s">
        <v>765</v>
      </c>
      <c r="E162" s="121" t="s">
        <v>895</v>
      </c>
      <c r="F162" s="119" t="s">
        <v>1067</v>
      </c>
      <c r="G162" s="119"/>
      <c r="H162" s="119"/>
      <c r="I162" s="124"/>
      <c r="J162" s="123">
        <v>276150</v>
      </c>
    </row>
    <row r="163" spans="1:10" s="83" customFormat="1">
      <c r="A163" s="118" t="s">
        <v>961</v>
      </c>
      <c r="B163" s="119" t="s">
        <v>283</v>
      </c>
      <c r="C163" s="119" t="s">
        <v>132</v>
      </c>
      <c r="D163" s="120" t="s">
        <v>765</v>
      </c>
      <c r="E163" s="121" t="s">
        <v>991</v>
      </c>
      <c r="F163" s="119" t="s">
        <v>1067</v>
      </c>
      <c r="G163" s="119"/>
      <c r="H163" s="119"/>
      <c r="I163" s="124"/>
      <c r="J163" s="123">
        <v>298200</v>
      </c>
    </row>
    <row r="164" spans="1:10" s="83" customFormat="1">
      <c r="A164" s="118" t="s">
        <v>962</v>
      </c>
      <c r="B164" s="119" t="s">
        <v>283</v>
      </c>
      <c r="C164" s="147" t="s">
        <v>1099</v>
      </c>
      <c r="D164" s="120" t="s">
        <v>765</v>
      </c>
      <c r="E164" s="121" t="s">
        <v>963</v>
      </c>
      <c r="F164" s="119" t="s">
        <v>1067</v>
      </c>
      <c r="G164" s="119"/>
      <c r="H164" s="119"/>
      <c r="I164" s="124"/>
      <c r="J164" s="123">
        <v>241500</v>
      </c>
    </row>
    <row r="165" spans="1:10" s="83" customFormat="1">
      <c r="A165" s="118" t="s">
        <v>985</v>
      </c>
      <c r="B165" s="119" t="s">
        <v>283</v>
      </c>
      <c r="C165" s="119" t="s">
        <v>132</v>
      </c>
      <c r="D165" s="120" t="s">
        <v>765</v>
      </c>
      <c r="E165" s="121" t="s">
        <v>992</v>
      </c>
      <c r="F165" s="119" t="s">
        <v>1067</v>
      </c>
      <c r="G165" s="119"/>
      <c r="H165" s="119"/>
      <c r="I165" s="124"/>
      <c r="J165" s="123"/>
    </row>
    <row r="166" spans="1:10" s="83" customFormat="1">
      <c r="A166" s="118" t="s">
        <v>1081</v>
      </c>
      <c r="B166" s="119" t="s">
        <v>283</v>
      </c>
      <c r="C166" s="119" t="s">
        <v>122</v>
      </c>
      <c r="D166" s="120" t="s">
        <v>765</v>
      </c>
      <c r="E166" s="121" t="s">
        <v>1082</v>
      </c>
      <c r="F166" s="119" t="s">
        <v>1067</v>
      </c>
      <c r="G166" s="119"/>
      <c r="H166" s="119"/>
      <c r="I166" s="124"/>
      <c r="J166" s="123">
        <v>289800</v>
      </c>
    </row>
    <row r="167" spans="1:10" s="83" customFormat="1">
      <c r="A167" s="118" t="s">
        <v>1083</v>
      </c>
      <c r="B167" s="119" t="s">
        <v>283</v>
      </c>
      <c r="C167" s="119" t="s">
        <v>132</v>
      </c>
      <c r="D167" s="120" t="s">
        <v>765</v>
      </c>
      <c r="E167" s="121" t="s">
        <v>1084</v>
      </c>
      <c r="F167" s="119" t="s">
        <v>1067</v>
      </c>
      <c r="G167" s="119"/>
      <c r="H167" s="119"/>
      <c r="I167" s="124"/>
      <c r="J167" s="123">
        <v>270900</v>
      </c>
    </row>
    <row r="168" spans="1:10" s="83" customFormat="1">
      <c r="A168" s="118" t="s">
        <v>1085</v>
      </c>
      <c r="B168" s="119" t="s">
        <v>283</v>
      </c>
      <c r="C168" s="119" t="s">
        <v>132</v>
      </c>
      <c r="D168" s="120" t="s">
        <v>765</v>
      </c>
      <c r="E168" s="121" t="s">
        <v>1086</v>
      </c>
      <c r="F168" s="145" t="s">
        <v>1130</v>
      </c>
      <c r="G168" s="119"/>
      <c r="H168" s="119"/>
      <c r="I168" s="124"/>
      <c r="J168" s="123">
        <v>284550</v>
      </c>
    </row>
    <row r="169" spans="1:10" s="83" customFormat="1">
      <c r="A169" s="157" t="s">
        <v>1131</v>
      </c>
      <c r="B169" s="119" t="s">
        <v>283</v>
      </c>
      <c r="C169" s="119" t="s">
        <v>132</v>
      </c>
      <c r="D169" s="120" t="s">
        <v>765</v>
      </c>
      <c r="E169" s="121" t="s">
        <v>1132</v>
      </c>
      <c r="F169" s="119" t="s">
        <v>1067</v>
      </c>
      <c r="G169" s="119"/>
      <c r="H169" s="119"/>
      <c r="I169" s="124"/>
      <c r="J169" s="123">
        <v>232050</v>
      </c>
    </row>
    <row r="170" spans="1:10" s="83" customFormat="1">
      <c r="A170" s="118" t="s">
        <v>415</v>
      </c>
      <c r="B170" s="119" t="s">
        <v>283</v>
      </c>
      <c r="C170" s="119" t="s">
        <v>127</v>
      </c>
      <c r="D170" s="120" t="s">
        <v>765</v>
      </c>
      <c r="E170" s="121" t="s">
        <v>621</v>
      </c>
      <c r="F170" s="119" t="s">
        <v>935</v>
      </c>
      <c r="G170" s="119" t="s">
        <v>714</v>
      </c>
      <c r="H170" s="119" t="s">
        <v>290</v>
      </c>
      <c r="I170" s="124" t="s">
        <v>785</v>
      </c>
      <c r="J170" s="123">
        <v>2111</v>
      </c>
    </row>
    <row r="171" spans="1:10" s="83" customFormat="1">
      <c r="A171" s="118" t="s">
        <v>416</v>
      </c>
      <c r="B171" s="119" t="s">
        <v>283</v>
      </c>
      <c r="C171" s="147" t="s">
        <v>728</v>
      </c>
      <c r="D171" s="120" t="s">
        <v>765</v>
      </c>
      <c r="E171" s="121" t="s">
        <v>622</v>
      </c>
      <c r="F171" s="119" t="s">
        <v>935</v>
      </c>
      <c r="G171" s="119"/>
      <c r="H171" s="119" t="s">
        <v>754</v>
      </c>
      <c r="I171" s="124" t="s">
        <v>754</v>
      </c>
      <c r="J171" s="123">
        <v>0</v>
      </c>
    </row>
    <row r="172" spans="1:10" s="83" customFormat="1">
      <c r="A172" s="118" t="s">
        <v>417</v>
      </c>
      <c r="B172" s="119" t="s">
        <v>283</v>
      </c>
      <c r="C172" s="119" t="s">
        <v>127</v>
      </c>
      <c r="D172" s="120" t="s">
        <v>765</v>
      </c>
      <c r="E172" s="121" t="s">
        <v>623</v>
      </c>
      <c r="F172" s="119" t="s">
        <v>935</v>
      </c>
      <c r="G172" s="119" t="s">
        <v>714</v>
      </c>
      <c r="H172" s="119" t="s">
        <v>290</v>
      </c>
      <c r="I172" s="124" t="s">
        <v>785</v>
      </c>
      <c r="J172" s="123">
        <v>2111</v>
      </c>
    </row>
    <row r="173" spans="1:10" s="83" customFormat="1">
      <c r="A173" s="118" t="s">
        <v>418</v>
      </c>
      <c r="B173" s="119" t="s">
        <v>283</v>
      </c>
      <c r="C173" s="119" t="s">
        <v>127</v>
      </c>
      <c r="D173" s="120" t="s">
        <v>765</v>
      </c>
      <c r="E173" s="121" t="s">
        <v>624</v>
      </c>
      <c r="F173" s="119" t="s">
        <v>935</v>
      </c>
      <c r="G173" s="119"/>
      <c r="H173" s="119" t="s">
        <v>754</v>
      </c>
      <c r="I173" s="124" t="s">
        <v>754</v>
      </c>
      <c r="J173" s="123">
        <v>2214</v>
      </c>
    </row>
    <row r="174" spans="1:10" s="83" customFormat="1">
      <c r="A174" s="118" t="s">
        <v>419</v>
      </c>
      <c r="B174" s="119" t="s">
        <v>283</v>
      </c>
      <c r="C174" s="119" t="s">
        <v>127</v>
      </c>
      <c r="D174" s="120" t="s">
        <v>765</v>
      </c>
      <c r="E174" s="121" t="s">
        <v>964</v>
      </c>
      <c r="F174" s="119" t="s">
        <v>935</v>
      </c>
      <c r="G174" s="119" t="s">
        <v>714</v>
      </c>
      <c r="H174" s="119" t="s">
        <v>290</v>
      </c>
      <c r="I174" s="124" t="s">
        <v>785</v>
      </c>
      <c r="J174" s="123">
        <v>2214</v>
      </c>
    </row>
    <row r="175" spans="1:10" s="83" customFormat="1">
      <c r="A175" s="118" t="s">
        <v>420</v>
      </c>
      <c r="B175" s="119" t="s">
        <v>283</v>
      </c>
      <c r="C175" s="147" t="s">
        <v>1103</v>
      </c>
      <c r="D175" s="120" t="s">
        <v>765</v>
      </c>
      <c r="E175" s="121" t="s">
        <v>625</v>
      </c>
      <c r="F175" s="119" t="s">
        <v>935</v>
      </c>
      <c r="G175" s="119" t="s">
        <v>716</v>
      </c>
      <c r="H175" s="119" t="s">
        <v>292</v>
      </c>
      <c r="I175" s="124" t="s">
        <v>753</v>
      </c>
      <c r="J175" s="123">
        <v>2091</v>
      </c>
    </row>
    <row r="176" spans="1:10" s="83" customFormat="1">
      <c r="A176" s="118" t="s">
        <v>421</v>
      </c>
      <c r="B176" s="119" t="s">
        <v>283</v>
      </c>
      <c r="C176" s="119" t="s">
        <v>127</v>
      </c>
      <c r="D176" s="120" t="s">
        <v>765</v>
      </c>
      <c r="E176" s="121" t="s">
        <v>896</v>
      </c>
      <c r="F176" s="119" t="s">
        <v>935</v>
      </c>
      <c r="G176" s="119" t="s">
        <v>719</v>
      </c>
      <c r="H176" s="119" t="s">
        <v>712</v>
      </c>
      <c r="I176" s="124" t="s">
        <v>720</v>
      </c>
      <c r="J176" s="123">
        <v>1704</v>
      </c>
    </row>
    <row r="177" spans="1:10" s="83" customFormat="1">
      <c r="A177" s="118" t="s">
        <v>422</v>
      </c>
      <c r="B177" s="119" t="s">
        <v>283</v>
      </c>
      <c r="C177" s="146" t="s">
        <v>1102</v>
      </c>
      <c r="D177" s="120" t="s">
        <v>765</v>
      </c>
      <c r="E177" s="121" t="s">
        <v>626</v>
      </c>
      <c r="F177" s="119" t="s">
        <v>935</v>
      </c>
      <c r="G177" s="119" t="s">
        <v>716</v>
      </c>
      <c r="H177" s="119" t="s">
        <v>292</v>
      </c>
      <c r="I177" s="124" t="s">
        <v>753</v>
      </c>
      <c r="J177" s="123">
        <v>1565</v>
      </c>
    </row>
    <row r="178" spans="1:10" s="83" customFormat="1" ht="17.25" customHeight="1">
      <c r="A178" s="118" t="s">
        <v>423</v>
      </c>
      <c r="B178" s="119" t="s">
        <v>283</v>
      </c>
      <c r="C178" s="119" t="s">
        <v>127</v>
      </c>
      <c r="D178" s="120" t="s">
        <v>765</v>
      </c>
      <c r="E178" s="121" t="s">
        <v>805</v>
      </c>
      <c r="F178" s="119" t="s">
        <v>935</v>
      </c>
      <c r="G178" s="119" t="s">
        <v>715</v>
      </c>
      <c r="H178" s="119" t="s">
        <v>291</v>
      </c>
      <c r="I178" s="124" t="s">
        <v>755</v>
      </c>
      <c r="J178" s="123">
        <v>2405</v>
      </c>
    </row>
    <row r="179" spans="1:10" s="83" customFormat="1">
      <c r="A179" s="118" t="s">
        <v>424</v>
      </c>
      <c r="B179" s="119" t="s">
        <v>283</v>
      </c>
      <c r="C179" s="119" t="s">
        <v>127</v>
      </c>
      <c r="D179" s="120" t="s">
        <v>765</v>
      </c>
      <c r="E179" s="121" t="s">
        <v>627</v>
      </c>
      <c r="F179" s="119" t="s">
        <v>935</v>
      </c>
      <c r="G179" s="119" t="s">
        <v>716</v>
      </c>
      <c r="H179" s="119" t="s">
        <v>292</v>
      </c>
      <c r="I179" s="124" t="s">
        <v>753</v>
      </c>
      <c r="J179" s="123">
        <v>893</v>
      </c>
    </row>
    <row r="180" spans="1:10" s="83" customFormat="1">
      <c r="A180" s="118" t="s">
        <v>425</v>
      </c>
      <c r="B180" s="119" t="s">
        <v>283</v>
      </c>
      <c r="C180" s="119" t="s">
        <v>127</v>
      </c>
      <c r="D180" s="120" t="s">
        <v>765</v>
      </c>
      <c r="E180" s="121" t="s">
        <v>628</v>
      </c>
      <c r="F180" s="119" t="s">
        <v>935</v>
      </c>
      <c r="G180" s="119" t="s">
        <v>715</v>
      </c>
      <c r="H180" s="119" t="s">
        <v>291</v>
      </c>
      <c r="I180" s="124" t="s">
        <v>755</v>
      </c>
      <c r="J180" s="123">
        <v>2325</v>
      </c>
    </row>
    <row r="181" spans="1:10" s="83" customFormat="1">
      <c r="A181" s="118" t="s">
        <v>426</v>
      </c>
      <c r="B181" s="119" t="s">
        <v>283</v>
      </c>
      <c r="C181" s="119" t="s">
        <v>127</v>
      </c>
      <c r="D181" s="120" t="s">
        <v>765</v>
      </c>
      <c r="E181" s="121" t="s">
        <v>629</v>
      </c>
      <c r="F181" s="119" t="s">
        <v>935</v>
      </c>
      <c r="G181" s="119" t="s">
        <v>715</v>
      </c>
      <c r="H181" s="119" t="s">
        <v>291</v>
      </c>
      <c r="I181" s="124" t="s">
        <v>755</v>
      </c>
      <c r="J181" s="123">
        <v>2877</v>
      </c>
    </row>
    <row r="182" spans="1:10" s="83" customFormat="1">
      <c r="A182" s="118" t="s">
        <v>427</v>
      </c>
      <c r="B182" s="119" t="s">
        <v>283</v>
      </c>
      <c r="C182" s="119" t="s">
        <v>127</v>
      </c>
      <c r="D182" s="120" t="s">
        <v>765</v>
      </c>
      <c r="E182" s="121" t="s">
        <v>630</v>
      </c>
      <c r="F182" s="119" t="s">
        <v>935</v>
      </c>
      <c r="G182" s="119" t="s">
        <v>715</v>
      </c>
      <c r="H182" s="119" t="s">
        <v>291</v>
      </c>
      <c r="I182" s="124" t="s">
        <v>755</v>
      </c>
      <c r="J182" s="123">
        <v>2111</v>
      </c>
    </row>
    <row r="183" spans="1:10" s="83" customFormat="1">
      <c r="A183" s="118" t="s">
        <v>428</v>
      </c>
      <c r="B183" s="119" t="s">
        <v>283</v>
      </c>
      <c r="C183" s="119" t="s">
        <v>127</v>
      </c>
      <c r="D183" s="120" t="s">
        <v>765</v>
      </c>
      <c r="E183" s="121" t="s">
        <v>806</v>
      </c>
      <c r="F183" s="119" t="s">
        <v>935</v>
      </c>
      <c r="G183" s="119" t="s">
        <v>716</v>
      </c>
      <c r="H183" s="119" t="s">
        <v>292</v>
      </c>
      <c r="I183" s="124" t="s">
        <v>753</v>
      </c>
      <c r="J183" s="123">
        <v>494</v>
      </c>
    </row>
    <row r="184" spans="1:10" s="83" customFormat="1">
      <c r="A184" s="118" t="s">
        <v>429</v>
      </c>
      <c r="B184" s="119" t="s">
        <v>283</v>
      </c>
      <c r="C184" s="119" t="s">
        <v>127</v>
      </c>
      <c r="D184" s="120" t="s">
        <v>765</v>
      </c>
      <c r="E184" s="121" t="s">
        <v>631</v>
      </c>
      <c r="F184" s="119" t="s">
        <v>935</v>
      </c>
      <c r="G184" s="119" t="s">
        <v>716</v>
      </c>
      <c r="H184" s="119" t="s">
        <v>292</v>
      </c>
      <c r="I184" s="124" t="s">
        <v>753</v>
      </c>
      <c r="J184" s="125">
        <v>2646</v>
      </c>
    </row>
    <row r="185" spans="1:10" s="83" customFormat="1">
      <c r="A185" s="118" t="s">
        <v>430</v>
      </c>
      <c r="B185" s="119" t="s">
        <v>283</v>
      </c>
      <c r="C185" s="119" t="s">
        <v>127</v>
      </c>
      <c r="D185" s="120" t="s">
        <v>765</v>
      </c>
      <c r="E185" s="121" t="s">
        <v>632</v>
      </c>
      <c r="F185" s="119" t="s">
        <v>935</v>
      </c>
      <c r="G185" s="119" t="s">
        <v>719</v>
      </c>
      <c r="H185" s="119" t="s">
        <v>712</v>
      </c>
      <c r="I185" s="124" t="s">
        <v>720</v>
      </c>
      <c r="J185" s="123">
        <v>2601</v>
      </c>
    </row>
    <row r="186" spans="1:10" s="83" customFormat="1">
      <c r="A186" s="118" t="s">
        <v>431</v>
      </c>
      <c r="B186" s="119" t="s">
        <v>283</v>
      </c>
      <c r="C186" s="147" t="s">
        <v>1099</v>
      </c>
      <c r="D186" s="120" t="s">
        <v>765</v>
      </c>
      <c r="E186" s="121" t="s">
        <v>633</v>
      </c>
      <c r="F186" s="119" t="s">
        <v>935</v>
      </c>
      <c r="G186" s="119" t="s">
        <v>716</v>
      </c>
      <c r="H186" s="119" t="s">
        <v>292</v>
      </c>
      <c r="I186" s="124" t="s">
        <v>753</v>
      </c>
      <c r="J186" s="123">
        <v>1055</v>
      </c>
    </row>
    <row r="187" spans="1:10" s="83" customFormat="1">
      <c r="A187" s="118" t="s">
        <v>432</v>
      </c>
      <c r="B187" s="119" t="s">
        <v>283</v>
      </c>
      <c r="C187" s="119" t="s">
        <v>123</v>
      </c>
      <c r="D187" s="120" t="s">
        <v>765</v>
      </c>
      <c r="E187" s="121" t="s">
        <v>634</v>
      </c>
      <c r="F187" s="119" t="s">
        <v>935</v>
      </c>
      <c r="G187" s="119" t="s">
        <v>716</v>
      </c>
      <c r="H187" s="119" t="s">
        <v>292</v>
      </c>
      <c r="I187" s="124" t="s">
        <v>753</v>
      </c>
      <c r="J187" s="123">
        <v>1326</v>
      </c>
    </row>
    <row r="188" spans="1:10" s="83" customFormat="1">
      <c r="A188" s="118" t="s">
        <v>433</v>
      </c>
      <c r="B188" s="119" t="s">
        <v>283</v>
      </c>
      <c r="C188" s="126" t="s">
        <v>1069</v>
      </c>
      <c r="D188" s="120" t="s">
        <v>765</v>
      </c>
      <c r="E188" s="121" t="s">
        <v>965</v>
      </c>
      <c r="F188" s="119" t="s">
        <v>935</v>
      </c>
      <c r="G188" s="119" t="s">
        <v>716</v>
      </c>
      <c r="H188" s="119" t="s">
        <v>292</v>
      </c>
      <c r="I188" s="124" t="s">
        <v>753</v>
      </c>
      <c r="J188" s="123">
        <v>714</v>
      </c>
    </row>
    <row r="189" spans="1:10" s="83" customFormat="1">
      <c r="A189" s="118" t="s">
        <v>434</v>
      </c>
      <c r="B189" s="119" t="s">
        <v>283</v>
      </c>
      <c r="C189" s="119" t="s">
        <v>123</v>
      </c>
      <c r="D189" s="120" t="s">
        <v>765</v>
      </c>
      <c r="E189" s="121" t="s">
        <v>635</v>
      </c>
      <c r="F189" s="119" t="s">
        <v>935</v>
      </c>
      <c r="G189" s="119" t="s">
        <v>716</v>
      </c>
      <c r="H189" s="119" t="s">
        <v>292</v>
      </c>
      <c r="I189" s="124" t="s">
        <v>753</v>
      </c>
      <c r="J189" s="123">
        <v>539</v>
      </c>
    </row>
    <row r="190" spans="1:10" s="83" customFormat="1">
      <c r="A190" s="118" t="s">
        <v>435</v>
      </c>
      <c r="B190" s="119" t="s">
        <v>283</v>
      </c>
      <c r="C190" s="119" t="s">
        <v>123</v>
      </c>
      <c r="D190" s="120" t="s">
        <v>765</v>
      </c>
      <c r="E190" s="121" t="s">
        <v>636</v>
      </c>
      <c r="F190" s="119" t="s">
        <v>935</v>
      </c>
      <c r="G190" s="119" t="s">
        <v>716</v>
      </c>
      <c r="H190" s="119" t="s">
        <v>292</v>
      </c>
      <c r="I190" s="124" t="s">
        <v>753</v>
      </c>
      <c r="J190" s="123">
        <v>514</v>
      </c>
    </row>
    <row r="191" spans="1:10" s="83" customFormat="1">
      <c r="A191" s="118" t="s">
        <v>436</v>
      </c>
      <c r="B191" s="119" t="s">
        <v>283</v>
      </c>
      <c r="C191" s="119" t="s">
        <v>123</v>
      </c>
      <c r="D191" s="120" t="s">
        <v>765</v>
      </c>
      <c r="E191" s="121" t="s">
        <v>897</v>
      </c>
      <c r="F191" s="119" t="s">
        <v>935</v>
      </c>
      <c r="G191" s="119" t="s">
        <v>716</v>
      </c>
      <c r="H191" s="119" t="s">
        <v>292</v>
      </c>
      <c r="I191" s="124" t="s">
        <v>753</v>
      </c>
      <c r="J191" s="123">
        <v>548</v>
      </c>
    </row>
    <row r="192" spans="1:10" s="83" customFormat="1">
      <c r="A192" s="118" t="s">
        <v>437</v>
      </c>
      <c r="B192" s="119" t="s">
        <v>283</v>
      </c>
      <c r="C192" s="119" t="s">
        <v>728</v>
      </c>
      <c r="D192" s="120" t="s">
        <v>765</v>
      </c>
      <c r="E192" s="121" t="s">
        <v>637</v>
      </c>
      <c r="F192" s="119" t="s">
        <v>935</v>
      </c>
      <c r="G192" s="119"/>
      <c r="H192" s="119" t="s">
        <v>754</v>
      </c>
      <c r="I192" s="124" t="s">
        <v>754</v>
      </c>
      <c r="J192" s="123">
        <v>0</v>
      </c>
    </row>
    <row r="193" spans="1:10" s="83" customFormat="1">
      <c r="A193" s="118" t="s">
        <v>438</v>
      </c>
      <c r="B193" s="119" t="s">
        <v>283</v>
      </c>
      <c r="C193" s="147" t="s">
        <v>1104</v>
      </c>
      <c r="D193" s="120" t="s">
        <v>765</v>
      </c>
      <c r="E193" s="121" t="s">
        <v>638</v>
      </c>
      <c r="F193" s="119" t="s">
        <v>935</v>
      </c>
      <c r="G193" s="119" t="s">
        <v>716</v>
      </c>
      <c r="H193" s="119" t="s">
        <v>292</v>
      </c>
      <c r="I193" s="124" t="s">
        <v>753</v>
      </c>
      <c r="J193" s="123">
        <v>792</v>
      </c>
    </row>
    <row r="194" spans="1:10" s="83" customFormat="1">
      <c r="A194" s="118" t="s">
        <v>439</v>
      </c>
      <c r="B194" s="119" t="s">
        <v>283</v>
      </c>
      <c r="C194" s="119" t="s">
        <v>123</v>
      </c>
      <c r="D194" s="120" t="s">
        <v>765</v>
      </c>
      <c r="E194" s="121" t="s">
        <v>639</v>
      </c>
      <c r="F194" s="119" t="s">
        <v>935</v>
      </c>
      <c r="G194" s="119" t="s">
        <v>716</v>
      </c>
      <c r="H194" s="119" t="s">
        <v>292</v>
      </c>
      <c r="I194" s="124" t="s">
        <v>753</v>
      </c>
      <c r="J194" s="123">
        <v>956</v>
      </c>
    </row>
    <row r="195" spans="1:10" s="83" customFormat="1">
      <c r="A195" s="118" t="s">
        <v>440</v>
      </c>
      <c r="B195" s="119" t="s">
        <v>283</v>
      </c>
      <c r="C195" s="119" t="s">
        <v>123</v>
      </c>
      <c r="D195" s="120" t="s">
        <v>765</v>
      </c>
      <c r="E195" s="121" t="s">
        <v>640</v>
      </c>
      <c r="F195" s="119" t="s">
        <v>935</v>
      </c>
      <c r="G195" s="119" t="s">
        <v>716</v>
      </c>
      <c r="H195" s="119" t="s">
        <v>292</v>
      </c>
      <c r="I195" s="124" t="s">
        <v>753</v>
      </c>
      <c r="J195" s="123">
        <v>857</v>
      </c>
    </row>
    <row r="196" spans="1:10" s="83" customFormat="1">
      <c r="A196" s="118" t="s">
        <v>441</v>
      </c>
      <c r="B196" s="119" t="s">
        <v>283</v>
      </c>
      <c r="C196" s="119" t="s">
        <v>123</v>
      </c>
      <c r="D196" s="120" t="s">
        <v>765</v>
      </c>
      <c r="E196" s="121" t="s">
        <v>641</v>
      </c>
      <c r="F196" s="119" t="s">
        <v>935</v>
      </c>
      <c r="G196" s="119" t="s">
        <v>716</v>
      </c>
      <c r="H196" s="119" t="s">
        <v>292</v>
      </c>
      <c r="I196" s="124" t="s">
        <v>753</v>
      </c>
      <c r="J196" s="123">
        <v>851</v>
      </c>
    </row>
    <row r="197" spans="1:10" s="83" customFormat="1">
      <c r="A197" s="118" t="s">
        <v>442</v>
      </c>
      <c r="B197" s="119" t="s">
        <v>283</v>
      </c>
      <c r="C197" s="119" t="s">
        <v>123</v>
      </c>
      <c r="D197" s="120" t="s">
        <v>765</v>
      </c>
      <c r="E197" s="121" t="s">
        <v>642</v>
      </c>
      <c r="F197" s="119" t="s">
        <v>935</v>
      </c>
      <c r="G197" s="119" t="s">
        <v>716</v>
      </c>
      <c r="H197" s="119" t="s">
        <v>292</v>
      </c>
      <c r="I197" s="124" t="s">
        <v>753</v>
      </c>
      <c r="J197" s="123">
        <v>1019</v>
      </c>
    </row>
    <row r="198" spans="1:10" s="83" customFormat="1">
      <c r="A198" s="118" t="s">
        <v>443</v>
      </c>
      <c r="B198" s="119" t="s">
        <v>283</v>
      </c>
      <c r="C198" s="119" t="s">
        <v>123</v>
      </c>
      <c r="D198" s="120" t="s">
        <v>765</v>
      </c>
      <c r="E198" s="121" t="s">
        <v>747</v>
      </c>
      <c r="F198" s="119" t="s">
        <v>935</v>
      </c>
      <c r="G198" s="119" t="s">
        <v>716</v>
      </c>
      <c r="H198" s="119" t="s">
        <v>292</v>
      </c>
      <c r="I198" s="124" t="s">
        <v>753</v>
      </c>
      <c r="J198" s="123">
        <v>908</v>
      </c>
    </row>
    <row r="199" spans="1:10" s="83" customFormat="1">
      <c r="A199" s="118" t="s">
        <v>444</v>
      </c>
      <c r="B199" s="119" t="s">
        <v>283</v>
      </c>
      <c r="C199" s="119" t="s">
        <v>123</v>
      </c>
      <c r="D199" s="120" t="s">
        <v>765</v>
      </c>
      <c r="E199" s="121" t="s">
        <v>748</v>
      </c>
      <c r="F199" s="119" t="s">
        <v>935</v>
      </c>
      <c r="G199" s="119" t="s">
        <v>716</v>
      </c>
      <c r="H199" s="119" t="s">
        <v>292</v>
      </c>
      <c r="I199" s="124" t="s">
        <v>753</v>
      </c>
      <c r="J199" s="123">
        <v>908</v>
      </c>
    </row>
    <row r="200" spans="1:10" s="83" customFormat="1">
      <c r="A200" s="118" t="s">
        <v>445</v>
      </c>
      <c r="B200" s="119" t="s">
        <v>283</v>
      </c>
      <c r="C200" s="146" t="s">
        <v>1102</v>
      </c>
      <c r="D200" s="120" t="s">
        <v>765</v>
      </c>
      <c r="E200" s="121" t="s">
        <v>643</v>
      </c>
      <c r="F200" s="119" t="s">
        <v>935</v>
      </c>
      <c r="G200" s="119" t="s">
        <v>716</v>
      </c>
      <c r="H200" s="119" t="s">
        <v>292</v>
      </c>
      <c r="I200" s="124" t="s">
        <v>753</v>
      </c>
      <c r="J200" s="123">
        <v>1620</v>
      </c>
    </row>
    <row r="201" spans="1:10" s="83" customFormat="1">
      <c r="A201" s="118" t="s">
        <v>446</v>
      </c>
      <c r="B201" s="119" t="s">
        <v>283</v>
      </c>
      <c r="C201" s="119" t="s">
        <v>123</v>
      </c>
      <c r="D201" s="120" t="s">
        <v>765</v>
      </c>
      <c r="E201" s="121" t="s">
        <v>644</v>
      </c>
      <c r="F201" s="119" t="s">
        <v>935</v>
      </c>
      <c r="G201" s="119" t="s">
        <v>716</v>
      </c>
      <c r="H201" s="119" t="s">
        <v>292</v>
      </c>
      <c r="I201" s="124" t="s">
        <v>753</v>
      </c>
      <c r="J201" s="123">
        <v>851</v>
      </c>
    </row>
    <row r="202" spans="1:10" s="83" customFormat="1">
      <c r="A202" s="118" t="s">
        <v>447</v>
      </c>
      <c r="B202" s="119" t="s">
        <v>283</v>
      </c>
      <c r="C202" s="119" t="s">
        <v>123</v>
      </c>
      <c r="D202" s="120" t="s">
        <v>765</v>
      </c>
      <c r="E202" s="121" t="s">
        <v>645</v>
      </c>
      <c r="F202" s="119" t="s">
        <v>935</v>
      </c>
      <c r="G202" s="119" t="s">
        <v>716</v>
      </c>
      <c r="H202" s="119" t="s">
        <v>292</v>
      </c>
      <c r="I202" s="124" t="s">
        <v>753</v>
      </c>
      <c r="J202" s="123">
        <v>1683</v>
      </c>
    </row>
    <row r="203" spans="1:10" s="83" customFormat="1">
      <c r="A203" s="118" t="s">
        <v>448</v>
      </c>
      <c r="B203" s="119" t="s">
        <v>283</v>
      </c>
      <c r="C203" s="119" t="s">
        <v>123</v>
      </c>
      <c r="D203" s="120" t="s">
        <v>765</v>
      </c>
      <c r="E203" s="121" t="s">
        <v>966</v>
      </c>
      <c r="F203" s="119" t="s">
        <v>935</v>
      </c>
      <c r="G203" s="119" t="s">
        <v>716</v>
      </c>
      <c r="H203" s="119" t="s">
        <v>292</v>
      </c>
      <c r="I203" s="124" t="s">
        <v>753</v>
      </c>
      <c r="J203" s="123">
        <v>788</v>
      </c>
    </row>
    <row r="204" spans="1:10" s="83" customFormat="1">
      <c r="A204" s="118" t="s">
        <v>449</v>
      </c>
      <c r="B204" s="119" t="s">
        <v>283</v>
      </c>
      <c r="C204" s="119" t="s">
        <v>123</v>
      </c>
      <c r="D204" s="120" t="s">
        <v>765</v>
      </c>
      <c r="E204" s="121" t="s">
        <v>646</v>
      </c>
      <c r="F204" s="119" t="s">
        <v>935</v>
      </c>
      <c r="G204" s="119" t="s">
        <v>716</v>
      </c>
      <c r="H204" s="119" t="s">
        <v>292</v>
      </c>
      <c r="I204" s="124" t="s">
        <v>753</v>
      </c>
      <c r="J204" s="123">
        <v>788</v>
      </c>
    </row>
    <row r="205" spans="1:10" s="83" customFormat="1">
      <c r="A205" s="118" t="s">
        <v>450</v>
      </c>
      <c r="B205" s="119" t="s">
        <v>283</v>
      </c>
      <c r="C205" s="145" t="s">
        <v>1133</v>
      </c>
      <c r="D205" s="120" t="s">
        <v>765</v>
      </c>
      <c r="E205" s="121" t="s">
        <v>647</v>
      </c>
      <c r="F205" s="119" t="s">
        <v>935</v>
      </c>
      <c r="G205" s="119"/>
      <c r="H205" s="119" t="s">
        <v>754</v>
      </c>
      <c r="I205" s="124" t="s">
        <v>754</v>
      </c>
      <c r="J205" s="123">
        <v>756</v>
      </c>
    </row>
    <row r="206" spans="1:10" s="83" customFormat="1">
      <c r="A206" s="118" t="s">
        <v>451</v>
      </c>
      <c r="B206" s="119" t="s">
        <v>283</v>
      </c>
      <c r="C206" s="119" t="s">
        <v>202</v>
      </c>
      <c r="D206" s="120" t="s">
        <v>765</v>
      </c>
      <c r="E206" s="121" t="s">
        <v>648</v>
      </c>
      <c r="F206" s="119" t="s">
        <v>935</v>
      </c>
      <c r="G206" s="119"/>
      <c r="H206" s="119" t="s">
        <v>754</v>
      </c>
      <c r="I206" s="124" t="s">
        <v>754</v>
      </c>
      <c r="J206" s="123">
        <v>694</v>
      </c>
    </row>
    <row r="207" spans="1:10" s="83" customFormat="1">
      <c r="A207" s="118" t="s">
        <v>452</v>
      </c>
      <c r="B207" s="119" t="s">
        <v>283</v>
      </c>
      <c r="C207" s="119" t="s">
        <v>202</v>
      </c>
      <c r="D207" s="120" t="s">
        <v>765</v>
      </c>
      <c r="E207" s="121" t="s">
        <v>649</v>
      </c>
      <c r="F207" s="119" t="s">
        <v>935</v>
      </c>
      <c r="G207" s="119"/>
      <c r="H207" s="119" t="s">
        <v>754</v>
      </c>
      <c r="I207" s="124" t="s">
        <v>754</v>
      </c>
      <c r="J207" s="123">
        <v>714</v>
      </c>
    </row>
    <row r="208" spans="1:10" s="83" customFormat="1">
      <c r="A208" s="118" t="s">
        <v>453</v>
      </c>
      <c r="B208" s="119" t="s">
        <v>283</v>
      </c>
      <c r="C208" s="119" t="s">
        <v>121</v>
      </c>
      <c r="D208" s="120" t="s">
        <v>765</v>
      </c>
      <c r="E208" s="121" t="s">
        <v>650</v>
      </c>
      <c r="F208" s="119" t="s">
        <v>935</v>
      </c>
      <c r="G208" s="119" t="s">
        <v>716</v>
      </c>
      <c r="H208" s="119" t="s">
        <v>292</v>
      </c>
      <c r="I208" s="124" t="s">
        <v>753</v>
      </c>
      <c r="J208" s="123">
        <v>452</v>
      </c>
    </row>
    <row r="209" spans="1:10" s="83" customFormat="1">
      <c r="A209" s="118" t="s">
        <v>454</v>
      </c>
      <c r="B209" s="119" t="s">
        <v>283</v>
      </c>
      <c r="C209" s="150" t="s">
        <v>1104</v>
      </c>
      <c r="D209" s="120" t="s">
        <v>765</v>
      </c>
      <c r="E209" s="121" t="s">
        <v>749</v>
      </c>
      <c r="F209" s="119" t="s">
        <v>935</v>
      </c>
      <c r="G209" s="119" t="s">
        <v>716</v>
      </c>
      <c r="H209" s="119" t="s">
        <v>292</v>
      </c>
      <c r="I209" s="124" t="s">
        <v>753</v>
      </c>
      <c r="J209" s="123">
        <v>847</v>
      </c>
    </row>
    <row r="210" spans="1:10" s="83" customFormat="1">
      <c r="A210" s="118" t="s">
        <v>455</v>
      </c>
      <c r="B210" s="119" t="s">
        <v>283</v>
      </c>
      <c r="C210" s="150" t="s">
        <v>1104</v>
      </c>
      <c r="D210" s="120" t="s">
        <v>765</v>
      </c>
      <c r="E210" s="121" t="s">
        <v>750</v>
      </c>
      <c r="F210" s="119" t="s">
        <v>935</v>
      </c>
      <c r="G210" s="119" t="s">
        <v>716</v>
      </c>
      <c r="H210" s="119" t="s">
        <v>292</v>
      </c>
      <c r="I210" s="124" t="s">
        <v>753</v>
      </c>
      <c r="J210" s="123">
        <v>765</v>
      </c>
    </row>
    <row r="211" spans="1:10" s="83" customFormat="1">
      <c r="A211" s="118" t="s">
        <v>456</v>
      </c>
      <c r="B211" s="119" t="s">
        <v>283</v>
      </c>
      <c r="C211" s="90" t="s">
        <v>123</v>
      </c>
      <c r="D211" s="120" t="s">
        <v>765</v>
      </c>
      <c r="E211" s="121" t="s">
        <v>751</v>
      </c>
      <c r="F211" s="119" t="s">
        <v>935</v>
      </c>
      <c r="G211" s="119" t="s">
        <v>716</v>
      </c>
      <c r="H211" s="119" t="s">
        <v>292</v>
      </c>
      <c r="I211" s="124" t="s">
        <v>753</v>
      </c>
      <c r="J211" s="123">
        <v>777</v>
      </c>
    </row>
    <row r="212" spans="1:10" s="83" customFormat="1">
      <c r="A212" s="118" t="s">
        <v>457</v>
      </c>
      <c r="B212" s="119" t="s">
        <v>283</v>
      </c>
      <c r="C212" s="90" t="s">
        <v>123</v>
      </c>
      <c r="D212" s="120" t="s">
        <v>765</v>
      </c>
      <c r="E212" s="121" t="s">
        <v>752</v>
      </c>
      <c r="F212" s="119" t="s">
        <v>935</v>
      </c>
      <c r="G212" s="119" t="s">
        <v>716</v>
      </c>
      <c r="H212" s="119" t="s">
        <v>292</v>
      </c>
      <c r="I212" s="124" t="s">
        <v>753</v>
      </c>
      <c r="J212" s="123">
        <v>777</v>
      </c>
    </row>
    <row r="213" spans="1:10" s="83" customFormat="1">
      <c r="A213" s="118" t="s">
        <v>458</v>
      </c>
      <c r="B213" s="119" t="s">
        <v>283</v>
      </c>
      <c r="C213" s="119" t="s">
        <v>121</v>
      </c>
      <c r="D213" s="120" t="s">
        <v>765</v>
      </c>
      <c r="E213" s="121" t="s">
        <v>651</v>
      </c>
      <c r="F213" s="119" t="s">
        <v>935</v>
      </c>
      <c r="G213" s="119" t="s">
        <v>716</v>
      </c>
      <c r="H213" s="119" t="s">
        <v>292</v>
      </c>
      <c r="I213" s="124" t="s">
        <v>753</v>
      </c>
      <c r="J213" s="123">
        <v>173</v>
      </c>
    </row>
    <row r="214" spans="1:10" s="83" customFormat="1">
      <c r="A214" s="118" t="s">
        <v>459</v>
      </c>
      <c r="B214" s="119" t="s">
        <v>283</v>
      </c>
      <c r="C214" s="119" t="s">
        <v>121</v>
      </c>
      <c r="D214" s="120" t="s">
        <v>765</v>
      </c>
      <c r="E214" s="121" t="s">
        <v>652</v>
      </c>
      <c r="F214" s="119" t="s">
        <v>935</v>
      </c>
      <c r="G214" s="119" t="s">
        <v>716</v>
      </c>
      <c r="H214" s="119" t="s">
        <v>292</v>
      </c>
      <c r="I214" s="124" t="s">
        <v>753</v>
      </c>
      <c r="J214" s="123">
        <v>765</v>
      </c>
    </row>
    <row r="215" spans="1:10" s="83" customFormat="1">
      <c r="A215" s="118" t="s">
        <v>460</v>
      </c>
      <c r="B215" s="119" t="s">
        <v>283</v>
      </c>
      <c r="C215" s="147" t="s">
        <v>1099</v>
      </c>
      <c r="D215" s="120" t="s">
        <v>765</v>
      </c>
      <c r="E215" s="121" t="s">
        <v>653</v>
      </c>
      <c r="F215" s="119" t="s">
        <v>935</v>
      </c>
      <c r="G215" s="119" t="s">
        <v>716</v>
      </c>
      <c r="H215" s="119" t="s">
        <v>292</v>
      </c>
      <c r="I215" s="124" t="s">
        <v>753</v>
      </c>
      <c r="J215" s="123">
        <v>1960</v>
      </c>
    </row>
    <row r="216" spans="1:10" s="83" customFormat="1">
      <c r="A216" s="118" t="s">
        <v>461</v>
      </c>
      <c r="B216" s="119" t="s">
        <v>283</v>
      </c>
      <c r="C216" s="119" t="s">
        <v>119</v>
      </c>
      <c r="D216" s="120" t="s">
        <v>765</v>
      </c>
      <c r="E216" s="121" t="s">
        <v>654</v>
      </c>
      <c r="F216" s="119" t="s">
        <v>935</v>
      </c>
      <c r="G216" s="119" t="s">
        <v>716</v>
      </c>
      <c r="H216" s="119" t="s">
        <v>292</v>
      </c>
      <c r="I216" s="124" t="s">
        <v>753</v>
      </c>
      <c r="J216" s="123">
        <v>1680</v>
      </c>
    </row>
    <row r="217" spans="1:10" s="83" customFormat="1">
      <c r="A217" s="118" t="s">
        <v>462</v>
      </c>
      <c r="B217" s="119" t="s">
        <v>283</v>
      </c>
      <c r="C217" s="147" t="s">
        <v>1099</v>
      </c>
      <c r="D217" s="120" t="s">
        <v>765</v>
      </c>
      <c r="E217" s="121" t="s">
        <v>655</v>
      </c>
      <c r="F217" s="119" t="s">
        <v>935</v>
      </c>
      <c r="G217" s="119" t="s">
        <v>716</v>
      </c>
      <c r="H217" s="119" t="s">
        <v>292</v>
      </c>
      <c r="I217" s="124" t="s">
        <v>753</v>
      </c>
      <c r="J217" s="123">
        <v>2091</v>
      </c>
    </row>
    <row r="218" spans="1:10" s="83" customFormat="1">
      <c r="A218" s="118" t="s">
        <v>463</v>
      </c>
      <c r="B218" s="119" t="s">
        <v>283</v>
      </c>
      <c r="C218" s="119" t="s">
        <v>898</v>
      </c>
      <c r="D218" s="120" t="s">
        <v>765</v>
      </c>
      <c r="E218" s="121" t="s">
        <v>656</v>
      </c>
      <c r="F218" s="119" t="s">
        <v>935</v>
      </c>
      <c r="G218" s="119"/>
      <c r="H218" s="119" t="s">
        <v>754</v>
      </c>
      <c r="I218" s="124" t="s">
        <v>754</v>
      </c>
      <c r="J218" s="123">
        <v>1754</v>
      </c>
    </row>
    <row r="219" spans="1:10" s="83" customFormat="1">
      <c r="A219" s="118" t="s">
        <v>464</v>
      </c>
      <c r="B219" s="119" t="s">
        <v>283</v>
      </c>
      <c r="C219" s="147" t="s">
        <v>1099</v>
      </c>
      <c r="D219" s="120" t="s">
        <v>765</v>
      </c>
      <c r="E219" s="121" t="s">
        <v>657</v>
      </c>
      <c r="F219" s="119" t="s">
        <v>935</v>
      </c>
      <c r="G219" s="119" t="s">
        <v>716</v>
      </c>
      <c r="H219" s="119" t="s">
        <v>292</v>
      </c>
      <c r="I219" s="124" t="s">
        <v>753</v>
      </c>
      <c r="J219" s="123">
        <v>2040</v>
      </c>
    </row>
    <row r="220" spans="1:10" s="83" customFormat="1">
      <c r="A220" s="118" t="s">
        <v>465</v>
      </c>
      <c r="B220" s="119" t="s">
        <v>283</v>
      </c>
      <c r="C220" s="147" t="s">
        <v>1099</v>
      </c>
      <c r="D220" s="120" t="s">
        <v>765</v>
      </c>
      <c r="E220" s="121" t="s">
        <v>658</v>
      </c>
      <c r="F220" s="119" t="s">
        <v>935</v>
      </c>
      <c r="G220" s="119" t="s">
        <v>716</v>
      </c>
      <c r="H220" s="119" t="s">
        <v>292</v>
      </c>
      <c r="I220" s="124" t="s">
        <v>753</v>
      </c>
      <c r="J220" s="123">
        <v>1551</v>
      </c>
    </row>
    <row r="221" spans="1:10" s="83" customFormat="1">
      <c r="A221" s="118" t="s">
        <v>466</v>
      </c>
      <c r="B221" s="119" t="s">
        <v>283</v>
      </c>
      <c r="C221" s="119" t="s">
        <v>119</v>
      </c>
      <c r="D221" s="120" t="s">
        <v>765</v>
      </c>
      <c r="E221" s="121" t="s">
        <v>659</v>
      </c>
      <c r="F221" s="119" t="s">
        <v>935</v>
      </c>
      <c r="G221" s="119" t="s">
        <v>714</v>
      </c>
      <c r="H221" s="119" t="s">
        <v>290</v>
      </c>
      <c r="I221" s="124" t="s">
        <v>785</v>
      </c>
      <c r="J221" s="123">
        <v>2520</v>
      </c>
    </row>
    <row r="222" spans="1:10" s="83" customFormat="1">
      <c r="A222" s="118" t="s">
        <v>467</v>
      </c>
      <c r="B222" s="119" t="s">
        <v>283</v>
      </c>
      <c r="C222" s="119" t="s">
        <v>119</v>
      </c>
      <c r="D222" s="120" t="s">
        <v>765</v>
      </c>
      <c r="E222" s="121" t="s">
        <v>660</v>
      </c>
      <c r="F222" s="119" t="s">
        <v>935</v>
      </c>
      <c r="G222" s="119" t="s">
        <v>714</v>
      </c>
      <c r="H222" s="119" t="s">
        <v>290</v>
      </c>
      <c r="I222" s="124" t="s">
        <v>785</v>
      </c>
      <c r="J222" s="123">
        <v>2520</v>
      </c>
    </row>
    <row r="223" spans="1:10" s="83" customFormat="1">
      <c r="A223" s="118" t="s">
        <v>468</v>
      </c>
      <c r="B223" s="119" t="s">
        <v>283</v>
      </c>
      <c r="C223" s="119" t="s">
        <v>202</v>
      </c>
      <c r="D223" s="120" t="s">
        <v>765</v>
      </c>
      <c r="E223" s="121" t="s">
        <v>899</v>
      </c>
      <c r="F223" s="119" t="s">
        <v>935</v>
      </c>
      <c r="G223" s="119"/>
      <c r="H223" s="119" t="s">
        <v>754</v>
      </c>
      <c r="I223" s="124" t="s">
        <v>754</v>
      </c>
      <c r="J223" s="123">
        <v>914</v>
      </c>
    </row>
    <row r="224" spans="1:10" s="83" customFormat="1">
      <c r="A224" s="118" t="s">
        <v>807</v>
      </c>
      <c r="B224" s="119" t="s">
        <v>283</v>
      </c>
      <c r="C224" s="119" t="s">
        <v>127</v>
      </c>
      <c r="D224" s="120" t="s">
        <v>765</v>
      </c>
      <c r="E224" s="121" t="s">
        <v>620</v>
      </c>
      <c r="F224" s="119" t="s">
        <v>935</v>
      </c>
      <c r="G224" s="119" t="s">
        <v>719</v>
      </c>
      <c r="H224" s="119" t="s">
        <v>712</v>
      </c>
      <c r="I224" s="124" t="s">
        <v>720</v>
      </c>
      <c r="J224" s="123">
        <v>1704</v>
      </c>
    </row>
    <row r="225" spans="1:10" s="83" customFormat="1">
      <c r="A225" s="118" t="s">
        <v>761</v>
      </c>
      <c r="B225" s="119" t="s">
        <v>283</v>
      </c>
      <c r="C225" s="126" t="s">
        <v>119</v>
      </c>
      <c r="D225" s="120" t="s">
        <v>765</v>
      </c>
      <c r="E225" s="121" t="s">
        <v>759</v>
      </c>
      <c r="F225" s="119" t="s">
        <v>935</v>
      </c>
      <c r="G225" s="119"/>
      <c r="H225" s="119" t="s">
        <v>754</v>
      </c>
      <c r="I225" s="124" t="s">
        <v>754</v>
      </c>
      <c r="J225" s="123">
        <v>767</v>
      </c>
    </row>
    <row r="226" spans="1:10" s="83" customFormat="1">
      <c r="A226" s="118" t="s">
        <v>769</v>
      </c>
      <c r="B226" s="119" t="s">
        <v>283</v>
      </c>
      <c r="C226" s="119" t="s">
        <v>127</v>
      </c>
      <c r="D226" s="120" t="s">
        <v>765</v>
      </c>
      <c r="E226" s="121" t="s">
        <v>808</v>
      </c>
      <c r="F226" s="119" t="s">
        <v>935</v>
      </c>
      <c r="G226" s="119" t="s">
        <v>719</v>
      </c>
      <c r="H226" s="119" t="s">
        <v>712</v>
      </c>
      <c r="I226" s="124" t="s">
        <v>720</v>
      </c>
      <c r="J226" s="123">
        <v>1700</v>
      </c>
    </row>
    <row r="227" spans="1:10" s="83" customFormat="1">
      <c r="A227" s="118" t="s">
        <v>900</v>
      </c>
      <c r="B227" s="119" t="s">
        <v>283</v>
      </c>
      <c r="C227" s="119" t="s">
        <v>127</v>
      </c>
      <c r="D227" s="120" t="s">
        <v>765</v>
      </c>
      <c r="E227" s="121" t="s">
        <v>901</v>
      </c>
      <c r="F227" s="119" t="s">
        <v>935</v>
      </c>
      <c r="G227" s="119" t="s">
        <v>715</v>
      </c>
      <c r="H227" s="119" t="s">
        <v>291</v>
      </c>
      <c r="I227" s="124" t="s">
        <v>755</v>
      </c>
      <c r="J227" s="123">
        <v>2111</v>
      </c>
    </row>
    <row r="228" spans="1:10" s="83" customFormat="1">
      <c r="A228" s="118" t="s">
        <v>902</v>
      </c>
      <c r="B228" s="119" t="s">
        <v>283</v>
      </c>
      <c r="C228" s="119" t="s">
        <v>119</v>
      </c>
      <c r="D228" s="120" t="s">
        <v>765</v>
      </c>
      <c r="E228" s="121" t="s">
        <v>836</v>
      </c>
      <c r="F228" s="119" t="s">
        <v>935</v>
      </c>
      <c r="G228" s="119" t="s">
        <v>716</v>
      </c>
      <c r="H228" s="119" t="s">
        <v>292</v>
      </c>
      <c r="I228" s="124" t="s">
        <v>753</v>
      </c>
      <c r="J228" s="123">
        <v>735</v>
      </c>
    </row>
    <row r="229" spans="1:10" s="83" customFormat="1">
      <c r="A229" s="118" t="s">
        <v>903</v>
      </c>
      <c r="B229" s="119" t="s">
        <v>283</v>
      </c>
      <c r="C229" s="119" t="s">
        <v>119</v>
      </c>
      <c r="D229" s="120" t="s">
        <v>765</v>
      </c>
      <c r="E229" s="121" t="s">
        <v>837</v>
      </c>
      <c r="F229" s="119" t="s">
        <v>935</v>
      </c>
      <c r="G229" s="119" t="s">
        <v>716</v>
      </c>
      <c r="H229" s="119" t="s">
        <v>292</v>
      </c>
      <c r="I229" s="124" t="s">
        <v>753</v>
      </c>
      <c r="J229" s="123">
        <v>735</v>
      </c>
    </row>
    <row r="230" spans="1:10" s="83" customFormat="1">
      <c r="A230" s="118" t="s">
        <v>904</v>
      </c>
      <c r="B230" s="119" t="s">
        <v>283</v>
      </c>
      <c r="C230" s="119" t="s">
        <v>119</v>
      </c>
      <c r="D230" s="120" t="s">
        <v>765</v>
      </c>
      <c r="E230" s="121" t="s">
        <v>838</v>
      </c>
      <c r="F230" s="119" t="s">
        <v>935</v>
      </c>
      <c r="G230" s="119" t="s">
        <v>716</v>
      </c>
      <c r="H230" s="119" t="s">
        <v>292</v>
      </c>
      <c r="I230" s="124" t="s">
        <v>753</v>
      </c>
      <c r="J230" s="123">
        <v>735</v>
      </c>
    </row>
    <row r="231" spans="1:10" s="83" customFormat="1">
      <c r="A231" s="118" t="s">
        <v>905</v>
      </c>
      <c r="B231" s="119" t="s">
        <v>283</v>
      </c>
      <c r="C231" s="119" t="s">
        <v>119</v>
      </c>
      <c r="D231" s="120" t="s">
        <v>765</v>
      </c>
      <c r="E231" s="121" t="s">
        <v>839</v>
      </c>
      <c r="F231" s="119" t="s">
        <v>935</v>
      </c>
      <c r="G231" s="119" t="s">
        <v>716</v>
      </c>
      <c r="H231" s="119" t="s">
        <v>292</v>
      </c>
      <c r="I231" s="124" t="s">
        <v>753</v>
      </c>
      <c r="J231" s="123">
        <v>767</v>
      </c>
    </row>
    <row r="232" spans="1:10" s="83" customFormat="1">
      <c r="A232" s="118" t="s">
        <v>906</v>
      </c>
      <c r="B232" s="119" t="s">
        <v>283</v>
      </c>
      <c r="C232" s="147" t="s">
        <v>1104</v>
      </c>
      <c r="D232" s="120" t="s">
        <v>765</v>
      </c>
      <c r="E232" s="121" t="s">
        <v>840</v>
      </c>
      <c r="F232" s="119" t="s">
        <v>935</v>
      </c>
      <c r="G232" s="119" t="s">
        <v>716</v>
      </c>
      <c r="H232" s="119" t="s">
        <v>292</v>
      </c>
      <c r="I232" s="124" t="s">
        <v>753</v>
      </c>
      <c r="J232" s="123">
        <v>1680</v>
      </c>
    </row>
    <row r="233" spans="1:10" s="83" customFormat="1">
      <c r="A233" s="118" t="s">
        <v>907</v>
      </c>
      <c r="B233" s="119" t="s">
        <v>283</v>
      </c>
      <c r="C233" s="119" t="s">
        <v>127</v>
      </c>
      <c r="D233" s="120" t="s">
        <v>765</v>
      </c>
      <c r="E233" s="121" t="s">
        <v>908</v>
      </c>
      <c r="F233" s="119" t="s">
        <v>935</v>
      </c>
      <c r="G233" s="119" t="s">
        <v>716</v>
      </c>
      <c r="H233" s="119" t="s">
        <v>292</v>
      </c>
      <c r="I233" s="124" t="s">
        <v>753</v>
      </c>
      <c r="J233" s="123">
        <v>231</v>
      </c>
    </row>
    <row r="234" spans="1:10" s="83" customFormat="1">
      <c r="A234" s="118" t="s">
        <v>909</v>
      </c>
      <c r="B234" s="119" t="s">
        <v>283</v>
      </c>
      <c r="C234" s="119" t="s">
        <v>119</v>
      </c>
      <c r="D234" s="120" t="s">
        <v>765</v>
      </c>
      <c r="E234" s="121" t="s">
        <v>910</v>
      </c>
      <c r="F234" s="119" t="s">
        <v>935</v>
      </c>
      <c r="G234" s="119" t="s">
        <v>716</v>
      </c>
      <c r="H234" s="119" t="s">
        <v>292</v>
      </c>
      <c r="I234" s="124" t="s">
        <v>753</v>
      </c>
      <c r="J234" s="123">
        <v>546</v>
      </c>
    </row>
    <row r="235" spans="1:10" s="83" customFormat="1">
      <c r="A235" s="118" t="s">
        <v>911</v>
      </c>
      <c r="B235" s="119" t="s">
        <v>283</v>
      </c>
      <c r="C235" s="119" t="s">
        <v>127</v>
      </c>
      <c r="D235" s="120" t="s">
        <v>765</v>
      </c>
      <c r="E235" s="121" t="s">
        <v>912</v>
      </c>
      <c r="F235" s="119" t="s">
        <v>935</v>
      </c>
      <c r="G235" s="119" t="s">
        <v>716</v>
      </c>
      <c r="H235" s="119" t="s">
        <v>292</v>
      </c>
      <c r="I235" s="124" t="s">
        <v>753</v>
      </c>
      <c r="J235" s="123">
        <v>231</v>
      </c>
    </row>
    <row r="236" spans="1:10" s="83" customFormat="1">
      <c r="A236" s="118" t="s">
        <v>913</v>
      </c>
      <c r="B236" s="119" t="s">
        <v>283</v>
      </c>
      <c r="C236" s="119" t="s">
        <v>119</v>
      </c>
      <c r="D236" s="120" t="s">
        <v>765</v>
      </c>
      <c r="E236" s="121" t="s">
        <v>914</v>
      </c>
      <c r="F236" s="119" t="s">
        <v>935</v>
      </c>
      <c r="G236" s="119" t="s">
        <v>716</v>
      </c>
      <c r="H236" s="119" t="s">
        <v>292</v>
      </c>
      <c r="I236" s="124" t="s">
        <v>753</v>
      </c>
      <c r="J236" s="123">
        <v>546</v>
      </c>
    </row>
    <row r="237" spans="1:10" s="83" customFormat="1">
      <c r="A237" s="118" t="s">
        <v>864</v>
      </c>
      <c r="B237" s="119" t="s">
        <v>283</v>
      </c>
      <c r="C237" s="119" t="s">
        <v>127</v>
      </c>
      <c r="D237" s="120" t="s">
        <v>765</v>
      </c>
      <c r="E237" s="121" t="s">
        <v>915</v>
      </c>
      <c r="F237" s="119" t="s">
        <v>935</v>
      </c>
      <c r="G237" s="119"/>
      <c r="H237" s="119"/>
      <c r="I237" s="124"/>
      <c r="J237" s="123"/>
    </row>
    <row r="238" spans="1:10" s="83" customFormat="1">
      <c r="A238" s="118" t="s">
        <v>916</v>
      </c>
      <c r="B238" s="119" t="s">
        <v>283</v>
      </c>
      <c r="C238" s="119" t="s">
        <v>127</v>
      </c>
      <c r="D238" s="120" t="s">
        <v>765</v>
      </c>
      <c r="E238" s="121" t="s">
        <v>917</v>
      </c>
      <c r="F238" s="119" t="s">
        <v>935</v>
      </c>
      <c r="G238" s="119"/>
      <c r="H238" s="119"/>
      <c r="I238" s="124"/>
      <c r="J238" s="123">
        <v>2394</v>
      </c>
    </row>
    <row r="239" spans="1:10" s="83" customFormat="1">
      <c r="A239" s="118" t="s">
        <v>939</v>
      </c>
      <c r="B239" s="119" t="s">
        <v>283</v>
      </c>
      <c r="C239" s="119" t="s">
        <v>127</v>
      </c>
      <c r="D239" s="120" t="s">
        <v>765</v>
      </c>
      <c r="E239" s="121" t="s">
        <v>940</v>
      </c>
      <c r="F239" s="119" t="s">
        <v>935</v>
      </c>
      <c r="G239" s="119"/>
      <c r="H239" s="119"/>
      <c r="I239" s="124"/>
      <c r="J239" s="123">
        <v>305</v>
      </c>
    </row>
    <row r="240" spans="1:10" s="83" customFormat="1">
      <c r="A240" s="118" t="s">
        <v>932</v>
      </c>
      <c r="B240" s="119" t="s">
        <v>283</v>
      </c>
      <c r="C240" s="119" t="s">
        <v>119</v>
      </c>
      <c r="D240" s="120" t="s">
        <v>765</v>
      </c>
      <c r="E240" s="121" t="s">
        <v>941</v>
      </c>
      <c r="F240" s="119" t="s">
        <v>935</v>
      </c>
      <c r="G240" s="119"/>
      <c r="H240" s="119"/>
      <c r="I240" s="124"/>
      <c r="J240" s="123">
        <v>725</v>
      </c>
    </row>
    <row r="241" spans="1:10" s="83" customFormat="1">
      <c r="A241" s="118" t="s">
        <v>933</v>
      </c>
      <c r="B241" s="119" t="s">
        <v>283</v>
      </c>
      <c r="C241" s="119" t="s">
        <v>127</v>
      </c>
      <c r="D241" s="120" t="s">
        <v>765</v>
      </c>
      <c r="E241" s="121" t="s">
        <v>942</v>
      </c>
      <c r="F241" s="119" t="s">
        <v>935</v>
      </c>
      <c r="G241" s="119"/>
      <c r="H241" s="119"/>
      <c r="I241" s="124"/>
      <c r="J241" s="123">
        <v>305</v>
      </c>
    </row>
    <row r="242" spans="1:10" s="83" customFormat="1">
      <c r="A242" s="118" t="s">
        <v>934</v>
      </c>
      <c r="B242" s="119" t="s">
        <v>283</v>
      </c>
      <c r="C242" s="119" t="s">
        <v>119</v>
      </c>
      <c r="D242" s="120" t="s">
        <v>765</v>
      </c>
      <c r="E242" s="121" t="s">
        <v>943</v>
      </c>
      <c r="F242" s="119" t="s">
        <v>935</v>
      </c>
      <c r="G242" s="119"/>
      <c r="H242" s="119"/>
      <c r="I242" s="124"/>
      <c r="J242" s="123">
        <v>725</v>
      </c>
    </row>
    <row r="243" spans="1:10" s="83" customFormat="1">
      <c r="A243" s="118" t="s">
        <v>967</v>
      </c>
      <c r="B243" s="119" t="s">
        <v>283</v>
      </c>
      <c r="C243" s="119" t="s">
        <v>127</v>
      </c>
      <c r="D243" s="120" t="s">
        <v>765</v>
      </c>
      <c r="E243" s="121" t="s">
        <v>968</v>
      </c>
      <c r="F243" s="119" t="s">
        <v>935</v>
      </c>
      <c r="G243" s="119"/>
      <c r="H243" s="119"/>
      <c r="I243" s="124"/>
      <c r="J243" s="123">
        <v>2111</v>
      </c>
    </row>
    <row r="244" spans="1:10" s="83" customFormat="1">
      <c r="A244" s="118" t="s">
        <v>969</v>
      </c>
      <c r="B244" s="119" t="s">
        <v>283</v>
      </c>
      <c r="C244" s="147" t="s">
        <v>1099</v>
      </c>
      <c r="D244" s="120" t="s">
        <v>765</v>
      </c>
      <c r="E244" s="121" t="s">
        <v>970</v>
      </c>
      <c r="F244" s="119" t="s">
        <v>935</v>
      </c>
      <c r="G244" s="119"/>
      <c r="H244" s="119"/>
      <c r="I244" s="124"/>
      <c r="J244" s="123">
        <v>788</v>
      </c>
    </row>
    <row r="245" spans="1:10" s="83" customFormat="1">
      <c r="A245" s="118" t="s">
        <v>971</v>
      </c>
      <c r="B245" s="119" t="s">
        <v>283</v>
      </c>
      <c r="C245" s="119" t="s">
        <v>123</v>
      </c>
      <c r="D245" s="120" t="s">
        <v>765</v>
      </c>
      <c r="E245" s="121" t="s">
        <v>972</v>
      </c>
      <c r="F245" s="119" t="s">
        <v>935</v>
      </c>
      <c r="G245" s="119"/>
      <c r="H245" s="119"/>
      <c r="I245" s="124"/>
      <c r="J245" s="123">
        <v>888</v>
      </c>
    </row>
    <row r="246" spans="1:10" s="83" customFormat="1">
      <c r="A246" s="118" t="s">
        <v>986</v>
      </c>
      <c r="B246" s="119" t="s">
        <v>283</v>
      </c>
      <c r="C246" s="119" t="s">
        <v>127</v>
      </c>
      <c r="D246" s="120" t="s">
        <v>765</v>
      </c>
      <c r="E246" s="121" t="s">
        <v>993</v>
      </c>
      <c r="F246" s="119" t="s">
        <v>935</v>
      </c>
      <c r="G246" s="119"/>
      <c r="H246" s="119"/>
      <c r="I246" s="124"/>
      <c r="J246" s="123"/>
    </row>
    <row r="247" spans="1:10" s="83" customFormat="1">
      <c r="A247" s="118" t="s">
        <v>1087</v>
      </c>
      <c r="B247" s="119" t="s">
        <v>283</v>
      </c>
      <c r="C247" s="119" t="s">
        <v>123</v>
      </c>
      <c r="D247" s="120" t="s">
        <v>765</v>
      </c>
      <c r="E247" s="121" t="s">
        <v>1070</v>
      </c>
      <c r="F247" s="119" t="s">
        <v>935</v>
      </c>
      <c r="G247" s="119"/>
      <c r="H247" s="119"/>
      <c r="I247" s="124"/>
      <c r="J247" s="123">
        <v>1490</v>
      </c>
    </row>
    <row r="248" spans="1:10" s="83" customFormat="1">
      <c r="A248" s="118" t="s">
        <v>1088</v>
      </c>
      <c r="B248" s="119" t="s">
        <v>283</v>
      </c>
      <c r="C248" s="119" t="s">
        <v>119</v>
      </c>
      <c r="D248" s="120" t="s">
        <v>765</v>
      </c>
      <c r="E248" s="121" t="s">
        <v>1089</v>
      </c>
      <c r="F248" s="119" t="s">
        <v>935</v>
      </c>
      <c r="G248" s="119"/>
      <c r="H248" s="119"/>
      <c r="I248" s="124"/>
      <c r="J248" s="123">
        <v>840</v>
      </c>
    </row>
    <row r="249" spans="1:10" s="83" customFormat="1">
      <c r="A249" s="118" t="s">
        <v>1090</v>
      </c>
      <c r="B249" s="119" t="s">
        <v>283</v>
      </c>
      <c r="C249" s="119" t="s">
        <v>119</v>
      </c>
      <c r="D249" s="120" t="s">
        <v>765</v>
      </c>
      <c r="E249" s="121" t="s">
        <v>1091</v>
      </c>
      <c r="F249" s="119" t="s">
        <v>935</v>
      </c>
      <c r="G249" s="119"/>
      <c r="H249" s="119"/>
      <c r="I249" s="124"/>
      <c r="J249" s="123">
        <v>840</v>
      </c>
    </row>
    <row r="250" spans="1:10" s="83" customFormat="1">
      <c r="A250" s="118" t="s">
        <v>1092</v>
      </c>
      <c r="B250" s="119" t="s">
        <v>283</v>
      </c>
      <c r="C250" s="119" t="s">
        <v>119</v>
      </c>
      <c r="D250" s="120" t="s">
        <v>765</v>
      </c>
      <c r="E250" s="121" t="s">
        <v>1093</v>
      </c>
      <c r="F250" s="119" t="s">
        <v>935</v>
      </c>
      <c r="G250" s="119"/>
      <c r="H250" s="119"/>
      <c r="I250" s="124"/>
      <c r="J250" s="123">
        <v>840</v>
      </c>
    </row>
    <row r="251" spans="1:10" s="83" customFormat="1">
      <c r="A251" s="157" t="s">
        <v>1134</v>
      </c>
      <c r="B251" s="119" t="s">
        <v>283</v>
      </c>
      <c r="C251" s="145" t="s">
        <v>1133</v>
      </c>
      <c r="D251" s="120" t="s">
        <v>765</v>
      </c>
      <c r="E251" s="121" t="s">
        <v>1135</v>
      </c>
      <c r="F251" s="119" t="s">
        <v>935</v>
      </c>
      <c r="G251" s="119"/>
      <c r="H251" s="119"/>
      <c r="I251" s="124"/>
      <c r="J251" s="123">
        <v>547410</v>
      </c>
    </row>
    <row r="252" spans="1:10" s="83" customFormat="1" ht="15.75" customHeight="1">
      <c r="A252" s="118" t="s">
        <v>469</v>
      </c>
      <c r="B252" s="119" t="s">
        <v>283</v>
      </c>
      <c r="C252" s="119" t="s">
        <v>123</v>
      </c>
      <c r="D252" s="120" t="s">
        <v>765</v>
      </c>
      <c r="E252" s="121" t="s">
        <v>841</v>
      </c>
      <c r="F252" s="119" t="s">
        <v>935</v>
      </c>
      <c r="G252" s="119" t="s">
        <v>714</v>
      </c>
      <c r="H252" s="119" t="s">
        <v>754</v>
      </c>
      <c r="I252" s="124" t="s">
        <v>754</v>
      </c>
      <c r="J252" s="123">
        <v>1316</v>
      </c>
    </row>
    <row r="253" spans="1:10" s="83" customFormat="1">
      <c r="A253" s="118" t="s">
        <v>470</v>
      </c>
      <c r="B253" s="119" t="s">
        <v>283</v>
      </c>
      <c r="C253" s="119" t="s">
        <v>121</v>
      </c>
      <c r="D253" s="120" t="s">
        <v>765</v>
      </c>
      <c r="E253" s="121" t="s">
        <v>809</v>
      </c>
      <c r="F253" s="119" t="s">
        <v>935</v>
      </c>
      <c r="G253" s="119"/>
      <c r="H253" s="119" t="s">
        <v>754</v>
      </c>
      <c r="I253" s="124" t="s">
        <v>754</v>
      </c>
      <c r="J253" s="123">
        <v>1620</v>
      </c>
    </row>
    <row r="254" spans="1:10" s="83" customFormat="1">
      <c r="A254" s="118" t="s">
        <v>471</v>
      </c>
      <c r="B254" s="119" t="s">
        <v>283</v>
      </c>
      <c r="C254" s="119" t="s">
        <v>123</v>
      </c>
      <c r="D254" s="120" t="s">
        <v>765</v>
      </c>
      <c r="E254" s="121" t="s">
        <v>661</v>
      </c>
      <c r="F254" s="119" t="s">
        <v>935</v>
      </c>
      <c r="G254" s="119"/>
      <c r="H254" s="119" t="s">
        <v>754</v>
      </c>
      <c r="I254" s="124" t="s">
        <v>754</v>
      </c>
      <c r="J254" s="123">
        <v>564</v>
      </c>
    </row>
    <row r="255" spans="1:10" s="83" customFormat="1">
      <c r="A255" s="118" t="s">
        <v>472</v>
      </c>
      <c r="B255" s="119" t="s">
        <v>283</v>
      </c>
      <c r="C255" s="119" t="s">
        <v>123</v>
      </c>
      <c r="D255" s="120" t="s">
        <v>765</v>
      </c>
      <c r="E255" s="121" t="s">
        <v>662</v>
      </c>
      <c r="F255" s="119" t="s">
        <v>935</v>
      </c>
      <c r="G255" s="119"/>
      <c r="H255" s="119" t="s">
        <v>754</v>
      </c>
      <c r="I255" s="124" t="s">
        <v>754</v>
      </c>
      <c r="J255" s="123">
        <v>1596</v>
      </c>
    </row>
    <row r="256" spans="1:10" s="83" customFormat="1">
      <c r="A256" s="118" t="s">
        <v>473</v>
      </c>
      <c r="B256" s="119" t="s">
        <v>283</v>
      </c>
      <c r="C256" s="119" t="s">
        <v>121</v>
      </c>
      <c r="D256" s="120" t="s">
        <v>765</v>
      </c>
      <c r="E256" s="121" t="s">
        <v>663</v>
      </c>
      <c r="F256" s="119" t="s">
        <v>935</v>
      </c>
      <c r="G256" s="119"/>
      <c r="H256" s="119" t="s">
        <v>754</v>
      </c>
      <c r="I256" s="124" t="s">
        <v>754</v>
      </c>
      <c r="J256" s="123">
        <v>1386</v>
      </c>
    </row>
    <row r="257" spans="1:10" s="83" customFormat="1">
      <c r="A257" s="118" t="s">
        <v>474</v>
      </c>
      <c r="B257" s="119" t="s">
        <v>283</v>
      </c>
      <c r="C257" s="127" t="s">
        <v>728</v>
      </c>
      <c r="D257" s="120" t="s">
        <v>765</v>
      </c>
      <c r="E257" s="121" t="s">
        <v>664</v>
      </c>
      <c r="F257" s="119" t="s">
        <v>935</v>
      </c>
      <c r="G257" s="119"/>
      <c r="H257" s="119" t="s">
        <v>754</v>
      </c>
      <c r="I257" s="124" t="s">
        <v>754</v>
      </c>
      <c r="J257" s="123">
        <v>1316</v>
      </c>
    </row>
    <row r="258" spans="1:10" s="83" customFormat="1">
      <c r="A258" s="118" t="s">
        <v>475</v>
      </c>
      <c r="B258" s="119" t="s">
        <v>283</v>
      </c>
      <c r="C258" s="119" t="s">
        <v>121</v>
      </c>
      <c r="D258" s="120" t="s">
        <v>765</v>
      </c>
      <c r="E258" s="121" t="s">
        <v>665</v>
      </c>
      <c r="F258" s="119" t="s">
        <v>935</v>
      </c>
      <c r="G258" s="119"/>
      <c r="H258" s="119" t="s">
        <v>754</v>
      </c>
      <c r="I258" s="124" t="s">
        <v>754</v>
      </c>
      <c r="J258" s="123">
        <v>1347</v>
      </c>
    </row>
    <row r="259" spans="1:10" s="83" customFormat="1">
      <c r="A259" s="118" t="s">
        <v>476</v>
      </c>
      <c r="B259" s="119" t="s">
        <v>283</v>
      </c>
      <c r="C259" s="119" t="s">
        <v>121</v>
      </c>
      <c r="D259" s="120" t="s">
        <v>765</v>
      </c>
      <c r="E259" s="121" t="s">
        <v>666</v>
      </c>
      <c r="F259" s="119" t="s">
        <v>935</v>
      </c>
      <c r="G259" s="119"/>
      <c r="H259" s="119" t="s">
        <v>754</v>
      </c>
      <c r="I259" s="124" t="s">
        <v>754</v>
      </c>
      <c r="J259" s="123">
        <v>1355</v>
      </c>
    </row>
    <row r="260" spans="1:10" s="83" customFormat="1">
      <c r="A260" s="118" t="s">
        <v>477</v>
      </c>
      <c r="B260" s="119" t="s">
        <v>283</v>
      </c>
      <c r="C260" s="127" t="s">
        <v>728</v>
      </c>
      <c r="D260" s="120" t="s">
        <v>765</v>
      </c>
      <c r="E260" s="121" t="s">
        <v>667</v>
      </c>
      <c r="F260" s="119" t="s">
        <v>935</v>
      </c>
      <c r="G260" s="119"/>
      <c r="H260" s="119" t="s">
        <v>754</v>
      </c>
      <c r="I260" s="124" t="s">
        <v>754</v>
      </c>
      <c r="J260" s="123">
        <v>1316</v>
      </c>
    </row>
    <row r="261" spans="1:10" s="83" customFormat="1">
      <c r="A261" s="118" t="s">
        <v>478</v>
      </c>
      <c r="B261" s="119" t="s">
        <v>283</v>
      </c>
      <c r="C261" s="119" t="s">
        <v>121</v>
      </c>
      <c r="D261" s="120" t="s">
        <v>765</v>
      </c>
      <c r="E261" s="121" t="s">
        <v>668</v>
      </c>
      <c r="F261" s="119" t="s">
        <v>935</v>
      </c>
      <c r="G261" s="119"/>
      <c r="H261" s="119" t="s">
        <v>754</v>
      </c>
      <c r="I261" s="124" t="s">
        <v>754</v>
      </c>
      <c r="J261" s="123">
        <v>1334</v>
      </c>
    </row>
    <row r="262" spans="1:10" s="83" customFormat="1">
      <c r="A262" s="118" t="s">
        <v>479</v>
      </c>
      <c r="B262" s="119" t="s">
        <v>283</v>
      </c>
      <c r="C262" s="119" t="s">
        <v>123</v>
      </c>
      <c r="D262" s="120" t="s">
        <v>765</v>
      </c>
      <c r="E262" s="121" t="s">
        <v>669</v>
      </c>
      <c r="F262" s="119" t="s">
        <v>935</v>
      </c>
      <c r="G262" s="119"/>
      <c r="H262" s="119" t="s">
        <v>754</v>
      </c>
      <c r="I262" s="124" t="s">
        <v>754</v>
      </c>
      <c r="J262" s="123">
        <v>1649</v>
      </c>
    </row>
    <row r="263" spans="1:10" s="83" customFormat="1">
      <c r="A263" s="118" t="s">
        <v>480</v>
      </c>
      <c r="B263" s="119" t="s">
        <v>283</v>
      </c>
      <c r="C263" s="119" t="s">
        <v>123</v>
      </c>
      <c r="D263" s="120" t="s">
        <v>765</v>
      </c>
      <c r="E263" s="121" t="s">
        <v>670</v>
      </c>
      <c r="F263" s="119" t="s">
        <v>935</v>
      </c>
      <c r="G263" s="119"/>
      <c r="H263" s="119" t="s">
        <v>754</v>
      </c>
      <c r="I263" s="124" t="s">
        <v>754</v>
      </c>
      <c r="J263" s="123">
        <v>830</v>
      </c>
    </row>
    <row r="264" spans="1:10" s="83" customFormat="1">
      <c r="A264" s="157" t="s">
        <v>1136</v>
      </c>
      <c r="B264" s="119" t="s">
        <v>283</v>
      </c>
      <c r="C264" s="145" t="s">
        <v>1137</v>
      </c>
      <c r="D264" s="120" t="s">
        <v>765</v>
      </c>
      <c r="E264" s="121" t="s">
        <v>1138</v>
      </c>
      <c r="F264" s="119" t="s">
        <v>935</v>
      </c>
      <c r="G264" s="119"/>
      <c r="H264" s="119"/>
      <c r="I264" s="124"/>
      <c r="J264" s="123">
        <v>1250</v>
      </c>
    </row>
    <row r="265" spans="1:10" s="83" customFormat="1">
      <c r="A265" s="157" t="s">
        <v>1139</v>
      </c>
      <c r="B265" s="119" t="s">
        <v>283</v>
      </c>
      <c r="C265" s="145" t="s">
        <v>1137</v>
      </c>
      <c r="D265" s="120" t="s">
        <v>765</v>
      </c>
      <c r="E265" s="121" t="s">
        <v>1140</v>
      </c>
      <c r="F265" s="119" t="s">
        <v>935</v>
      </c>
      <c r="G265" s="119"/>
      <c r="H265" s="119"/>
      <c r="I265" s="124"/>
      <c r="J265" s="123">
        <v>1250</v>
      </c>
    </row>
    <row r="266" spans="1:10" s="83" customFormat="1">
      <c r="A266" s="118" t="s">
        <v>481</v>
      </c>
      <c r="B266" s="119" t="s">
        <v>283</v>
      </c>
      <c r="C266" s="42" t="s">
        <v>118</v>
      </c>
      <c r="D266" s="120" t="s">
        <v>766</v>
      </c>
      <c r="E266" s="121" t="s">
        <v>1053</v>
      </c>
      <c r="F266" s="119" t="s">
        <v>928</v>
      </c>
      <c r="G266" s="119" t="s">
        <v>715</v>
      </c>
      <c r="H266" s="119" t="s">
        <v>291</v>
      </c>
      <c r="I266" s="124" t="s">
        <v>755</v>
      </c>
      <c r="J266" s="123">
        <v>55000</v>
      </c>
    </row>
    <row r="267" spans="1:10" s="83" customFormat="1">
      <c r="A267" s="118" t="s">
        <v>482</v>
      </c>
      <c r="B267" s="119" t="s">
        <v>283</v>
      </c>
      <c r="C267" s="42" t="s">
        <v>118</v>
      </c>
      <c r="D267" s="120" t="s">
        <v>766</v>
      </c>
      <c r="E267" s="121" t="s">
        <v>671</v>
      </c>
      <c r="F267" s="119" t="s">
        <v>928</v>
      </c>
      <c r="G267" s="119" t="s">
        <v>716</v>
      </c>
      <c r="H267" s="119" t="s">
        <v>292</v>
      </c>
      <c r="I267" s="124" t="s">
        <v>753</v>
      </c>
      <c r="J267" s="123">
        <v>55000</v>
      </c>
    </row>
    <row r="268" spans="1:10" s="83" customFormat="1">
      <c r="A268" s="118" t="s">
        <v>483</v>
      </c>
      <c r="B268" s="119" t="s">
        <v>283</v>
      </c>
      <c r="C268" s="42" t="s">
        <v>118</v>
      </c>
      <c r="D268" s="120" t="s">
        <v>766</v>
      </c>
      <c r="E268" s="121" t="s">
        <v>672</v>
      </c>
      <c r="F268" s="119" t="s">
        <v>928</v>
      </c>
      <c r="G268" s="119" t="s">
        <v>716</v>
      </c>
      <c r="H268" s="119" t="s">
        <v>292</v>
      </c>
      <c r="I268" s="124" t="s">
        <v>753</v>
      </c>
      <c r="J268" s="123">
        <v>52850</v>
      </c>
    </row>
    <row r="269" spans="1:10" s="83" customFormat="1">
      <c r="A269" s="118" t="s">
        <v>484</v>
      </c>
      <c r="B269" s="119" t="s">
        <v>283</v>
      </c>
      <c r="C269" s="42" t="s">
        <v>118</v>
      </c>
      <c r="D269" s="120" t="s">
        <v>766</v>
      </c>
      <c r="E269" s="121" t="s">
        <v>1054</v>
      </c>
      <c r="F269" s="119" t="s">
        <v>928</v>
      </c>
      <c r="G269" s="119" t="s">
        <v>714</v>
      </c>
      <c r="H269" s="119" t="s">
        <v>290</v>
      </c>
      <c r="I269" s="124" t="s">
        <v>785</v>
      </c>
      <c r="J269" s="123">
        <v>60750</v>
      </c>
    </row>
    <row r="270" spans="1:10" s="83" customFormat="1">
      <c r="A270" s="118" t="s">
        <v>485</v>
      </c>
      <c r="B270" s="119" t="s">
        <v>283</v>
      </c>
      <c r="C270" s="42" t="s">
        <v>118</v>
      </c>
      <c r="D270" s="120" t="s">
        <v>766</v>
      </c>
      <c r="E270" s="121" t="s">
        <v>673</v>
      </c>
      <c r="F270" s="119" t="s">
        <v>928</v>
      </c>
      <c r="G270" s="119" t="s">
        <v>715</v>
      </c>
      <c r="H270" s="119" t="s">
        <v>291</v>
      </c>
      <c r="I270" s="124" t="s">
        <v>755</v>
      </c>
      <c r="J270" s="123">
        <v>60750</v>
      </c>
    </row>
    <row r="271" spans="1:10" s="83" customFormat="1">
      <c r="A271" s="118" t="s">
        <v>918</v>
      </c>
      <c r="B271" s="119" t="s">
        <v>283</v>
      </c>
      <c r="C271" s="42" t="s">
        <v>118</v>
      </c>
      <c r="D271" s="120" t="s">
        <v>766</v>
      </c>
      <c r="E271" s="121" t="s">
        <v>1055</v>
      </c>
      <c r="F271" s="119" t="s">
        <v>928</v>
      </c>
      <c r="G271" s="119" t="s">
        <v>715</v>
      </c>
      <c r="H271" s="119" t="s">
        <v>291</v>
      </c>
      <c r="I271" s="124" t="s">
        <v>755</v>
      </c>
      <c r="J271" s="123">
        <v>58680</v>
      </c>
    </row>
    <row r="272" spans="1:10" s="83" customFormat="1">
      <c r="A272" s="118" t="s">
        <v>486</v>
      </c>
      <c r="B272" s="119" t="s">
        <v>283</v>
      </c>
      <c r="C272" s="42" t="s">
        <v>118</v>
      </c>
      <c r="D272" s="120" t="s">
        <v>766</v>
      </c>
      <c r="E272" s="121" t="s">
        <v>1056</v>
      </c>
      <c r="F272" s="119" t="s">
        <v>928</v>
      </c>
      <c r="G272" s="119"/>
      <c r="H272" s="119" t="s">
        <v>754</v>
      </c>
      <c r="I272" s="124" t="s">
        <v>754</v>
      </c>
      <c r="J272" s="123">
        <v>62400</v>
      </c>
    </row>
    <row r="273" spans="1:10" s="83" customFormat="1">
      <c r="A273" s="118" t="s">
        <v>487</v>
      </c>
      <c r="B273" s="119" t="s">
        <v>283</v>
      </c>
      <c r="C273" s="42" t="s">
        <v>118</v>
      </c>
      <c r="D273" s="120" t="s">
        <v>766</v>
      </c>
      <c r="E273" s="121" t="s">
        <v>674</v>
      </c>
      <c r="F273" s="119" t="s">
        <v>928</v>
      </c>
      <c r="G273" s="119"/>
      <c r="H273" s="119" t="s">
        <v>754</v>
      </c>
      <c r="I273" s="124" t="s">
        <v>754</v>
      </c>
      <c r="J273" s="123">
        <v>0</v>
      </c>
    </row>
    <row r="274" spans="1:10" s="83" customFormat="1">
      <c r="A274" s="118" t="s">
        <v>488</v>
      </c>
      <c r="B274" s="119" t="s">
        <v>283</v>
      </c>
      <c r="C274" s="42" t="s">
        <v>120</v>
      </c>
      <c r="D274" s="120" t="s">
        <v>767</v>
      </c>
      <c r="E274" s="121" t="s">
        <v>1057</v>
      </c>
      <c r="F274" s="119" t="s">
        <v>928</v>
      </c>
      <c r="G274" s="119" t="s">
        <v>714</v>
      </c>
      <c r="H274" s="119" t="s">
        <v>290</v>
      </c>
      <c r="I274" s="124" t="s">
        <v>785</v>
      </c>
      <c r="J274" s="123">
        <v>31824</v>
      </c>
    </row>
    <row r="275" spans="1:10" s="83" customFormat="1">
      <c r="A275" s="118" t="s">
        <v>489</v>
      </c>
      <c r="B275" s="119" t="s">
        <v>283</v>
      </c>
      <c r="C275" s="42" t="s">
        <v>120</v>
      </c>
      <c r="D275" s="120" t="s">
        <v>767</v>
      </c>
      <c r="E275" s="121" t="s">
        <v>1058</v>
      </c>
      <c r="F275" s="119" t="s">
        <v>928</v>
      </c>
      <c r="G275" s="119" t="s">
        <v>714</v>
      </c>
      <c r="H275" s="119" t="s">
        <v>290</v>
      </c>
      <c r="I275" s="124" t="s">
        <v>785</v>
      </c>
      <c r="J275" s="123">
        <v>31824</v>
      </c>
    </row>
    <row r="276" spans="1:10" s="83" customFormat="1">
      <c r="A276" s="118" t="s">
        <v>490</v>
      </c>
      <c r="B276" s="119" t="s">
        <v>283</v>
      </c>
      <c r="C276" s="42" t="s">
        <v>120</v>
      </c>
      <c r="D276" s="120" t="s">
        <v>767</v>
      </c>
      <c r="E276" s="121" t="s">
        <v>1059</v>
      </c>
      <c r="F276" s="119" t="s">
        <v>935</v>
      </c>
      <c r="G276" s="119" t="s">
        <v>716</v>
      </c>
      <c r="H276" s="119" t="s">
        <v>292</v>
      </c>
      <c r="I276" s="124" t="s">
        <v>753</v>
      </c>
      <c r="J276" s="123">
        <v>56100</v>
      </c>
    </row>
    <row r="277" spans="1:10" s="83" customFormat="1">
      <c r="A277" s="118" t="s">
        <v>491</v>
      </c>
      <c r="B277" s="119" t="s">
        <v>283</v>
      </c>
      <c r="C277" s="42" t="s">
        <v>120</v>
      </c>
      <c r="D277" s="120" t="s">
        <v>767</v>
      </c>
      <c r="E277" s="121" t="s">
        <v>1060</v>
      </c>
      <c r="F277" s="119" t="s">
        <v>928</v>
      </c>
      <c r="G277" s="119" t="s">
        <v>715</v>
      </c>
      <c r="H277" s="119" t="s">
        <v>291</v>
      </c>
      <c r="I277" s="124" t="s">
        <v>755</v>
      </c>
      <c r="J277" s="123">
        <v>20880</v>
      </c>
    </row>
    <row r="278" spans="1:10" s="83" customFormat="1">
      <c r="A278" s="118" t="s">
        <v>492</v>
      </c>
      <c r="B278" s="119" t="s">
        <v>711</v>
      </c>
      <c r="C278" s="90" t="s">
        <v>128</v>
      </c>
      <c r="D278" s="120" t="s">
        <v>768</v>
      </c>
      <c r="E278" s="121" t="s">
        <v>675</v>
      </c>
      <c r="F278" s="119" t="s">
        <v>935</v>
      </c>
      <c r="G278" s="119"/>
      <c r="H278" s="119" t="s">
        <v>754</v>
      </c>
      <c r="I278" s="124" t="s">
        <v>754</v>
      </c>
      <c r="J278" s="123">
        <v>414</v>
      </c>
    </row>
    <row r="279" spans="1:10" s="83" customFormat="1">
      <c r="A279" s="118" t="s">
        <v>493</v>
      </c>
      <c r="B279" s="119" t="s">
        <v>973</v>
      </c>
      <c r="C279" s="90" t="s">
        <v>128</v>
      </c>
      <c r="D279" s="120" t="s">
        <v>768</v>
      </c>
      <c r="E279" s="121" t="s">
        <v>676</v>
      </c>
      <c r="F279" s="119" t="s">
        <v>935</v>
      </c>
      <c r="G279" s="119"/>
      <c r="H279" s="119" t="s">
        <v>754</v>
      </c>
      <c r="I279" s="124" t="s">
        <v>754</v>
      </c>
      <c r="J279" s="123">
        <v>378</v>
      </c>
    </row>
    <row r="280" spans="1:10" s="83" customFormat="1">
      <c r="A280" s="118" t="s">
        <v>494</v>
      </c>
      <c r="B280" s="119" t="s">
        <v>919</v>
      </c>
      <c r="C280" s="90" t="s">
        <v>128</v>
      </c>
      <c r="D280" s="120" t="s">
        <v>768</v>
      </c>
      <c r="E280" s="121" t="s">
        <v>677</v>
      </c>
      <c r="F280" s="119" t="s">
        <v>935</v>
      </c>
      <c r="G280" s="119" t="s">
        <v>719</v>
      </c>
      <c r="H280" s="119" t="s">
        <v>712</v>
      </c>
      <c r="I280" s="124" t="s">
        <v>720</v>
      </c>
      <c r="J280" s="123">
        <v>415</v>
      </c>
    </row>
    <row r="281" spans="1:10" s="83" customFormat="1">
      <c r="A281" s="118" t="s">
        <v>495</v>
      </c>
      <c r="B281" s="119" t="s">
        <v>711</v>
      </c>
      <c r="C281" s="90" t="s">
        <v>128</v>
      </c>
      <c r="D281" s="120" t="s">
        <v>768</v>
      </c>
      <c r="E281" s="121" t="s">
        <v>678</v>
      </c>
      <c r="F281" s="119" t="s">
        <v>935</v>
      </c>
      <c r="G281" s="119" t="s">
        <v>719</v>
      </c>
      <c r="H281" s="119" t="s">
        <v>712</v>
      </c>
      <c r="I281" s="124" t="s">
        <v>720</v>
      </c>
      <c r="J281" s="123">
        <v>384</v>
      </c>
    </row>
    <row r="282" spans="1:10" s="83" customFormat="1">
      <c r="A282" s="118" t="s">
        <v>496</v>
      </c>
      <c r="B282" s="119" t="s">
        <v>919</v>
      </c>
      <c r="C282" s="90" t="s">
        <v>128</v>
      </c>
      <c r="D282" s="120" t="s">
        <v>768</v>
      </c>
      <c r="E282" s="121" t="s">
        <v>679</v>
      </c>
      <c r="F282" s="119" t="s">
        <v>935</v>
      </c>
      <c r="G282" s="119" t="s">
        <v>715</v>
      </c>
      <c r="H282" s="119" t="s">
        <v>291</v>
      </c>
      <c r="I282" s="124" t="s">
        <v>755</v>
      </c>
      <c r="J282" s="123">
        <v>520</v>
      </c>
    </row>
    <row r="283" spans="1:10" s="83" customFormat="1">
      <c r="A283" s="118" t="s">
        <v>497</v>
      </c>
      <c r="B283" s="119" t="s">
        <v>711</v>
      </c>
      <c r="C283" s="90" t="s">
        <v>128</v>
      </c>
      <c r="D283" s="120" t="s">
        <v>768</v>
      </c>
      <c r="E283" s="121" t="s">
        <v>680</v>
      </c>
      <c r="F283" s="119" t="s">
        <v>935</v>
      </c>
      <c r="G283" s="119"/>
      <c r="H283" s="119" t="s">
        <v>754</v>
      </c>
      <c r="I283" s="124" t="s">
        <v>754</v>
      </c>
      <c r="J283" s="123">
        <v>514</v>
      </c>
    </row>
    <row r="284" spans="1:10" s="83" customFormat="1">
      <c r="A284" s="118" t="s">
        <v>498</v>
      </c>
      <c r="B284" s="119" t="s">
        <v>711</v>
      </c>
      <c r="C284" s="90" t="s">
        <v>128</v>
      </c>
      <c r="D284" s="120" t="s">
        <v>768</v>
      </c>
      <c r="E284" s="121" t="s">
        <v>681</v>
      </c>
      <c r="F284" s="119" t="s">
        <v>935</v>
      </c>
      <c r="G284" s="119"/>
      <c r="H284" s="119" t="s">
        <v>754</v>
      </c>
      <c r="I284" s="124" t="s">
        <v>754</v>
      </c>
      <c r="J284" s="123">
        <v>0</v>
      </c>
    </row>
    <row r="285" spans="1:10" s="83" customFormat="1">
      <c r="A285" s="118" t="s">
        <v>499</v>
      </c>
      <c r="B285" s="119" t="s">
        <v>711</v>
      </c>
      <c r="C285" s="90" t="s">
        <v>128</v>
      </c>
      <c r="D285" s="120" t="s">
        <v>768</v>
      </c>
      <c r="E285" s="121" t="s">
        <v>682</v>
      </c>
      <c r="F285" s="119" t="s">
        <v>935</v>
      </c>
      <c r="G285" s="119"/>
      <c r="H285" s="119" t="s">
        <v>754</v>
      </c>
      <c r="I285" s="124" t="s">
        <v>754</v>
      </c>
      <c r="J285" s="123">
        <v>516</v>
      </c>
    </row>
    <row r="286" spans="1:10" s="83" customFormat="1">
      <c r="A286" s="118" t="s">
        <v>500</v>
      </c>
      <c r="B286" s="119" t="s">
        <v>711</v>
      </c>
      <c r="C286" s="90" t="s">
        <v>128</v>
      </c>
      <c r="D286" s="120" t="s">
        <v>768</v>
      </c>
      <c r="E286" s="121" t="s">
        <v>683</v>
      </c>
      <c r="F286" s="119" t="s">
        <v>935</v>
      </c>
      <c r="G286" s="119"/>
      <c r="H286" s="119" t="s">
        <v>754</v>
      </c>
      <c r="I286" s="124" t="s">
        <v>754</v>
      </c>
      <c r="J286" s="123">
        <v>518</v>
      </c>
    </row>
    <row r="287" spans="1:10" s="83" customFormat="1">
      <c r="A287" s="118" t="s">
        <v>501</v>
      </c>
      <c r="B287" s="119" t="s">
        <v>919</v>
      </c>
      <c r="C287" s="90" t="s">
        <v>128</v>
      </c>
      <c r="D287" s="120" t="s">
        <v>768</v>
      </c>
      <c r="E287" s="121" t="s">
        <v>684</v>
      </c>
      <c r="F287" s="119" t="s">
        <v>935</v>
      </c>
      <c r="G287" s="119"/>
      <c r="H287" s="119" t="s">
        <v>754</v>
      </c>
      <c r="I287" s="124" t="s">
        <v>754</v>
      </c>
      <c r="J287" s="123">
        <v>574</v>
      </c>
    </row>
    <row r="288" spans="1:10" s="83" customFormat="1">
      <c r="A288" s="118" t="s">
        <v>502</v>
      </c>
      <c r="B288" s="119" t="s">
        <v>919</v>
      </c>
      <c r="C288" s="90" t="s">
        <v>128</v>
      </c>
      <c r="D288" s="120" t="s">
        <v>768</v>
      </c>
      <c r="E288" s="121" t="s">
        <v>685</v>
      </c>
      <c r="F288" s="119" t="s">
        <v>935</v>
      </c>
      <c r="G288" s="119"/>
      <c r="H288" s="119" t="s">
        <v>754</v>
      </c>
      <c r="I288" s="124" t="s">
        <v>754</v>
      </c>
      <c r="J288" s="123">
        <v>368</v>
      </c>
    </row>
    <row r="289" spans="1:10" s="83" customFormat="1">
      <c r="A289" s="118" t="s">
        <v>920</v>
      </c>
      <c r="B289" s="119" t="s">
        <v>919</v>
      </c>
      <c r="C289" s="90" t="s">
        <v>128</v>
      </c>
      <c r="D289" s="120" t="s">
        <v>768</v>
      </c>
      <c r="E289" s="121" t="s">
        <v>842</v>
      </c>
      <c r="F289" s="119" t="s">
        <v>935</v>
      </c>
      <c r="G289" s="119"/>
      <c r="H289" s="119"/>
      <c r="I289" s="124"/>
      <c r="J289" s="123">
        <v>406.35</v>
      </c>
    </row>
    <row r="290" spans="1:10" s="83" customFormat="1">
      <c r="A290" s="118" t="s">
        <v>921</v>
      </c>
      <c r="B290" s="119" t="s">
        <v>919</v>
      </c>
      <c r="C290" s="90" t="s">
        <v>128</v>
      </c>
      <c r="D290" s="120" t="s">
        <v>768</v>
      </c>
      <c r="E290" s="121" t="s">
        <v>922</v>
      </c>
      <c r="F290" s="119" t="s">
        <v>935</v>
      </c>
      <c r="G290" s="119"/>
      <c r="H290" s="119"/>
      <c r="I290" s="124"/>
      <c r="J290" s="123">
        <v>410</v>
      </c>
    </row>
    <row r="291" spans="1:10" s="83" customFormat="1">
      <c r="A291" s="118" t="s">
        <v>503</v>
      </c>
      <c r="B291" s="119" t="s">
        <v>919</v>
      </c>
      <c r="C291" s="90" t="s">
        <v>725</v>
      </c>
      <c r="D291" s="120" t="s">
        <v>768</v>
      </c>
      <c r="E291" s="121" t="s">
        <v>686</v>
      </c>
      <c r="F291" s="119" t="s">
        <v>935</v>
      </c>
      <c r="G291" s="119" t="s">
        <v>715</v>
      </c>
      <c r="H291" s="119" t="s">
        <v>291</v>
      </c>
      <c r="I291" s="124" t="s">
        <v>755</v>
      </c>
      <c r="J291" s="123">
        <v>814</v>
      </c>
    </row>
    <row r="292" spans="1:10" s="83" customFormat="1">
      <c r="A292" s="118" t="s">
        <v>504</v>
      </c>
      <c r="B292" s="119" t="s">
        <v>919</v>
      </c>
      <c r="C292" s="90" t="s">
        <v>725</v>
      </c>
      <c r="D292" s="120" t="s">
        <v>768</v>
      </c>
      <c r="E292" s="121" t="s">
        <v>687</v>
      </c>
      <c r="F292" s="119" t="s">
        <v>935</v>
      </c>
      <c r="G292" s="119" t="s">
        <v>715</v>
      </c>
      <c r="H292" s="119" t="s">
        <v>291</v>
      </c>
      <c r="I292" s="124" t="s">
        <v>755</v>
      </c>
      <c r="J292" s="123">
        <v>814</v>
      </c>
    </row>
    <row r="293" spans="1:10" s="83" customFormat="1">
      <c r="A293" s="118" t="s">
        <v>505</v>
      </c>
      <c r="B293" s="119" t="s">
        <v>711</v>
      </c>
      <c r="C293" s="90" t="s">
        <v>127</v>
      </c>
      <c r="D293" s="120" t="s">
        <v>768</v>
      </c>
      <c r="E293" s="121" t="s">
        <v>688</v>
      </c>
      <c r="F293" s="119" t="s">
        <v>935</v>
      </c>
      <c r="G293" s="119" t="s">
        <v>715</v>
      </c>
      <c r="H293" s="119" t="s">
        <v>291</v>
      </c>
      <c r="I293" s="124" t="s">
        <v>755</v>
      </c>
      <c r="J293" s="123">
        <v>1775</v>
      </c>
    </row>
    <row r="294" spans="1:10" s="83" customFormat="1">
      <c r="A294" s="118" t="s">
        <v>506</v>
      </c>
      <c r="B294" s="119" t="s">
        <v>711</v>
      </c>
      <c r="C294" s="90" t="s">
        <v>127</v>
      </c>
      <c r="D294" s="120" t="s">
        <v>768</v>
      </c>
      <c r="E294" s="121" t="s">
        <v>689</v>
      </c>
      <c r="F294" s="119" t="s">
        <v>935</v>
      </c>
      <c r="G294" s="119" t="s">
        <v>715</v>
      </c>
      <c r="H294" s="119" t="s">
        <v>291</v>
      </c>
      <c r="I294" s="124" t="s">
        <v>755</v>
      </c>
      <c r="J294" s="123">
        <v>2027</v>
      </c>
    </row>
    <row r="295" spans="1:10" s="83" customFormat="1">
      <c r="A295" s="118" t="s">
        <v>507</v>
      </c>
      <c r="B295" s="119" t="s">
        <v>919</v>
      </c>
      <c r="C295" s="90" t="s">
        <v>127</v>
      </c>
      <c r="D295" s="120" t="s">
        <v>768</v>
      </c>
      <c r="E295" s="121" t="s">
        <v>690</v>
      </c>
      <c r="F295" s="119" t="s">
        <v>935</v>
      </c>
      <c r="G295" s="119" t="s">
        <v>715</v>
      </c>
      <c r="H295" s="119" t="s">
        <v>291</v>
      </c>
      <c r="I295" s="124" t="s">
        <v>755</v>
      </c>
      <c r="J295" s="123">
        <v>1775</v>
      </c>
    </row>
    <row r="296" spans="1:10" s="83" customFormat="1">
      <c r="A296" s="118" t="s">
        <v>508</v>
      </c>
      <c r="B296" s="119" t="s">
        <v>919</v>
      </c>
      <c r="C296" s="90" t="s">
        <v>127</v>
      </c>
      <c r="D296" s="120" t="s">
        <v>768</v>
      </c>
      <c r="E296" s="121" t="s">
        <v>691</v>
      </c>
      <c r="F296" s="119" t="s">
        <v>935</v>
      </c>
      <c r="G296" s="119" t="s">
        <v>715</v>
      </c>
      <c r="H296" s="119" t="s">
        <v>291</v>
      </c>
      <c r="I296" s="124" t="s">
        <v>755</v>
      </c>
      <c r="J296" s="123">
        <v>2027</v>
      </c>
    </row>
    <row r="297" spans="1:10" s="83" customFormat="1">
      <c r="A297" s="118" t="s">
        <v>509</v>
      </c>
      <c r="B297" s="119" t="s">
        <v>973</v>
      </c>
      <c r="C297" s="90" t="s">
        <v>127</v>
      </c>
      <c r="D297" s="120" t="s">
        <v>768</v>
      </c>
      <c r="E297" s="121" t="s">
        <v>692</v>
      </c>
      <c r="F297" s="119" t="s">
        <v>935</v>
      </c>
      <c r="G297" s="119" t="s">
        <v>715</v>
      </c>
      <c r="H297" s="119" t="s">
        <v>291</v>
      </c>
      <c r="I297" s="124" t="s">
        <v>755</v>
      </c>
      <c r="J297" s="123">
        <v>3654</v>
      </c>
    </row>
    <row r="298" spans="1:10" s="83" customFormat="1">
      <c r="A298" s="118" t="s">
        <v>1107</v>
      </c>
      <c r="B298" s="119" t="s">
        <v>973</v>
      </c>
      <c r="C298" s="119" t="s">
        <v>123</v>
      </c>
      <c r="D298" s="120" t="s">
        <v>768</v>
      </c>
      <c r="E298" s="121" t="s">
        <v>1108</v>
      </c>
      <c r="F298" s="119" t="s">
        <v>935</v>
      </c>
      <c r="G298" s="119"/>
      <c r="H298" s="119"/>
      <c r="I298" s="124"/>
      <c r="J298" s="123">
        <v>1560</v>
      </c>
    </row>
    <row r="299" spans="1:10" s="83" customFormat="1">
      <c r="A299" s="118" t="s">
        <v>1109</v>
      </c>
      <c r="B299" s="119" t="s">
        <v>973</v>
      </c>
      <c r="C299" s="119" t="s">
        <v>123</v>
      </c>
      <c r="D299" s="120" t="s">
        <v>768</v>
      </c>
      <c r="E299" s="121" t="s">
        <v>1110</v>
      </c>
      <c r="F299" s="119" t="s">
        <v>935</v>
      </c>
      <c r="G299" s="119"/>
      <c r="H299" s="119"/>
      <c r="I299" s="124"/>
      <c r="J299" s="123">
        <v>945</v>
      </c>
    </row>
    <row r="300" spans="1:10" s="83" customFormat="1">
      <c r="A300" s="118" t="s">
        <v>510</v>
      </c>
      <c r="B300" s="119" t="s">
        <v>919</v>
      </c>
      <c r="C300" s="119" t="s">
        <v>729</v>
      </c>
      <c r="D300" s="120" t="s">
        <v>768</v>
      </c>
      <c r="E300" s="121" t="s">
        <v>693</v>
      </c>
      <c r="F300" s="119" t="s">
        <v>935</v>
      </c>
      <c r="G300" s="119" t="s">
        <v>715</v>
      </c>
      <c r="H300" s="119" t="s">
        <v>291</v>
      </c>
      <c r="I300" s="124" t="s">
        <v>755</v>
      </c>
      <c r="J300" s="123">
        <v>1479</v>
      </c>
    </row>
    <row r="301" spans="1:10" s="83" customFormat="1">
      <c r="A301" s="118" t="s">
        <v>511</v>
      </c>
      <c r="B301" s="119" t="s">
        <v>919</v>
      </c>
      <c r="C301" s="119" t="s">
        <v>729</v>
      </c>
      <c r="D301" s="120" t="s">
        <v>768</v>
      </c>
      <c r="E301" s="121" t="s">
        <v>694</v>
      </c>
      <c r="F301" s="119" t="s">
        <v>935</v>
      </c>
      <c r="G301" s="119" t="s">
        <v>715</v>
      </c>
      <c r="H301" s="119" t="s">
        <v>291</v>
      </c>
      <c r="I301" s="124" t="s">
        <v>755</v>
      </c>
      <c r="J301" s="123">
        <v>1596</v>
      </c>
    </row>
    <row r="302" spans="1:10" s="83" customFormat="1">
      <c r="A302" s="118" t="s">
        <v>512</v>
      </c>
      <c r="B302" s="119" t="s">
        <v>711</v>
      </c>
      <c r="C302" s="119" t="s">
        <v>128</v>
      </c>
      <c r="D302" s="120" t="s">
        <v>768</v>
      </c>
      <c r="E302" s="121" t="s">
        <v>695</v>
      </c>
      <c r="F302" s="119" t="s">
        <v>1094</v>
      </c>
      <c r="G302" s="119"/>
      <c r="H302" s="119" t="s">
        <v>754</v>
      </c>
      <c r="I302" s="124" t="s">
        <v>754</v>
      </c>
      <c r="J302" s="123">
        <v>47940</v>
      </c>
    </row>
    <row r="303" spans="1:10" s="83" customFormat="1">
      <c r="A303" s="118" t="s">
        <v>513</v>
      </c>
      <c r="B303" s="119" t="s">
        <v>711</v>
      </c>
      <c r="C303" s="119" t="s">
        <v>128</v>
      </c>
      <c r="D303" s="120" t="s">
        <v>768</v>
      </c>
      <c r="E303" s="121" t="s">
        <v>696</v>
      </c>
      <c r="F303" s="119" t="s">
        <v>935</v>
      </c>
      <c r="G303" s="119"/>
      <c r="H303" s="119" t="s">
        <v>754</v>
      </c>
      <c r="I303" s="124" t="s">
        <v>754</v>
      </c>
      <c r="J303" s="123">
        <v>41820</v>
      </c>
    </row>
    <row r="304" spans="1:10" s="83" customFormat="1">
      <c r="A304" s="118" t="s">
        <v>514</v>
      </c>
      <c r="B304" s="119" t="s">
        <v>973</v>
      </c>
      <c r="C304" s="119" t="s">
        <v>128</v>
      </c>
      <c r="D304" s="120" t="s">
        <v>768</v>
      </c>
      <c r="E304" s="121" t="s">
        <v>697</v>
      </c>
      <c r="F304" s="119" t="s">
        <v>1095</v>
      </c>
      <c r="G304" s="119"/>
      <c r="H304" s="119" t="s">
        <v>754</v>
      </c>
      <c r="I304" s="124" t="s">
        <v>754</v>
      </c>
      <c r="J304" s="123">
        <v>18360</v>
      </c>
    </row>
    <row r="305" spans="1:10" s="83" customFormat="1">
      <c r="A305" s="118" t="s">
        <v>515</v>
      </c>
      <c r="B305" s="119" t="s">
        <v>711</v>
      </c>
      <c r="C305" s="119" t="s">
        <v>128</v>
      </c>
      <c r="D305" s="120" t="s">
        <v>768</v>
      </c>
      <c r="E305" s="121" t="s">
        <v>698</v>
      </c>
      <c r="F305" s="119" t="s">
        <v>935</v>
      </c>
      <c r="G305" s="119" t="s">
        <v>719</v>
      </c>
      <c r="H305" s="119" t="s">
        <v>712</v>
      </c>
      <c r="I305" s="124" t="s">
        <v>720</v>
      </c>
      <c r="J305" s="123">
        <v>454</v>
      </c>
    </row>
    <row r="306" spans="1:10" s="83" customFormat="1">
      <c r="A306" s="118" t="s">
        <v>516</v>
      </c>
      <c r="B306" s="119" t="s">
        <v>711</v>
      </c>
      <c r="C306" s="119" t="s">
        <v>128</v>
      </c>
      <c r="D306" s="120" t="s">
        <v>768</v>
      </c>
      <c r="E306" s="121" t="s">
        <v>699</v>
      </c>
      <c r="F306" s="119" t="s">
        <v>935</v>
      </c>
      <c r="G306" s="119"/>
      <c r="H306" s="119" t="s">
        <v>754</v>
      </c>
      <c r="I306" s="124" t="s">
        <v>754</v>
      </c>
      <c r="J306" s="123">
        <v>18360</v>
      </c>
    </row>
    <row r="307" spans="1:10" s="83" customFormat="1">
      <c r="A307" s="118" t="s">
        <v>517</v>
      </c>
      <c r="B307" s="119" t="s">
        <v>711</v>
      </c>
      <c r="C307" s="119" t="s">
        <v>128</v>
      </c>
      <c r="D307" s="120" t="s">
        <v>768</v>
      </c>
      <c r="E307" s="121" t="s">
        <v>700</v>
      </c>
      <c r="F307" s="119" t="s">
        <v>1094</v>
      </c>
      <c r="G307" s="119"/>
      <c r="H307" s="119" t="s">
        <v>754</v>
      </c>
      <c r="I307" s="124" t="s">
        <v>754</v>
      </c>
      <c r="J307" s="123">
        <v>898</v>
      </c>
    </row>
    <row r="308" spans="1:10" s="83" customFormat="1">
      <c r="A308" s="118" t="s">
        <v>974</v>
      </c>
      <c r="B308" s="119" t="s">
        <v>973</v>
      </c>
      <c r="C308" s="119" t="s">
        <v>121</v>
      </c>
      <c r="D308" s="120" t="s">
        <v>768</v>
      </c>
      <c r="E308" s="121" t="s">
        <v>975</v>
      </c>
      <c r="F308" s="119" t="s">
        <v>935</v>
      </c>
      <c r="G308" s="119"/>
      <c r="H308" s="119"/>
      <c r="I308" s="124"/>
      <c r="J308" s="123">
        <v>820</v>
      </c>
    </row>
    <row r="309" spans="1:10" s="83" customFormat="1">
      <c r="A309" s="118" t="s">
        <v>518</v>
      </c>
      <c r="B309" s="119" t="s">
        <v>711</v>
      </c>
      <c r="C309" s="119" t="s">
        <v>121</v>
      </c>
      <c r="D309" s="120" t="s">
        <v>768</v>
      </c>
      <c r="E309" s="121" t="s">
        <v>701</v>
      </c>
      <c r="F309" s="119" t="s">
        <v>935</v>
      </c>
      <c r="G309" s="119"/>
      <c r="H309" s="119" t="s">
        <v>754</v>
      </c>
      <c r="I309" s="124" t="s">
        <v>754</v>
      </c>
      <c r="J309" s="123">
        <v>1214</v>
      </c>
    </row>
    <row r="310" spans="1:10" s="83" customFormat="1">
      <c r="A310" s="118" t="s">
        <v>519</v>
      </c>
      <c r="B310" s="119" t="s">
        <v>919</v>
      </c>
      <c r="C310" s="119" t="s">
        <v>121</v>
      </c>
      <c r="D310" s="120" t="s">
        <v>768</v>
      </c>
      <c r="E310" s="121" t="s">
        <v>702</v>
      </c>
      <c r="F310" s="119" t="s">
        <v>935</v>
      </c>
      <c r="G310" s="119"/>
      <c r="H310" s="119" t="s">
        <v>754</v>
      </c>
      <c r="I310" s="124" t="s">
        <v>754</v>
      </c>
      <c r="J310" s="123">
        <v>1622</v>
      </c>
    </row>
    <row r="311" spans="1:10" s="83" customFormat="1">
      <c r="A311" s="118" t="s">
        <v>520</v>
      </c>
      <c r="B311" s="119" t="s">
        <v>711</v>
      </c>
      <c r="C311" s="119" t="s">
        <v>121</v>
      </c>
      <c r="D311" s="120" t="s">
        <v>768</v>
      </c>
      <c r="E311" s="121" t="s">
        <v>703</v>
      </c>
      <c r="F311" s="119" t="s">
        <v>935</v>
      </c>
      <c r="G311" s="119"/>
      <c r="H311" s="119" t="s">
        <v>754</v>
      </c>
      <c r="I311" s="124" t="s">
        <v>754</v>
      </c>
      <c r="J311" s="123">
        <v>306</v>
      </c>
    </row>
    <row r="312" spans="1:10" s="83" customFormat="1">
      <c r="A312" s="118" t="s">
        <v>521</v>
      </c>
      <c r="B312" s="119" t="s">
        <v>973</v>
      </c>
      <c r="C312" s="119" t="s">
        <v>121</v>
      </c>
      <c r="D312" s="120" t="s">
        <v>768</v>
      </c>
      <c r="E312" s="121" t="s">
        <v>704</v>
      </c>
      <c r="F312" s="119" t="s">
        <v>935</v>
      </c>
      <c r="G312" s="119"/>
      <c r="H312" s="119" t="s">
        <v>754</v>
      </c>
      <c r="I312" s="124" t="s">
        <v>754</v>
      </c>
      <c r="J312" s="123">
        <v>438</v>
      </c>
    </row>
    <row r="313" spans="1:10">
      <c r="A313" s="118" t="s">
        <v>522</v>
      </c>
      <c r="B313" s="119" t="s">
        <v>973</v>
      </c>
      <c r="C313" s="119" t="s">
        <v>121</v>
      </c>
      <c r="D313" s="120" t="s">
        <v>768</v>
      </c>
      <c r="E313" s="121" t="s">
        <v>705</v>
      </c>
      <c r="F313" s="119" t="s">
        <v>935</v>
      </c>
      <c r="G313" s="119"/>
      <c r="H313" s="119" t="s">
        <v>754</v>
      </c>
      <c r="I313" s="124" t="s">
        <v>754</v>
      </c>
      <c r="J313" s="123">
        <v>1204</v>
      </c>
    </row>
    <row r="314" spans="1:10">
      <c r="A314" s="118" t="s">
        <v>523</v>
      </c>
      <c r="B314" s="119" t="s">
        <v>711</v>
      </c>
      <c r="C314" s="119" t="s">
        <v>121</v>
      </c>
      <c r="D314" s="120" t="s">
        <v>768</v>
      </c>
      <c r="E314" s="121" t="s">
        <v>706</v>
      </c>
      <c r="F314" s="119" t="s">
        <v>935</v>
      </c>
      <c r="G314" s="119"/>
      <c r="H314" s="119" t="s">
        <v>754</v>
      </c>
      <c r="I314" s="124" t="s">
        <v>754</v>
      </c>
      <c r="J314" s="123">
        <v>857</v>
      </c>
    </row>
    <row r="315" spans="1:10">
      <c r="A315" s="118" t="s">
        <v>976</v>
      </c>
      <c r="B315" s="119" t="s">
        <v>973</v>
      </c>
      <c r="C315" s="119" t="s">
        <v>121</v>
      </c>
      <c r="D315" s="120" t="s">
        <v>768</v>
      </c>
      <c r="E315" s="121" t="s">
        <v>977</v>
      </c>
      <c r="F315" s="119" t="s">
        <v>935</v>
      </c>
      <c r="G315" s="119"/>
      <c r="H315" s="119"/>
      <c r="I315" s="124"/>
      <c r="J315" s="123">
        <v>1620</v>
      </c>
    </row>
    <row r="316" spans="1:10">
      <c r="A316" s="118" t="s">
        <v>524</v>
      </c>
      <c r="B316" s="119" t="s">
        <v>919</v>
      </c>
      <c r="C316" s="119" t="s">
        <v>121</v>
      </c>
      <c r="D316" s="120" t="s">
        <v>768</v>
      </c>
      <c r="E316" s="121" t="s">
        <v>1096</v>
      </c>
      <c r="F316" s="119" t="s">
        <v>935</v>
      </c>
      <c r="G316" s="119"/>
      <c r="H316" s="119" t="s">
        <v>754</v>
      </c>
      <c r="I316" s="124" t="s">
        <v>754</v>
      </c>
      <c r="J316" s="123">
        <v>599</v>
      </c>
    </row>
    <row r="317" spans="1:10">
      <c r="A317" s="118" t="s">
        <v>525</v>
      </c>
      <c r="B317" s="119" t="s">
        <v>919</v>
      </c>
      <c r="C317" s="119" t="s">
        <v>121</v>
      </c>
      <c r="D317" s="120" t="s">
        <v>768</v>
      </c>
      <c r="E317" s="121" t="s">
        <v>1097</v>
      </c>
      <c r="F317" s="119" t="s">
        <v>935</v>
      </c>
      <c r="G317" s="119"/>
      <c r="H317" s="119" t="s">
        <v>754</v>
      </c>
      <c r="I317" s="124" t="s">
        <v>754</v>
      </c>
      <c r="J317" s="123">
        <v>1733</v>
      </c>
    </row>
    <row r="318" spans="1:10">
      <c r="A318" s="118" t="s">
        <v>923</v>
      </c>
      <c r="B318" s="119" t="s">
        <v>973</v>
      </c>
      <c r="C318" s="119" t="s">
        <v>121</v>
      </c>
      <c r="D318" s="120" t="s">
        <v>768</v>
      </c>
      <c r="E318" s="121" t="s">
        <v>1098</v>
      </c>
      <c r="F318" s="119" t="s">
        <v>935</v>
      </c>
      <c r="G318" s="119"/>
      <c r="H318" s="119"/>
      <c r="I318" s="124"/>
      <c r="J318" s="123">
        <v>861</v>
      </c>
    </row>
    <row r="319" spans="1:10">
      <c r="A319" s="118" t="s">
        <v>526</v>
      </c>
      <c r="B319" s="119" t="s">
        <v>919</v>
      </c>
      <c r="C319" s="119" t="s">
        <v>123</v>
      </c>
      <c r="D319" s="120" t="s">
        <v>768</v>
      </c>
      <c r="E319" s="121" t="s">
        <v>707</v>
      </c>
      <c r="F319" s="119" t="s">
        <v>935</v>
      </c>
      <c r="G319" s="119"/>
      <c r="H319" s="119" t="s">
        <v>754</v>
      </c>
      <c r="I319" s="124" t="s">
        <v>754</v>
      </c>
      <c r="J319" s="123">
        <v>749</v>
      </c>
    </row>
    <row r="320" spans="1:10">
      <c r="A320" s="118" t="s">
        <v>527</v>
      </c>
      <c r="B320" s="119" t="s">
        <v>711</v>
      </c>
      <c r="C320" s="119" t="s">
        <v>127</v>
      </c>
      <c r="D320" s="120" t="s">
        <v>768</v>
      </c>
      <c r="E320" s="121" t="s">
        <v>708</v>
      </c>
      <c r="F320" s="119" t="s">
        <v>935</v>
      </c>
      <c r="G320" s="119"/>
      <c r="H320" s="119" t="s">
        <v>754</v>
      </c>
      <c r="I320" s="124" t="s">
        <v>754</v>
      </c>
      <c r="J320" s="123">
        <v>4069</v>
      </c>
    </row>
    <row r="321" spans="1:10">
      <c r="A321" s="118" t="s">
        <v>528</v>
      </c>
      <c r="B321" s="119" t="s">
        <v>919</v>
      </c>
      <c r="C321" s="119" t="s">
        <v>149</v>
      </c>
      <c r="D321" s="120" t="s">
        <v>768</v>
      </c>
      <c r="E321" s="121" t="s">
        <v>810</v>
      </c>
      <c r="F321" s="119" t="s">
        <v>935</v>
      </c>
      <c r="G321" s="119" t="s">
        <v>715</v>
      </c>
      <c r="H321" s="119" t="s">
        <v>291</v>
      </c>
      <c r="I321" s="124" t="s">
        <v>755</v>
      </c>
      <c r="J321" s="123">
        <v>158</v>
      </c>
    </row>
    <row r="322" spans="1:10">
      <c r="A322" s="118"/>
      <c r="B322" s="119"/>
      <c r="C322" s="126"/>
      <c r="D322" s="120"/>
      <c r="E322" s="121"/>
      <c r="F322" s="119"/>
      <c r="G322" s="119"/>
      <c r="H322" s="119"/>
      <c r="I322" s="124"/>
      <c r="J322" s="123"/>
    </row>
    <row r="323" spans="1:10">
      <c r="A323" s="128"/>
      <c r="B323" s="129"/>
      <c r="C323" s="129"/>
      <c r="D323" s="130"/>
      <c r="E323" s="131"/>
      <c r="F323" s="119"/>
      <c r="G323" s="119"/>
      <c r="H323" s="132"/>
      <c r="I323" s="104"/>
      <c r="J323" s="123"/>
    </row>
    <row r="324" spans="1:10" ht="17.25" thickBot="1">
      <c r="A324" s="133" t="s">
        <v>711</v>
      </c>
      <c r="B324" s="134" t="s">
        <v>283</v>
      </c>
      <c r="C324" s="105"/>
      <c r="D324" s="135"/>
      <c r="E324" s="136"/>
      <c r="F324" s="136"/>
      <c r="G324" s="136"/>
      <c r="H324" s="137"/>
      <c r="I324" s="106"/>
      <c r="J324" s="138"/>
    </row>
  </sheetData>
  <autoFilter ref="A3:J282" xr:uid="{00000000-0009-0000-0000-000002000000}">
    <sortState xmlns:xlrd2="http://schemas.microsoft.com/office/spreadsheetml/2017/richdata2" ref="A4:J253">
      <sortCondition ref="A3:A253"/>
    </sortState>
  </autoFilter>
  <phoneticPr fontId="6" type="noConversion"/>
  <conditionalFormatting sqref="A1:A2">
    <cfRule type="duplicateValues" dxfId="490" priority="9"/>
  </conditionalFormatting>
  <conditionalFormatting sqref="A3">
    <cfRule type="duplicateValues" dxfId="489" priority="7"/>
  </conditionalFormatting>
  <conditionalFormatting sqref="A4:A99 A105:A165 A170:A247 A252:A324">
    <cfRule type="duplicateValues" dxfId="488" priority="12"/>
  </conditionalFormatting>
  <conditionalFormatting sqref="A100:A104">
    <cfRule type="duplicateValues" dxfId="487" priority="4"/>
  </conditionalFormatting>
  <conditionalFormatting sqref="A166:A169">
    <cfRule type="duplicateValues" dxfId="486" priority="2"/>
  </conditionalFormatting>
  <conditionalFormatting sqref="A248:A251">
    <cfRule type="duplicateValues" dxfId="485" priority="1"/>
  </conditionalFormatting>
  <conditionalFormatting sqref="A325:A1048576">
    <cfRule type="duplicateValues" dxfId="484" priority="11"/>
  </conditionalFormatting>
  <conditionalFormatting sqref="E4:E99 E105:E165 E170:E247 E252:E323">
    <cfRule type="duplicateValues" dxfId="483" priority="13"/>
  </conditionalFormatting>
  <conditionalFormatting sqref="E100:E104">
    <cfRule type="duplicateValues" dxfId="482" priority="5"/>
  </conditionalFormatting>
  <conditionalFormatting sqref="E166:E169">
    <cfRule type="duplicateValues" dxfId="481" priority="3"/>
  </conditionalFormatting>
  <conditionalFormatting sqref="F1:G1">
    <cfRule type="duplicateValues" dxfId="480" priority="10"/>
  </conditionalFormatting>
  <conditionalFormatting sqref="I3">
    <cfRule type="duplicateValues" dxfId="479" priority="8"/>
  </conditionalFormatting>
  <conditionalFormatting sqref="J1">
    <cfRule type="duplicateValues" dxfId="478" priority="6"/>
  </conditionalFormatting>
  <pageMargins left="0.69972223043441772" right="0.69972223043441772" top="0.75" bottom="0.75" header="0.30000001192092896" footer="0.30000001192092896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408"/>
  <sheetViews>
    <sheetView tabSelected="1" view="pageBreakPreview" zoomScale="72" zoomScaleNormal="72" zoomScaleSheetLayoutView="72" workbookViewId="0">
      <pane xSplit="11" ySplit="6" topLeftCell="R319" activePane="bottomRight" state="frozen"/>
      <selection activeCell="P4" sqref="P4"/>
      <selection pane="topRight" activeCell="P4" sqref="P4"/>
      <selection pane="bottomLeft" activeCell="P4" sqref="P4"/>
      <selection pane="bottomRight" activeCell="D329" sqref="D329"/>
    </sheetView>
  </sheetViews>
  <sheetFormatPr defaultRowHeight="30" customHeight="1"/>
  <cols>
    <col min="2" max="2" width="26.5" bestFit="1" customWidth="1"/>
    <col min="3" max="3" width="55.5" bestFit="1" customWidth="1"/>
    <col min="4" max="4" width="25.625" style="1" customWidth="1"/>
    <col min="5" max="5" width="7.75" customWidth="1"/>
    <col min="6" max="6" width="9.625" customWidth="1"/>
    <col min="7" max="7" width="17.375" customWidth="1"/>
    <col min="8" max="8" width="9.625" style="1" customWidth="1"/>
    <col min="9" max="9" width="6.5" style="1" customWidth="1"/>
    <col min="10" max="10" width="11.375" style="1" customWidth="1"/>
    <col min="11" max="13" width="11.375" customWidth="1"/>
    <col min="14" max="14" width="13.625" customWidth="1"/>
    <col min="15" max="17" width="13.125" customWidth="1"/>
    <col min="18" max="18" width="15" customWidth="1"/>
    <col min="19" max="19" width="17" style="24" customWidth="1"/>
    <col min="20" max="20" width="15" customWidth="1"/>
    <col min="21" max="24" width="13.375" customWidth="1"/>
    <col min="25" max="25" width="10.5" customWidth="1"/>
    <col min="26" max="26" width="18.5" customWidth="1"/>
  </cols>
  <sheetData>
    <row r="1" spans="1:25" ht="38.25">
      <c r="B1" s="89" t="s">
        <v>721</v>
      </c>
      <c r="F1" s="4"/>
      <c r="G1" s="4"/>
      <c r="I1" s="2"/>
      <c r="J1" s="2"/>
      <c r="K1" s="3"/>
      <c r="L1" s="3"/>
      <c r="M1" s="3"/>
      <c r="N1" s="3"/>
      <c r="O1" s="3"/>
      <c r="P1" s="3"/>
      <c r="Q1" s="3"/>
      <c r="R1" s="3"/>
      <c r="S1" s="22"/>
      <c r="U1" s="57"/>
    </row>
    <row r="2" spans="1:25" ht="38.25">
      <c r="B2" s="52" t="s">
        <v>1124</v>
      </c>
      <c r="C2" s="88" t="s">
        <v>1072</v>
      </c>
      <c r="F2" s="1"/>
      <c r="G2" s="7"/>
      <c r="I2" s="2"/>
      <c r="J2" s="2"/>
      <c r="K2" s="3"/>
      <c r="L2" s="3"/>
      <c r="M2" s="3"/>
      <c r="N2" s="3"/>
      <c r="O2" s="3"/>
      <c r="P2" s="3"/>
      <c r="Q2" s="3"/>
      <c r="R2" s="3"/>
      <c r="S2" s="22"/>
      <c r="U2" s="57"/>
    </row>
    <row r="3" spans="1:25" ht="5.0999999999999996" customHeight="1" thickBot="1">
      <c r="B3" s="5"/>
      <c r="F3" s="1"/>
      <c r="G3" s="1"/>
      <c r="I3" s="2"/>
      <c r="J3" s="2"/>
      <c r="K3" s="3"/>
      <c r="L3" s="3"/>
      <c r="M3" s="3"/>
      <c r="N3" s="3"/>
      <c r="O3" s="3"/>
      <c r="P3" s="3"/>
      <c r="Q3" s="3"/>
      <c r="R3" s="3"/>
      <c r="S3" s="22"/>
      <c r="U3" s="57"/>
    </row>
    <row r="4" spans="1:25" ht="39.950000000000003" customHeight="1" thickBot="1">
      <c r="B4" s="174" t="s">
        <v>722</v>
      </c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6"/>
      <c r="U4" s="57"/>
    </row>
    <row r="5" spans="1:25" ht="30" customHeight="1">
      <c r="B5" s="177" t="s">
        <v>286</v>
      </c>
      <c r="C5" s="179" t="s">
        <v>287</v>
      </c>
      <c r="D5" s="180" t="s">
        <v>288</v>
      </c>
      <c r="E5" s="179" t="s">
        <v>93</v>
      </c>
      <c r="F5" s="179" t="s">
        <v>289</v>
      </c>
      <c r="G5" s="179" t="s">
        <v>94</v>
      </c>
      <c r="H5" s="179" t="s">
        <v>96</v>
      </c>
      <c r="I5" s="179" t="s">
        <v>95</v>
      </c>
      <c r="J5" s="181" t="s">
        <v>227</v>
      </c>
      <c r="K5" s="181" t="s">
        <v>53</v>
      </c>
      <c r="L5" s="181" t="s">
        <v>199</v>
      </c>
      <c r="M5" s="165" t="s">
        <v>200</v>
      </c>
      <c r="N5" s="181" t="s">
        <v>228</v>
      </c>
      <c r="O5" s="181" t="s">
        <v>50</v>
      </c>
      <c r="P5" s="181"/>
      <c r="Q5" s="6" t="s">
        <v>49</v>
      </c>
      <c r="R5" s="181" t="s">
        <v>776</v>
      </c>
      <c r="S5" s="181"/>
      <c r="T5" s="163" t="s">
        <v>112</v>
      </c>
      <c r="U5" s="172" t="s">
        <v>775</v>
      </c>
      <c r="V5" s="170" t="s">
        <v>1121</v>
      </c>
      <c r="W5" s="161" t="s">
        <v>1119</v>
      </c>
      <c r="X5" s="161" t="s">
        <v>1120</v>
      </c>
    </row>
    <row r="6" spans="1:25" ht="30" customHeight="1">
      <c r="B6" s="178"/>
      <c r="C6" s="179"/>
      <c r="D6" s="179"/>
      <c r="E6" s="179"/>
      <c r="F6" s="179"/>
      <c r="G6" s="179"/>
      <c r="H6" s="179"/>
      <c r="I6" s="179"/>
      <c r="J6" s="181"/>
      <c r="K6" s="181"/>
      <c r="L6" s="181"/>
      <c r="M6" s="166"/>
      <c r="N6" s="181"/>
      <c r="O6" s="6" t="s">
        <v>2</v>
      </c>
      <c r="P6" s="6" t="s">
        <v>0</v>
      </c>
      <c r="Q6" s="6" t="s">
        <v>3</v>
      </c>
      <c r="R6" s="6" t="s">
        <v>6</v>
      </c>
      <c r="S6" s="23" t="s">
        <v>52</v>
      </c>
      <c r="T6" s="164"/>
      <c r="U6" s="173"/>
      <c r="V6" s="171"/>
      <c r="W6" s="162"/>
      <c r="X6" s="162"/>
    </row>
    <row r="7" spans="1:25" ht="30" customHeight="1">
      <c r="A7">
        <v>1</v>
      </c>
      <c r="B7" s="84" t="s">
        <v>295</v>
      </c>
      <c r="C7" s="85" t="s">
        <v>529</v>
      </c>
      <c r="D7" s="86" t="s">
        <v>726</v>
      </c>
      <c r="E7" s="86" t="s">
        <v>285</v>
      </c>
      <c r="F7" s="86" t="s">
        <v>709</v>
      </c>
      <c r="G7" s="86" t="s">
        <v>724</v>
      </c>
      <c r="H7" s="86" t="s">
        <v>713</v>
      </c>
      <c r="I7" s="86" t="s">
        <v>723</v>
      </c>
      <c r="J7" s="97">
        <v>0</v>
      </c>
      <c r="K7" s="93">
        <v>0</v>
      </c>
      <c r="L7" s="94">
        <v>0</v>
      </c>
      <c r="M7" s="94">
        <v>0</v>
      </c>
      <c r="N7" s="94">
        <v>0</v>
      </c>
      <c r="O7" s="94">
        <v>0</v>
      </c>
      <c r="P7" s="94">
        <v>0</v>
      </c>
      <c r="Q7" s="94">
        <v>0</v>
      </c>
      <c r="R7" s="94">
        <v>0</v>
      </c>
      <c r="S7" s="95">
        <v>0</v>
      </c>
      <c r="T7" s="99">
        <v>158</v>
      </c>
      <c r="U7" s="152">
        <v>0</v>
      </c>
      <c r="V7" s="151">
        <v>0</v>
      </c>
      <c r="W7" s="151">
        <v>0</v>
      </c>
      <c r="X7" s="151">
        <v>158</v>
      </c>
      <c r="Y7" s="8" t="s">
        <v>998</v>
      </c>
    </row>
    <row r="8" spans="1:25" ht="30" customHeight="1">
      <c r="A8">
        <v>2</v>
      </c>
      <c r="B8" s="84" t="s">
        <v>296</v>
      </c>
      <c r="C8" s="85" t="s">
        <v>530</v>
      </c>
      <c r="D8" s="86" t="s">
        <v>726</v>
      </c>
      <c r="E8" s="86" t="s">
        <v>285</v>
      </c>
      <c r="F8" s="86" t="s">
        <v>709</v>
      </c>
      <c r="G8" s="86" t="s">
        <v>724</v>
      </c>
      <c r="H8" s="86" t="s">
        <v>713</v>
      </c>
      <c r="I8" s="86" t="s">
        <v>723</v>
      </c>
      <c r="J8" s="97">
        <v>0</v>
      </c>
      <c r="K8" s="93">
        <v>0</v>
      </c>
      <c r="L8" s="94">
        <v>0</v>
      </c>
      <c r="M8" s="94">
        <v>0</v>
      </c>
      <c r="N8" s="94">
        <v>0</v>
      </c>
      <c r="O8" s="94">
        <v>0</v>
      </c>
      <c r="P8" s="94">
        <v>0</v>
      </c>
      <c r="Q8" s="94">
        <v>0</v>
      </c>
      <c r="R8" s="94">
        <v>0</v>
      </c>
      <c r="S8" s="94">
        <v>0</v>
      </c>
      <c r="T8" s="99">
        <v>0</v>
      </c>
      <c r="U8" s="152">
        <v>0</v>
      </c>
      <c r="V8" s="151">
        <v>0</v>
      </c>
      <c r="W8" s="151">
        <v>0</v>
      </c>
      <c r="X8" s="151"/>
      <c r="Y8" s="8" t="s">
        <v>998</v>
      </c>
    </row>
    <row r="9" spans="1:25" ht="30" customHeight="1">
      <c r="A9">
        <v>3</v>
      </c>
      <c r="B9" s="87" t="s">
        <v>297</v>
      </c>
      <c r="C9" s="85" t="s">
        <v>531</v>
      </c>
      <c r="D9" s="86" t="s">
        <v>726</v>
      </c>
      <c r="E9" s="86" t="s">
        <v>285</v>
      </c>
      <c r="F9" s="86" t="s">
        <v>709</v>
      </c>
      <c r="G9" s="86" t="s">
        <v>724</v>
      </c>
      <c r="H9" s="86" t="s">
        <v>713</v>
      </c>
      <c r="I9" s="86" t="s">
        <v>723</v>
      </c>
      <c r="J9" s="97">
        <v>0</v>
      </c>
      <c r="K9" s="93">
        <v>0</v>
      </c>
      <c r="L9" s="94">
        <v>0</v>
      </c>
      <c r="M9" s="94">
        <v>0</v>
      </c>
      <c r="N9" s="94">
        <v>0</v>
      </c>
      <c r="O9" s="94">
        <v>0</v>
      </c>
      <c r="P9" s="94">
        <v>0</v>
      </c>
      <c r="Q9" s="94">
        <v>0</v>
      </c>
      <c r="R9" s="94">
        <v>0</v>
      </c>
      <c r="S9" s="94">
        <v>0</v>
      </c>
      <c r="T9" s="99">
        <v>0</v>
      </c>
      <c r="U9" s="152">
        <v>0</v>
      </c>
      <c r="V9" s="151">
        <v>0</v>
      </c>
      <c r="W9" s="151">
        <v>0</v>
      </c>
      <c r="X9" s="151"/>
      <c r="Y9" s="8" t="s">
        <v>998</v>
      </c>
    </row>
    <row r="10" spans="1:25" ht="30" customHeight="1">
      <c r="A10">
        <v>4</v>
      </c>
      <c r="B10" s="87" t="s">
        <v>298</v>
      </c>
      <c r="C10" s="85" t="s">
        <v>532</v>
      </c>
      <c r="D10" s="86" t="s">
        <v>726</v>
      </c>
      <c r="E10" s="86" t="s">
        <v>285</v>
      </c>
      <c r="F10" s="86" t="s">
        <v>709</v>
      </c>
      <c r="G10" s="86" t="s">
        <v>724</v>
      </c>
      <c r="H10" s="86" t="s">
        <v>713</v>
      </c>
      <c r="I10" s="86" t="s">
        <v>723</v>
      </c>
      <c r="J10" s="97">
        <v>0</v>
      </c>
      <c r="K10" s="93">
        <v>0</v>
      </c>
      <c r="L10" s="94">
        <v>0</v>
      </c>
      <c r="M10" s="94">
        <v>0</v>
      </c>
      <c r="N10" s="94">
        <v>0</v>
      </c>
      <c r="O10" s="94">
        <v>0</v>
      </c>
      <c r="P10" s="94">
        <v>0</v>
      </c>
      <c r="Q10" s="94">
        <v>0</v>
      </c>
      <c r="R10" s="94">
        <v>0</v>
      </c>
      <c r="S10" s="94">
        <v>0</v>
      </c>
      <c r="T10" s="99">
        <v>7600</v>
      </c>
      <c r="U10" s="152">
        <v>0</v>
      </c>
      <c r="V10" s="151">
        <v>0</v>
      </c>
      <c r="W10" s="151">
        <v>0</v>
      </c>
      <c r="X10" s="151">
        <v>7600</v>
      </c>
      <c r="Y10" s="8" t="s">
        <v>998</v>
      </c>
    </row>
    <row r="11" spans="1:25" ht="30" customHeight="1">
      <c r="A11">
        <v>5</v>
      </c>
      <c r="B11" s="84" t="s">
        <v>299</v>
      </c>
      <c r="C11" s="85" t="s">
        <v>533</v>
      </c>
      <c r="D11" s="86" t="s">
        <v>726</v>
      </c>
      <c r="E11" s="86" t="s">
        <v>285</v>
      </c>
      <c r="F11" s="86" t="s">
        <v>709</v>
      </c>
      <c r="G11" s="86" t="s">
        <v>724</v>
      </c>
      <c r="H11" s="86" t="s">
        <v>713</v>
      </c>
      <c r="I11" s="86" t="s">
        <v>723</v>
      </c>
      <c r="J11" s="97">
        <v>0</v>
      </c>
      <c r="K11" s="93">
        <v>0</v>
      </c>
      <c r="L11" s="94">
        <v>0</v>
      </c>
      <c r="M11" s="94">
        <v>0</v>
      </c>
      <c r="N11" s="94">
        <v>0</v>
      </c>
      <c r="O11" s="94">
        <v>0</v>
      </c>
      <c r="P11" s="94">
        <v>0</v>
      </c>
      <c r="Q11" s="94">
        <v>0</v>
      </c>
      <c r="R11" s="94">
        <v>0</v>
      </c>
      <c r="S11" s="96">
        <v>0</v>
      </c>
      <c r="T11" s="99">
        <v>3994</v>
      </c>
      <c r="U11" s="152">
        <v>0</v>
      </c>
      <c r="V11" s="151">
        <v>0</v>
      </c>
      <c r="W11" s="151">
        <v>0</v>
      </c>
      <c r="X11" s="151">
        <v>3994</v>
      </c>
      <c r="Y11" s="8" t="s">
        <v>998</v>
      </c>
    </row>
    <row r="12" spans="1:25" ht="30" customHeight="1">
      <c r="A12">
        <v>6</v>
      </c>
      <c r="B12" s="84" t="s">
        <v>300</v>
      </c>
      <c r="C12" s="85" t="s">
        <v>534</v>
      </c>
      <c r="D12" s="86" t="s">
        <v>726</v>
      </c>
      <c r="E12" s="86" t="s">
        <v>285</v>
      </c>
      <c r="F12" s="86" t="s">
        <v>709</v>
      </c>
      <c r="G12" s="86" t="s">
        <v>724</v>
      </c>
      <c r="H12" s="86" t="s">
        <v>713</v>
      </c>
      <c r="I12" s="86" t="s">
        <v>723</v>
      </c>
      <c r="J12" s="97">
        <v>0</v>
      </c>
      <c r="K12" s="93">
        <v>0</v>
      </c>
      <c r="L12" s="94">
        <v>0</v>
      </c>
      <c r="M12" s="94">
        <v>0</v>
      </c>
      <c r="N12" s="94">
        <v>0</v>
      </c>
      <c r="O12" s="94">
        <v>0</v>
      </c>
      <c r="P12" s="94">
        <v>0</v>
      </c>
      <c r="Q12" s="94">
        <v>0</v>
      </c>
      <c r="R12" s="94">
        <v>0</v>
      </c>
      <c r="S12" s="94">
        <v>0</v>
      </c>
      <c r="T12" s="99">
        <v>0</v>
      </c>
      <c r="U12" s="152">
        <v>0</v>
      </c>
      <c r="V12" s="151">
        <v>0</v>
      </c>
      <c r="W12" s="151">
        <v>0</v>
      </c>
      <c r="X12" s="151"/>
      <c r="Y12" s="8" t="s">
        <v>998</v>
      </c>
    </row>
    <row r="13" spans="1:25" ht="30" customHeight="1">
      <c r="A13">
        <v>7</v>
      </c>
      <c r="B13" s="84" t="s">
        <v>301</v>
      </c>
      <c r="C13" s="85" t="s">
        <v>535</v>
      </c>
      <c r="D13" s="86" t="s">
        <v>726</v>
      </c>
      <c r="E13" s="86" t="s">
        <v>285</v>
      </c>
      <c r="F13" s="86" t="s">
        <v>710</v>
      </c>
      <c r="G13" s="86" t="s">
        <v>724</v>
      </c>
      <c r="H13" s="86" t="s">
        <v>713</v>
      </c>
      <c r="I13" s="86" t="s">
        <v>723</v>
      </c>
      <c r="J13" s="97">
        <v>0</v>
      </c>
      <c r="K13" s="93">
        <v>0</v>
      </c>
      <c r="L13" s="94">
        <v>0</v>
      </c>
      <c r="M13" s="94">
        <v>0</v>
      </c>
      <c r="N13" s="94">
        <v>0</v>
      </c>
      <c r="O13" s="94">
        <v>0</v>
      </c>
      <c r="P13" s="94">
        <v>0</v>
      </c>
      <c r="Q13" s="94">
        <v>0</v>
      </c>
      <c r="R13" s="94">
        <v>0</v>
      </c>
      <c r="S13" s="94">
        <v>0</v>
      </c>
      <c r="T13" s="99">
        <v>0</v>
      </c>
      <c r="U13" s="152">
        <v>0</v>
      </c>
      <c r="V13" s="151">
        <v>0</v>
      </c>
      <c r="W13" s="151">
        <v>0</v>
      </c>
      <c r="X13" s="151"/>
      <c r="Y13" s="8" t="s">
        <v>999</v>
      </c>
    </row>
    <row r="14" spans="1:25" ht="30" customHeight="1">
      <c r="A14">
        <v>8</v>
      </c>
      <c r="B14" s="87" t="s">
        <v>302</v>
      </c>
      <c r="C14" s="85" t="s">
        <v>536</v>
      </c>
      <c r="D14" s="86" t="s">
        <v>726</v>
      </c>
      <c r="E14" s="86" t="s">
        <v>285</v>
      </c>
      <c r="F14" s="86" t="s">
        <v>710</v>
      </c>
      <c r="G14" s="86" t="s">
        <v>724</v>
      </c>
      <c r="H14" s="86" t="s">
        <v>713</v>
      </c>
      <c r="I14" s="86" t="s">
        <v>723</v>
      </c>
      <c r="J14" s="97">
        <v>0</v>
      </c>
      <c r="K14" s="93">
        <v>0</v>
      </c>
      <c r="L14" s="94">
        <v>0</v>
      </c>
      <c r="M14" s="94">
        <v>0</v>
      </c>
      <c r="N14" s="94">
        <v>0</v>
      </c>
      <c r="O14" s="94">
        <v>0</v>
      </c>
      <c r="P14" s="94">
        <v>0</v>
      </c>
      <c r="Q14" s="94">
        <v>0</v>
      </c>
      <c r="R14" s="94">
        <v>0</v>
      </c>
      <c r="S14" s="94">
        <v>0</v>
      </c>
      <c r="T14" s="99">
        <v>0</v>
      </c>
      <c r="U14" s="152">
        <v>0</v>
      </c>
      <c r="V14" s="151">
        <v>0</v>
      </c>
      <c r="W14" s="151">
        <v>0</v>
      </c>
      <c r="X14" s="151"/>
      <c r="Y14" s="8" t="s">
        <v>999</v>
      </c>
    </row>
    <row r="15" spans="1:25" ht="30" customHeight="1">
      <c r="A15">
        <v>9</v>
      </c>
      <c r="B15" s="84" t="s">
        <v>1154</v>
      </c>
      <c r="C15" s="85" t="s">
        <v>1155</v>
      </c>
      <c r="D15" s="86" t="s">
        <v>726</v>
      </c>
      <c r="E15" s="86" t="s">
        <v>285</v>
      </c>
      <c r="F15" s="86" t="s">
        <v>709</v>
      </c>
      <c r="G15" s="86" t="s">
        <v>724</v>
      </c>
      <c r="H15" s="86" t="s">
        <v>713</v>
      </c>
      <c r="I15" s="86" t="s">
        <v>723</v>
      </c>
      <c r="J15" s="97">
        <v>0</v>
      </c>
      <c r="K15" s="93">
        <v>0</v>
      </c>
      <c r="L15" s="94">
        <v>0</v>
      </c>
      <c r="M15" s="94">
        <v>0</v>
      </c>
      <c r="N15" s="94">
        <v>0</v>
      </c>
      <c r="O15" s="94">
        <v>0</v>
      </c>
      <c r="P15" s="94">
        <v>0</v>
      </c>
      <c r="Q15" s="94">
        <v>0</v>
      </c>
      <c r="R15" s="94">
        <v>0</v>
      </c>
      <c r="S15" s="94">
        <v>0</v>
      </c>
      <c r="T15" s="99">
        <v>0</v>
      </c>
      <c r="U15" s="152">
        <v>0</v>
      </c>
      <c r="V15" s="151">
        <v>0</v>
      </c>
      <c r="W15" s="151">
        <v>0</v>
      </c>
      <c r="X15" s="151"/>
      <c r="Y15" s="8"/>
    </row>
    <row r="16" spans="1:25" ht="30" customHeight="1">
      <c r="A16">
        <v>10</v>
      </c>
      <c r="B16" s="87" t="s">
        <v>303</v>
      </c>
      <c r="C16" s="85" t="s">
        <v>1004</v>
      </c>
      <c r="D16" s="86" t="s">
        <v>126</v>
      </c>
      <c r="E16" s="86" t="s">
        <v>285</v>
      </c>
      <c r="F16" s="139" t="s">
        <v>1118</v>
      </c>
      <c r="G16" s="86" t="s">
        <v>714</v>
      </c>
      <c r="H16" s="86" t="s">
        <v>290</v>
      </c>
      <c r="I16" s="86" t="s">
        <v>785</v>
      </c>
      <c r="J16" s="97">
        <v>0</v>
      </c>
      <c r="K16" s="93">
        <v>0</v>
      </c>
      <c r="L16" s="94">
        <v>0</v>
      </c>
      <c r="M16" s="94">
        <v>0</v>
      </c>
      <c r="N16" s="94">
        <v>0</v>
      </c>
      <c r="O16" s="94">
        <v>0</v>
      </c>
      <c r="P16" s="94">
        <v>0</v>
      </c>
      <c r="Q16" s="94">
        <v>0</v>
      </c>
      <c r="R16" s="94">
        <v>0</v>
      </c>
      <c r="S16" s="94">
        <v>0</v>
      </c>
      <c r="T16" s="156">
        <v>1335</v>
      </c>
      <c r="U16" s="152">
        <v>0</v>
      </c>
      <c r="V16" s="151">
        <v>0</v>
      </c>
      <c r="W16" s="151">
        <v>0</v>
      </c>
      <c r="X16" s="151">
        <v>1335</v>
      </c>
      <c r="Y16" s="8" t="s">
        <v>1000</v>
      </c>
    </row>
    <row r="17" spans="1:25" ht="30" customHeight="1">
      <c r="A17">
        <v>11</v>
      </c>
      <c r="B17" s="84" t="s">
        <v>304</v>
      </c>
      <c r="C17" s="85" t="s">
        <v>537</v>
      </c>
      <c r="D17" s="86" t="s">
        <v>131</v>
      </c>
      <c r="E17" s="86" t="s">
        <v>285</v>
      </c>
      <c r="F17" s="86" t="s">
        <v>710</v>
      </c>
      <c r="G17" s="86" t="s">
        <v>715</v>
      </c>
      <c r="H17" s="86" t="s">
        <v>291</v>
      </c>
      <c r="I17" s="86" t="s">
        <v>755</v>
      </c>
      <c r="J17" s="97">
        <v>0</v>
      </c>
      <c r="K17" s="93">
        <v>0</v>
      </c>
      <c r="L17" s="94">
        <v>0</v>
      </c>
      <c r="M17" s="94">
        <v>0</v>
      </c>
      <c r="N17" s="94">
        <v>0</v>
      </c>
      <c r="O17" s="94">
        <v>0</v>
      </c>
      <c r="P17" s="94">
        <v>0</v>
      </c>
      <c r="Q17" s="94">
        <v>0</v>
      </c>
      <c r="R17" s="94">
        <v>0</v>
      </c>
      <c r="S17" s="94">
        <v>0</v>
      </c>
      <c r="T17" s="156">
        <v>0</v>
      </c>
      <c r="U17" s="152">
        <v>0</v>
      </c>
      <c r="V17" s="151">
        <v>0</v>
      </c>
      <c r="W17" s="151">
        <v>0</v>
      </c>
      <c r="X17" s="151"/>
      <c r="Y17" s="8" t="s">
        <v>1000</v>
      </c>
    </row>
    <row r="18" spans="1:25" ht="30" customHeight="1">
      <c r="A18">
        <v>12</v>
      </c>
      <c r="B18" s="84" t="s">
        <v>305</v>
      </c>
      <c r="C18" s="85" t="s">
        <v>1005</v>
      </c>
      <c r="D18" s="86" t="s">
        <v>133</v>
      </c>
      <c r="E18" s="86" t="s">
        <v>285</v>
      </c>
      <c r="F18" s="86" t="s">
        <v>710</v>
      </c>
      <c r="G18" s="86" t="s">
        <v>714</v>
      </c>
      <c r="H18" s="86" t="s">
        <v>290</v>
      </c>
      <c r="I18" s="86" t="s">
        <v>785</v>
      </c>
      <c r="J18" s="97">
        <v>0</v>
      </c>
      <c r="K18" s="93">
        <v>0</v>
      </c>
      <c r="L18" s="94">
        <v>0</v>
      </c>
      <c r="M18" s="94">
        <v>0</v>
      </c>
      <c r="N18" s="94">
        <v>0</v>
      </c>
      <c r="O18" s="94">
        <v>0</v>
      </c>
      <c r="P18" s="94">
        <v>0</v>
      </c>
      <c r="Q18" s="94">
        <v>0</v>
      </c>
      <c r="R18" s="94">
        <v>0</v>
      </c>
      <c r="S18" s="94">
        <v>0</v>
      </c>
      <c r="T18" s="156">
        <v>0</v>
      </c>
      <c r="U18" s="152">
        <v>0</v>
      </c>
      <c r="V18" s="151">
        <v>0</v>
      </c>
      <c r="W18" s="151">
        <v>0</v>
      </c>
      <c r="X18" s="151"/>
      <c r="Y18" s="8" t="s">
        <v>1000</v>
      </c>
    </row>
    <row r="19" spans="1:25" ht="30" customHeight="1">
      <c r="A19">
        <v>13</v>
      </c>
      <c r="B19" s="87" t="s">
        <v>306</v>
      </c>
      <c r="C19" s="85" t="s">
        <v>538</v>
      </c>
      <c r="D19" s="86" t="s">
        <v>133</v>
      </c>
      <c r="E19" s="86" t="s">
        <v>285</v>
      </c>
      <c r="F19" s="86" t="s">
        <v>710</v>
      </c>
      <c r="G19" s="86" t="s">
        <v>718</v>
      </c>
      <c r="H19" s="86" t="s">
        <v>294</v>
      </c>
      <c r="I19" s="86" t="s">
        <v>786</v>
      </c>
      <c r="J19" s="97">
        <v>0</v>
      </c>
      <c r="K19" s="93">
        <v>0</v>
      </c>
      <c r="L19" s="94">
        <v>0</v>
      </c>
      <c r="M19" s="94">
        <v>0</v>
      </c>
      <c r="N19" s="94">
        <v>0</v>
      </c>
      <c r="O19" s="94">
        <v>0</v>
      </c>
      <c r="P19" s="94">
        <v>0</v>
      </c>
      <c r="Q19" s="94">
        <v>0</v>
      </c>
      <c r="R19" s="94">
        <v>0</v>
      </c>
      <c r="S19" s="94">
        <v>0</v>
      </c>
      <c r="T19" s="156">
        <v>0</v>
      </c>
      <c r="U19" s="152">
        <v>0</v>
      </c>
      <c r="V19" s="151">
        <v>0</v>
      </c>
      <c r="W19" s="151">
        <v>0</v>
      </c>
      <c r="X19" s="151"/>
      <c r="Y19" s="8" t="s">
        <v>999</v>
      </c>
    </row>
    <row r="20" spans="1:25" ht="30" customHeight="1">
      <c r="A20">
        <v>14</v>
      </c>
      <c r="B20" s="87" t="s">
        <v>307</v>
      </c>
      <c r="C20" s="85" t="s">
        <v>539</v>
      </c>
      <c r="D20" s="86" t="s">
        <v>151</v>
      </c>
      <c r="E20" s="86" t="s">
        <v>285</v>
      </c>
      <c r="F20" s="86" t="s">
        <v>710</v>
      </c>
      <c r="G20" s="86" t="s">
        <v>714</v>
      </c>
      <c r="H20" s="86" t="s">
        <v>290</v>
      </c>
      <c r="I20" s="86" t="s">
        <v>785</v>
      </c>
      <c r="J20" s="97">
        <v>0</v>
      </c>
      <c r="K20" s="93">
        <v>0</v>
      </c>
      <c r="L20" s="94">
        <v>0</v>
      </c>
      <c r="M20" s="94">
        <v>0</v>
      </c>
      <c r="N20" s="94">
        <v>0</v>
      </c>
      <c r="O20" s="94">
        <v>0</v>
      </c>
      <c r="P20" s="94">
        <v>0</v>
      </c>
      <c r="Q20" s="94">
        <v>0</v>
      </c>
      <c r="R20" s="94">
        <v>0</v>
      </c>
      <c r="S20" s="94">
        <v>0</v>
      </c>
      <c r="T20" s="156">
        <v>580</v>
      </c>
      <c r="U20" s="152">
        <v>0</v>
      </c>
      <c r="V20" s="151">
        <v>0</v>
      </c>
      <c r="W20" s="151">
        <v>0</v>
      </c>
      <c r="X20" s="151">
        <v>580</v>
      </c>
      <c r="Y20" s="8" t="s">
        <v>998</v>
      </c>
    </row>
    <row r="21" spans="1:25" ht="30" customHeight="1">
      <c r="A21">
        <v>15</v>
      </c>
      <c r="B21" s="87" t="s">
        <v>308</v>
      </c>
      <c r="C21" s="85" t="s">
        <v>540</v>
      </c>
      <c r="D21" s="86" t="s">
        <v>727</v>
      </c>
      <c r="E21" s="86" t="s">
        <v>285</v>
      </c>
      <c r="F21" s="86" t="s">
        <v>710</v>
      </c>
      <c r="G21" s="86" t="s">
        <v>718</v>
      </c>
      <c r="H21" s="86" t="s">
        <v>294</v>
      </c>
      <c r="I21" s="86" t="s">
        <v>786</v>
      </c>
      <c r="J21" s="97">
        <v>0</v>
      </c>
      <c r="K21" s="93">
        <v>0</v>
      </c>
      <c r="L21" s="94">
        <v>0</v>
      </c>
      <c r="M21" s="94">
        <v>0</v>
      </c>
      <c r="N21" s="94">
        <v>0</v>
      </c>
      <c r="O21" s="94">
        <v>0</v>
      </c>
      <c r="P21" s="94">
        <v>0</v>
      </c>
      <c r="Q21" s="94">
        <v>0</v>
      </c>
      <c r="R21" s="94">
        <v>0</v>
      </c>
      <c r="S21" s="94">
        <v>0</v>
      </c>
      <c r="T21" s="156">
        <v>0</v>
      </c>
      <c r="U21" s="152">
        <v>0</v>
      </c>
      <c r="V21" s="151">
        <v>0</v>
      </c>
      <c r="W21" s="151">
        <v>0</v>
      </c>
      <c r="X21" s="151"/>
      <c r="Y21" s="8" t="s">
        <v>999</v>
      </c>
    </row>
    <row r="22" spans="1:25" ht="30" customHeight="1">
      <c r="A22">
        <v>16</v>
      </c>
      <c r="B22" s="84" t="s">
        <v>309</v>
      </c>
      <c r="C22" s="85" t="s">
        <v>541</v>
      </c>
      <c r="D22" s="86" t="s">
        <v>727</v>
      </c>
      <c r="E22" s="86" t="s">
        <v>285</v>
      </c>
      <c r="F22" s="86" t="s">
        <v>710</v>
      </c>
      <c r="G22" s="86">
        <v>0</v>
      </c>
      <c r="H22" s="86" t="e">
        <v>#N/A</v>
      </c>
      <c r="I22" s="86" t="e">
        <v>#N/A</v>
      </c>
      <c r="J22" s="97">
        <v>0</v>
      </c>
      <c r="K22" s="93">
        <v>0</v>
      </c>
      <c r="L22" s="94">
        <v>0</v>
      </c>
      <c r="M22" s="94">
        <v>0</v>
      </c>
      <c r="N22" s="94">
        <v>0</v>
      </c>
      <c r="O22" s="94">
        <v>0</v>
      </c>
      <c r="P22" s="94">
        <v>0</v>
      </c>
      <c r="Q22" s="94">
        <v>0</v>
      </c>
      <c r="R22" s="94">
        <v>0</v>
      </c>
      <c r="S22" s="94">
        <v>0</v>
      </c>
      <c r="T22" s="156">
        <v>775.5</v>
      </c>
      <c r="U22" s="152">
        <v>0</v>
      </c>
      <c r="V22" s="151">
        <v>0</v>
      </c>
      <c r="W22" s="151">
        <v>0</v>
      </c>
      <c r="X22" s="151">
        <v>775.5</v>
      </c>
      <c r="Y22" s="8" t="s">
        <v>998</v>
      </c>
    </row>
    <row r="23" spans="1:25" ht="30" customHeight="1">
      <c r="A23">
        <v>17</v>
      </c>
      <c r="B23" s="87" t="s">
        <v>310</v>
      </c>
      <c r="C23" s="85" t="s">
        <v>542</v>
      </c>
      <c r="D23" s="86" t="s">
        <v>140</v>
      </c>
      <c r="E23" s="86" t="s">
        <v>285</v>
      </c>
      <c r="F23" s="86" t="s">
        <v>710</v>
      </c>
      <c r="G23" s="86" t="s">
        <v>718</v>
      </c>
      <c r="H23" s="86" t="s">
        <v>294</v>
      </c>
      <c r="I23" s="86" t="s">
        <v>786</v>
      </c>
      <c r="J23" s="97">
        <v>0</v>
      </c>
      <c r="K23" s="93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94">
        <v>0</v>
      </c>
      <c r="R23" s="94">
        <v>0</v>
      </c>
      <c r="S23" s="94">
        <v>0</v>
      </c>
      <c r="T23" s="156">
        <v>0</v>
      </c>
      <c r="U23" s="152">
        <v>0</v>
      </c>
      <c r="V23" s="151">
        <v>0</v>
      </c>
      <c r="W23" s="151">
        <v>0</v>
      </c>
      <c r="X23" s="151"/>
      <c r="Y23" s="8" t="s">
        <v>999</v>
      </c>
    </row>
    <row r="24" spans="1:25" ht="30" customHeight="1">
      <c r="A24">
        <v>18</v>
      </c>
      <c r="B24" s="84" t="s">
        <v>311</v>
      </c>
      <c r="C24" s="85" t="s">
        <v>543</v>
      </c>
      <c r="D24" s="86" t="s">
        <v>124</v>
      </c>
      <c r="E24" s="86" t="s">
        <v>285</v>
      </c>
      <c r="F24" s="86" t="s">
        <v>710</v>
      </c>
      <c r="G24" s="86" t="s">
        <v>714</v>
      </c>
      <c r="H24" s="86" t="s">
        <v>290</v>
      </c>
      <c r="I24" s="86" t="s">
        <v>785</v>
      </c>
      <c r="J24" s="97">
        <v>0</v>
      </c>
      <c r="K24" s="93">
        <v>0</v>
      </c>
      <c r="L24" s="94">
        <v>0</v>
      </c>
      <c r="M24" s="94">
        <v>0</v>
      </c>
      <c r="N24" s="94">
        <v>0</v>
      </c>
      <c r="O24" s="94">
        <v>0</v>
      </c>
      <c r="P24" s="94">
        <v>0</v>
      </c>
      <c r="Q24" s="94">
        <v>0</v>
      </c>
      <c r="R24" s="94">
        <v>0</v>
      </c>
      <c r="S24" s="94">
        <v>0</v>
      </c>
      <c r="T24" s="156">
        <v>0</v>
      </c>
      <c r="U24" s="152">
        <v>0</v>
      </c>
      <c r="V24" s="151">
        <v>0</v>
      </c>
      <c r="W24" s="151">
        <v>0</v>
      </c>
      <c r="X24" s="151"/>
      <c r="Y24" s="8" t="s">
        <v>1001</v>
      </c>
    </row>
    <row r="25" spans="1:25" ht="30" customHeight="1">
      <c r="A25">
        <v>19</v>
      </c>
      <c r="B25" s="87" t="s">
        <v>312</v>
      </c>
      <c r="C25" s="85" t="s">
        <v>1006</v>
      </c>
      <c r="D25" s="86" t="s">
        <v>158</v>
      </c>
      <c r="E25" s="86" t="s">
        <v>285</v>
      </c>
      <c r="F25" s="86" t="s">
        <v>1066</v>
      </c>
      <c r="G25" s="86" t="s">
        <v>714</v>
      </c>
      <c r="H25" s="86" t="s">
        <v>290</v>
      </c>
      <c r="I25" s="86" t="s">
        <v>785</v>
      </c>
      <c r="J25" s="97">
        <v>0</v>
      </c>
      <c r="K25" s="93">
        <v>0</v>
      </c>
      <c r="L25" s="94">
        <v>0</v>
      </c>
      <c r="M25" s="94">
        <v>0</v>
      </c>
      <c r="N25" s="94">
        <v>0</v>
      </c>
      <c r="O25" s="94">
        <v>0</v>
      </c>
      <c r="P25" s="94">
        <v>0</v>
      </c>
      <c r="Q25" s="94">
        <v>0</v>
      </c>
      <c r="R25" s="94">
        <v>0</v>
      </c>
      <c r="S25" s="94">
        <v>0</v>
      </c>
      <c r="T25" s="156">
        <v>1334</v>
      </c>
      <c r="U25" s="152">
        <v>0</v>
      </c>
      <c r="V25" s="151">
        <v>0</v>
      </c>
      <c r="W25" s="151">
        <v>0</v>
      </c>
      <c r="X25" s="151">
        <v>1334</v>
      </c>
      <c r="Y25" s="8" t="s">
        <v>1000</v>
      </c>
    </row>
    <row r="26" spans="1:25" ht="30" customHeight="1">
      <c r="A26">
        <v>20</v>
      </c>
      <c r="B26" s="87" t="s">
        <v>313</v>
      </c>
      <c r="C26" s="85" t="s">
        <v>1007</v>
      </c>
      <c r="D26" s="86" t="s">
        <v>124</v>
      </c>
      <c r="E26" s="86" t="s">
        <v>285</v>
      </c>
      <c r="F26" s="86" t="s">
        <v>1066</v>
      </c>
      <c r="G26" s="86" t="s">
        <v>715</v>
      </c>
      <c r="H26" s="86" t="s">
        <v>291</v>
      </c>
      <c r="I26" s="86" t="s">
        <v>755</v>
      </c>
      <c r="J26" s="97">
        <v>0</v>
      </c>
      <c r="K26" s="93">
        <v>0</v>
      </c>
      <c r="L26" s="94">
        <v>0</v>
      </c>
      <c r="M26" s="94">
        <v>0</v>
      </c>
      <c r="N26" s="94">
        <v>0</v>
      </c>
      <c r="O26" s="94">
        <v>0</v>
      </c>
      <c r="P26" s="94">
        <v>0</v>
      </c>
      <c r="Q26" s="94">
        <v>0</v>
      </c>
      <c r="R26" s="94">
        <v>0</v>
      </c>
      <c r="S26" s="94">
        <v>0</v>
      </c>
      <c r="T26" s="156">
        <v>0</v>
      </c>
      <c r="U26" s="152">
        <v>0</v>
      </c>
      <c r="V26" s="151">
        <v>0</v>
      </c>
      <c r="W26" s="151">
        <v>0</v>
      </c>
      <c r="X26" s="151"/>
      <c r="Y26" s="8" t="s">
        <v>1001</v>
      </c>
    </row>
    <row r="27" spans="1:25" ht="30" customHeight="1">
      <c r="A27">
        <v>21</v>
      </c>
      <c r="B27" s="87" t="s">
        <v>314</v>
      </c>
      <c r="C27" s="85" t="s">
        <v>544</v>
      </c>
      <c r="D27" s="86" t="s">
        <v>133</v>
      </c>
      <c r="E27" s="86" t="s">
        <v>285</v>
      </c>
      <c r="F27" s="86" t="s">
        <v>710</v>
      </c>
      <c r="G27" s="86" t="s">
        <v>714</v>
      </c>
      <c r="H27" s="86" t="s">
        <v>290</v>
      </c>
      <c r="I27" s="86" t="s">
        <v>785</v>
      </c>
      <c r="J27" s="97">
        <v>0</v>
      </c>
      <c r="K27" s="93">
        <v>0</v>
      </c>
      <c r="L27" s="94">
        <v>0</v>
      </c>
      <c r="M27" s="94">
        <v>0</v>
      </c>
      <c r="N27" s="94">
        <v>0</v>
      </c>
      <c r="O27" s="94">
        <v>0</v>
      </c>
      <c r="P27" s="94">
        <v>0</v>
      </c>
      <c r="Q27" s="94">
        <v>0</v>
      </c>
      <c r="R27" s="94">
        <v>0</v>
      </c>
      <c r="S27" s="94">
        <v>0</v>
      </c>
      <c r="T27" s="156">
        <v>0</v>
      </c>
      <c r="U27" s="152">
        <v>0</v>
      </c>
      <c r="V27" s="151">
        <v>0</v>
      </c>
      <c r="W27" s="151">
        <v>0</v>
      </c>
      <c r="X27" s="151"/>
      <c r="Y27" s="8" t="s">
        <v>1000</v>
      </c>
    </row>
    <row r="28" spans="1:25" ht="30" customHeight="1">
      <c r="A28">
        <v>22</v>
      </c>
      <c r="B28" s="87" t="s">
        <v>315</v>
      </c>
      <c r="C28" s="85" t="s">
        <v>1008</v>
      </c>
      <c r="D28" s="86" t="s">
        <v>131</v>
      </c>
      <c r="E28" s="86" t="s">
        <v>285</v>
      </c>
      <c r="F28" s="86" t="s">
        <v>710</v>
      </c>
      <c r="G28" s="86" t="s">
        <v>714</v>
      </c>
      <c r="H28" s="86" t="s">
        <v>290</v>
      </c>
      <c r="I28" s="86" t="s">
        <v>785</v>
      </c>
      <c r="J28" s="97">
        <v>0</v>
      </c>
      <c r="K28" s="93">
        <v>0</v>
      </c>
      <c r="L28" s="94">
        <v>0</v>
      </c>
      <c r="M28" s="94">
        <v>0</v>
      </c>
      <c r="N28" s="94">
        <v>0</v>
      </c>
      <c r="O28" s="94">
        <v>0</v>
      </c>
      <c r="P28" s="94">
        <v>0</v>
      </c>
      <c r="Q28" s="94">
        <v>0</v>
      </c>
      <c r="R28" s="94">
        <v>0</v>
      </c>
      <c r="S28" s="94">
        <v>0</v>
      </c>
      <c r="T28" s="156">
        <v>0</v>
      </c>
      <c r="U28" s="152">
        <v>0</v>
      </c>
      <c r="V28" s="151">
        <v>0</v>
      </c>
      <c r="W28" s="151">
        <v>0</v>
      </c>
      <c r="X28" s="151"/>
      <c r="Y28" s="8" t="s">
        <v>998</v>
      </c>
    </row>
    <row r="29" spans="1:25" ht="30" customHeight="1">
      <c r="A29">
        <v>23</v>
      </c>
      <c r="B29" s="84" t="s">
        <v>316</v>
      </c>
      <c r="C29" s="85" t="s">
        <v>545</v>
      </c>
      <c r="D29" s="86" t="s">
        <v>131</v>
      </c>
      <c r="E29" s="86" t="s">
        <v>285</v>
      </c>
      <c r="F29" s="86" t="s">
        <v>710</v>
      </c>
      <c r="G29" s="86" t="s">
        <v>714</v>
      </c>
      <c r="H29" s="86" t="s">
        <v>290</v>
      </c>
      <c r="I29" s="86" t="s">
        <v>785</v>
      </c>
      <c r="J29" s="97">
        <v>0</v>
      </c>
      <c r="K29" s="93">
        <v>0</v>
      </c>
      <c r="L29" s="94">
        <v>0</v>
      </c>
      <c r="M29" s="94">
        <v>0</v>
      </c>
      <c r="N29" s="94">
        <v>0</v>
      </c>
      <c r="O29" s="94">
        <v>0</v>
      </c>
      <c r="P29" s="94">
        <v>0</v>
      </c>
      <c r="Q29" s="94">
        <v>0</v>
      </c>
      <c r="R29" s="94">
        <v>0</v>
      </c>
      <c r="S29" s="94">
        <v>0</v>
      </c>
      <c r="T29" s="156">
        <v>0</v>
      </c>
      <c r="U29" s="152">
        <v>0</v>
      </c>
      <c r="V29" s="151">
        <v>0</v>
      </c>
      <c r="W29" s="151">
        <v>0</v>
      </c>
      <c r="X29" s="151"/>
      <c r="Y29" s="8" t="s">
        <v>1001</v>
      </c>
    </row>
    <row r="30" spans="1:25" ht="30" customHeight="1">
      <c r="A30">
        <v>24</v>
      </c>
      <c r="B30" s="87" t="s">
        <v>317</v>
      </c>
      <c r="C30" s="85" t="s">
        <v>546</v>
      </c>
      <c r="D30" s="86" t="s">
        <v>131</v>
      </c>
      <c r="E30" s="86" t="s">
        <v>285</v>
      </c>
      <c r="F30" s="86" t="s">
        <v>1065</v>
      </c>
      <c r="G30" s="86" t="s">
        <v>718</v>
      </c>
      <c r="H30" s="86" t="s">
        <v>294</v>
      </c>
      <c r="I30" s="86" t="s">
        <v>786</v>
      </c>
      <c r="J30" s="97">
        <v>0</v>
      </c>
      <c r="K30" s="93">
        <v>0</v>
      </c>
      <c r="L30" s="94">
        <v>0</v>
      </c>
      <c r="M30" s="94">
        <v>0</v>
      </c>
      <c r="N30" s="94">
        <v>0</v>
      </c>
      <c r="O30" s="94">
        <v>0</v>
      </c>
      <c r="P30" s="94">
        <v>0</v>
      </c>
      <c r="Q30" s="94">
        <v>0</v>
      </c>
      <c r="R30" s="94">
        <v>0</v>
      </c>
      <c r="S30" s="94">
        <v>0</v>
      </c>
      <c r="T30" s="156">
        <v>0</v>
      </c>
      <c r="U30" s="152">
        <v>0</v>
      </c>
      <c r="V30" s="151">
        <v>0</v>
      </c>
      <c r="W30" s="151">
        <v>0</v>
      </c>
      <c r="X30" s="151"/>
      <c r="Y30" s="8">
        <v>0</v>
      </c>
    </row>
    <row r="31" spans="1:25" ht="30" customHeight="1">
      <c r="A31">
        <v>25</v>
      </c>
      <c r="B31" s="87" t="s">
        <v>318</v>
      </c>
      <c r="C31" s="85" t="s">
        <v>787</v>
      </c>
      <c r="D31" s="86" t="s">
        <v>1156</v>
      </c>
      <c r="E31" s="86" t="s">
        <v>283</v>
      </c>
      <c r="F31" s="86" t="s">
        <v>1067</v>
      </c>
      <c r="G31" s="86" t="s">
        <v>717</v>
      </c>
      <c r="H31" s="86" t="s">
        <v>293</v>
      </c>
      <c r="I31" s="86" t="s">
        <v>788</v>
      </c>
      <c r="J31" s="97">
        <v>0</v>
      </c>
      <c r="K31" s="93">
        <v>0</v>
      </c>
      <c r="L31" s="94">
        <v>0</v>
      </c>
      <c r="M31" s="94">
        <v>0</v>
      </c>
      <c r="N31" s="94">
        <v>0</v>
      </c>
      <c r="O31" s="94">
        <v>0</v>
      </c>
      <c r="P31" s="94">
        <v>0</v>
      </c>
      <c r="Q31" s="94">
        <v>0</v>
      </c>
      <c r="R31" s="94">
        <v>0</v>
      </c>
      <c r="S31" s="94">
        <v>0</v>
      </c>
      <c r="T31" s="156">
        <v>0</v>
      </c>
      <c r="U31" s="152">
        <v>0</v>
      </c>
      <c r="V31" s="151">
        <v>0</v>
      </c>
      <c r="W31" s="151">
        <v>0</v>
      </c>
      <c r="X31" s="151"/>
      <c r="Y31" s="8" t="s">
        <v>1001</v>
      </c>
    </row>
    <row r="32" spans="1:25" ht="30" customHeight="1">
      <c r="A32">
        <v>26</v>
      </c>
      <c r="B32" s="84" t="s">
        <v>319</v>
      </c>
      <c r="C32" s="85" t="s">
        <v>1009</v>
      </c>
      <c r="D32" s="86" t="s">
        <v>125</v>
      </c>
      <c r="E32" s="86" t="s">
        <v>283</v>
      </c>
      <c r="F32" s="86" t="s">
        <v>1067</v>
      </c>
      <c r="G32" s="86" t="s">
        <v>714</v>
      </c>
      <c r="H32" s="86" t="s">
        <v>290</v>
      </c>
      <c r="I32" s="86" t="s">
        <v>785</v>
      </c>
      <c r="J32" s="97">
        <v>0</v>
      </c>
      <c r="K32" s="93">
        <v>0</v>
      </c>
      <c r="L32" s="94">
        <v>0</v>
      </c>
      <c r="M32" s="94">
        <v>0</v>
      </c>
      <c r="N32" s="94">
        <v>0</v>
      </c>
      <c r="O32" s="94">
        <v>0</v>
      </c>
      <c r="P32" s="94">
        <v>0</v>
      </c>
      <c r="Q32" s="94">
        <v>0</v>
      </c>
      <c r="R32" s="94">
        <v>0</v>
      </c>
      <c r="S32" s="94">
        <v>0</v>
      </c>
      <c r="T32" s="156">
        <v>0</v>
      </c>
      <c r="U32" s="152">
        <v>0</v>
      </c>
      <c r="V32" s="151">
        <v>0</v>
      </c>
      <c r="W32" s="151">
        <v>0</v>
      </c>
      <c r="X32" s="151"/>
      <c r="Y32" s="8" t="s">
        <v>1002</v>
      </c>
    </row>
    <row r="33" spans="1:25" ht="30" customHeight="1">
      <c r="A33">
        <v>27</v>
      </c>
      <c r="B33" s="84" t="s">
        <v>320</v>
      </c>
      <c r="C33" s="85" t="s">
        <v>1111</v>
      </c>
      <c r="D33" s="86" t="s">
        <v>132</v>
      </c>
      <c r="E33" s="86" t="s">
        <v>283</v>
      </c>
      <c r="F33" s="86" t="s">
        <v>1067</v>
      </c>
      <c r="G33" s="86" t="s">
        <v>714</v>
      </c>
      <c r="H33" s="86" t="s">
        <v>290</v>
      </c>
      <c r="I33" s="86" t="s">
        <v>785</v>
      </c>
      <c r="J33" s="97">
        <v>0</v>
      </c>
      <c r="K33" s="93">
        <v>0</v>
      </c>
      <c r="L33" s="94">
        <v>0</v>
      </c>
      <c r="M33" s="94">
        <v>0</v>
      </c>
      <c r="N33" s="94">
        <v>0</v>
      </c>
      <c r="O33" s="94">
        <v>0</v>
      </c>
      <c r="P33" s="94">
        <v>0</v>
      </c>
      <c r="Q33" s="94">
        <v>0</v>
      </c>
      <c r="R33" s="94">
        <v>0</v>
      </c>
      <c r="S33" s="94">
        <v>0</v>
      </c>
      <c r="T33" s="156">
        <v>0</v>
      </c>
      <c r="U33" s="152">
        <v>0</v>
      </c>
      <c r="V33" s="151">
        <v>0</v>
      </c>
      <c r="W33" s="151">
        <v>0</v>
      </c>
      <c r="X33" s="151"/>
      <c r="Y33" s="8" t="s">
        <v>1002</v>
      </c>
    </row>
    <row r="34" spans="1:25" ht="30" customHeight="1">
      <c r="A34">
        <v>28</v>
      </c>
      <c r="B34" s="84" t="s">
        <v>321</v>
      </c>
      <c r="C34" s="85" t="s">
        <v>547</v>
      </c>
      <c r="D34" s="86" t="s">
        <v>122</v>
      </c>
      <c r="E34" s="86" t="s">
        <v>283</v>
      </c>
      <c r="F34" s="86" t="s">
        <v>1067</v>
      </c>
      <c r="G34" s="86" t="s">
        <v>717</v>
      </c>
      <c r="H34" s="86" t="s">
        <v>293</v>
      </c>
      <c r="I34" s="86" t="s">
        <v>788</v>
      </c>
      <c r="J34" s="97">
        <v>0</v>
      </c>
      <c r="K34" s="93">
        <v>0</v>
      </c>
      <c r="L34" s="94">
        <v>0</v>
      </c>
      <c r="M34" s="94">
        <v>0</v>
      </c>
      <c r="N34" s="94">
        <v>0</v>
      </c>
      <c r="O34" s="94">
        <v>0</v>
      </c>
      <c r="P34" s="94">
        <v>0</v>
      </c>
      <c r="Q34" s="94">
        <v>0</v>
      </c>
      <c r="R34" s="94">
        <v>0</v>
      </c>
      <c r="S34" s="94">
        <v>0</v>
      </c>
      <c r="T34" s="156">
        <v>0</v>
      </c>
      <c r="U34" s="152">
        <v>0</v>
      </c>
      <c r="V34" s="151">
        <v>0</v>
      </c>
      <c r="W34" s="151">
        <v>0</v>
      </c>
      <c r="X34" s="151"/>
      <c r="Y34" s="8" t="s">
        <v>1001</v>
      </c>
    </row>
    <row r="35" spans="1:25" ht="30" customHeight="1">
      <c r="A35">
        <v>29</v>
      </c>
      <c r="B35" s="84" t="s">
        <v>322</v>
      </c>
      <c r="C35" s="85" t="s">
        <v>1010</v>
      </c>
      <c r="D35" s="86" t="s">
        <v>125</v>
      </c>
      <c r="E35" s="86" t="s">
        <v>283</v>
      </c>
      <c r="F35" s="86" t="s">
        <v>1067</v>
      </c>
      <c r="G35" s="86" t="s">
        <v>716</v>
      </c>
      <c r="H35" s="86" t="s">
        <v>292</v>
      </c>
      <c r="I35" s="86" t="s">
        <v>753</v>
      </c>
      <c r="J35" s="97">
        <v>0</v>
      </c>
      <c r="K35" s="93">
        <v>0</v>
      </c>
      <c r="L35" s="94">
        <v>0</v>
      </c>
      <c r="M35" s="94">
        <v>0</v>
      </c>
      <c r="N35" s="94">
        <v>0</v>
      </c>
      <c r="O35" s="94">
        <v>0</v>
      </c>
      <c r="P35" s="94">
        <v>0</v>
      </c>
      <c r="Q35" s="94">
        <v>0</v>
      </c>
      <c r="R35" s="94">
        <v>0</v>
      </c>
      <c r="S35" s="94">
        <v>0</v>
      </c>
      <c r="T35" s="156">
        <v>0</v>
      </c>
      <c r="U35" s="152">
        <v>0</v>
      </c>
      <c r="V35" s="151">
        <v>0</v>
      </c>
      <c r="W35" s="151">
        <v>0</v>
      </c>
      <c r="X35" s="151"/>
      <c r="Y35" s="8" t="s">
        <v>1001</v>
      </c>
    </row>
    <row r="36" spans="1:25" ht="30" customHeight="1">
      <c r="A36">
        <v>30</v>
      </c>
      <c r="B36" s="84" t="s">
        <v>323</v>
      </c>
      <c r="C36" s="85" t="s">
        <v>548</v>
      </c>
      <c r="D36" s="86" t="s">
        <v>1157</v>
      </c>
      <c r="E36" s="86" t="s">
        <v>283</v>
      </c>
      <c r="F36" s="86" t="s">
        <v>1067</v>
      </c>
      <c r="G36" s="86" t="s">
        <v>717</v>
      </c>
      <c r="H36" s="86" t="s">
        <v>293</v>
      </c>
      <c r="I36" s="86" t="s">
        <v>788</v>
      </c>
      <c r="J36" s="97">
        <v>0</v>
      </c>
      <c r="K36" s="93">
        <v>0</v>
      </c>
      <c r="L36" s="94">
        <v>0</v>
      </c>
      <c r="M36" s="94">
        <v>0</v>
      </c>
      <c r="N36" s="94">
        <v>0</v>
      </c>
      <c r="O36" s="94">
        <v>0</v>
      </c>
      <c r="P36" s="94">
        <v>0</v>
      </c>
      <c r="Q36" s="94">
        <v>0</v>
      </c>
      <c r="R36" s="94">
        <v>0</v>
      </c>
      <c r="S36" s="94">
        <v>0</v>
      </c>
      <c r="T36" s="156">
        <v>0</v>
      </c>
      <c r="U36" s="152">
        <v>0</v>
      </c>
      <c r="V36" s="151">
        <v>0</v>
      </c>
      <c r="W36" s="151">
        <v>0</v>
      </c>
      <c r="X36" s="151"/>
      <c r="Y36" s="8" t="s">
        <v>1001</v>
      </c>
    </row>
    <row r="37" spans="1:25" ht="30" customHeight="1">
      <c r="A37">
        <v>31</v>
      </c>
      <c r="B37" s="87" t="s">
        <v>324</v>
      </c>
      <c r="C37" s="85" t="s">
        <v>549</v>
      </c>
      <c r="D37" s="86" t="s">
        <v>140</v>
      </c>
      <c r="E37" s="86" t="s">
        <v>283</v>
      </c>
      <c r="F37" s="86" t="s">
        <v>1067</v>
      </c>
      <c r="G37" s="86" t="s">
        <v>716</v>
      </c>
      <c r="H37" s="86" t="s">
        <v>292</v>
      </c>
      <c r="I37" s="86" t="s">
        <v>753</v>
      </c>
      <c r="J37" s="97">
        <v>0</v>
      </c>
      <c r="K37" s="93">
        <v>0</v>
      </c>
      <c r="L37" s="94">
        <v>0</v>
      </c>
      <c r="M37" s="94">
        <v>0</v>
      </c>
      <c r="N37" s="94">
        <v>0</v>
      </c>
      <c r="O37" s="94">
        <v>0</v>
      </c>
      <c r="P37" s="94">
        <v>0</v>
      </c>
      <c r="Q37" s="94">
        <v>0</v>
      </c>
      <c r="R37" s="94">
        <v>0</v>
      </c>
      <c r="S37" s="94">
        <v>0</v>
      </c>
      <c r="T37" s="156">
        <v>0</v>
      </c>
      <c r="U37" s="152">
        <v>0</v>
      </c>
      <c r="V37" s="151">
        <v>0</v>
      </c>
      <c r="W37" s="151">
        <v>0</v>
      </c>
      <c r="X37" s="151"/>
      <c r="Y37" s="8" t="s">
        <v>1002</v>
      </c>
    </row>
    <row r="38" spans="1:25" ht="30" customHeight="1">
      <c r="A38">
        <v>32</v>
      </c>
      <c r="B38" s="87" t="s">
        <v>325</v>
      </c>
      <c r="C38" s="85" t="s">
        <v>550</v>
      </c>
      <c r="D38" s="86" t="s">
        <v>132</v>
      </c>
      <c r="E38" s="86" t="s">
        <v>283</v>
      </c>
      <c r="F38" s="86" t="s">
        <v>1067</v>
      </c>
      <c r="G38" s="86" t="s">
        <v>714</v>
      </c>
      <c r="H38" s="86" t="s">
        <v>290</v>
      </c>
      <c r="I38" s="86" t="s">
        <v>785</v>
      </c>
      <c r="J38" s="97">
        <v>0</v>
      </c>
      <c r="K38" s="93">
        <v>0</v>
      </c>
      <c r="L38" s="94">
        <v>0</v>
      </c>
      <c r="M38" s="94">
        <v>0</v>
      </c>
      <c r="N38" s="94">
        <v>0</v>
      </c>
      <c r="O38" s="94">
        <v>0</v>
      </c>
      <c r="P38" s="94">
        <v>0</v>
      </c>
      <c r="Q38" s="94">
        <v>0</v>
      </c>
      <c r="R38" s="94">
        <v>0</v>
      </c>
      <c r="S38" s="94">
        <v>0</v>
      </c>
      <c r="T38" s="156">
        <v>17.8</v>
      </c>
      <c r="U38" s="152">
        <v>0</v>
      </c>
      <c r="V38" s="151">
        <v>0</v>
      </c>
      <c r="W38" s="151">
        <v>0</v>
      </c>
      <c r="X38" s="151">
        <v>17.8</v>
      </c>
      <c r="Y38" s="8" t="s">
        <v>1002</v>
      </c>
    </row>
    <row r="39" spans="1:25" ht="30" customHeight="1">
      <c r="A39">
        <v>33</v>
      </c>
      <c r="B39" s="87" t="s">
        <v>326</v>
      </c>
      <c r="C39" s="85" t="s">
        <v>551</v>
      </c>
      <c r="D39" s="86" t="s">
        <v>140</v>
      </c>
      <c r="E39" s="86" t="s">
        <v>283</v>
      </c>
      <c r="F39" s="86" t="s">
        <v>1067</v>
      </c>
      <c r="G39" s="86" t="s">
        <v>714</v>
      </c>
      <c r="H39" s="86" t="s">
        <v>290</v>
      </c>
      <c r="I39" s="86" t="s">
        <v>785</v>
      </c>
      <c r="J39" s="97">
        <v>0</v>
      </c>
      <c r="K39" s="93">
        <v>0</v>
      </c>
      <c r="L39" s="94">
        <v>0</v>
      </c>
      <c r="M39" s="94">
        <v>0</v>
      </c>
      <c r="N39" s="94">
        <v>0</v>
      </c>
      <c r="O39" s="94">
        <v>0</v>
      </c>
      <c r="P39" s="94">
        <v>0</v>
      </c>
      <c r="Q39" s="94">
        <v>0</v>
      </c>
      <c r="R39" s="94">
        <v>0</v>
      </c>
      <c r="S39" s="94">
        <v>0</v>
      </c>
      <c r="T39" s="156">
        <v>32.799999999999997</v>
      </c>
      <c r="U39" s="152">
        <v>0</v>
      </c>
      <c r="V39" s="151">
        <v>0</v>
      </c>
      <c r="W39" s="151">
        <v>0</v>
      </c>
      <c r="X39" s="151">
        <v>32.799999999999997</v>
      </c>
      <c r="Y39" s="8" t="s">
        <v>1002</v>
      </c>
    </row>
    <row r="40" spans="1:25" ht="30" customHeight="1">
      <c r="A40">
        <v>34</v>
      </c>
      <c r="B40" s="87" t="s">
        <v>327</v>
      </c>
      <c r="C40" s="85" t="s">
        <v>552</v>
      </c>
      <c r="D40" s="86" t="s">
        <v>125</v>
      </c>
      <c r="E40" s="86" t="s">
        <v>283</v>
      </c>
      <c r="F40" s="86" t="s">
        <v>1067</v>
      </c>
      <c r="G40" s="86" t="s">
        <v>717</v>
      </c>
      <c r="H40" s="86" t="s">
        <v>293</v>
      </c>
      <c r="I40" s="86" t="s">
        <v>788</v>
      </c>
      <c r="J40" s="97">
        <v>0</v>
      </c>
      <c r="K40" s="93">
        <v>0</v>
      </c>
      <c r="L40" s="94">
        <v>0</v>
      </c>
      <c r="M40" s="94">
        <v>0</v>
      </c>
      <c r="N40" s="94">
        <v>0</v>
      </c>
      <c r="O40" s="94">
        <v>0</v>
      </c>
      <c r="P40" s="94">
        <v>0</v>
      </c>
      <c r="Q40" s="94">
        <v>0</v>
      </c>
      <c r="R40" s="94">
        <v>0</v>
      </c>
      <c r="S40" s="94">
        <v>0</v>
      </c>
      <c r="T40" s="156">
        <v>0</v>
      </c>
      <c r="U40" s="152">
        <v>0</v>
      </c>
      <c r="V40" s="151">
        <v>0</v>
      </c>
      <c r="W40" s="151">
        <v>0</v>
      </c>
      <c r="X40" s="151"/>
      <c r="Y40" s="8" t="s">
        <v>1001</v>
      </c>
    </row>
    <row r="41" spans="1:25" ht="30" customHeight="1">
      <c r="A41">
        <v>35</v>
      </c>
      <c r="B41" s="84" t="s">
        <v>328</v>
      </c>
      <c r="C41" s="85" t="s">
        <v>789</v>
      </c>
      <c r="D41" s="86" t="s">
        <v>140</v>
      </c>
      <c r="E41" s="86" t="s">
        <v>283</v>
      </c>
      <c r="F41" s="86" t="s">
        <v>1067</v>
      </c>
      <c r="G41" s="86" t="s">
        <v>717</v>
      </c>
      <c r="H41" s="86" t="s">
        <v>293</v>
      </c>
      <c r="I41" s="86" t="s">
        <v>788</v>
      </c>
      <c r="J41" s="97">
        <v>0</v>
      </c>
      <c r="K41" s="93">
        <v>0</v>
      </c>
      <c r="L41" s="94">
        <v>0</v>
      </c>
      <c r="M41" s="94">
        <v>0</v>
      </c>
      <c r="N41" s="94">
        <v>0</v>
      </c>
      <c r="O41" s="94">
        <v>0</v>
      </c>
      <c r="P41" s="94">
        <v>0</v>
      </c>
      <c r="Q41" s="94">
        <v>0</v>
      </c>
      <c r="R41" s="94">
        <v>0</v>
      </c>
      <c r="S41" s="94">
        <v>0</v>
      </c>
      <c r="T41" s="156">
        <v>0</v>
      </c>
      <c r="U41" s="152">
        <v>0</v>
      </c>
      <c r="V41" s="151">
        <v>0</v>
      </c>
      <c r="W41" s="151">
        <v>0</v>
      </c>
      <c r="X41" s="151"/>
      <c r="Y41" s="8" t="s">
        <v>1001</v>
      </c>
    </row>
    <row r="42" spans="1:25" ht="30" customHeight="1">
      <c r="A42">
        <v>36</v>
      </c>
      <c r="B42" s="87" t="s">
        <v>329</v>
      </c>
      <c r="C42" s="85" t="s">
        <v>790</v>
      </c>
      <c r="D42" s="86" t="s">
        <v>1156</v>
      </c>
      <c r="E42" s="86" t="s">
        <v>283</v>
      </c>
      <c r="F42" s="86" t="s">
        <v>1067</v>
      </c>
      <c r="G42" s="86" t="s">
        <v>717</v>
      </c>
      <c r="H42" s="86" t="s">
        <v>293</v>
      </c>
      <c r="I42" s="86" t="s">
        <v>788</v>
      </c>
      <c r="J42" s="97">
        <v>0</v>
      </c>
      <c r="K42" s="93">
        <v>0</v>
      </c>
      <c r="L42" s="94">
        <v>0</v>
      </c>
      <c r="M42" s="94">
        <v>0</v>
      </c>
      <c r="N42" s="94">
        <v>0</v>
      </c>
      <c r="O42" s="94">
        <v>0</v>
      </c>
      <c r="P42" s="94">
        <v>0</v>
      </c>
      <c r="Q42" s="94">
        <v>0</v>
      </c>
      <c r="R42" s="94">
        <v>0</v>
      </c>
      <c r="S42" s="94">
        <v>0</v>
      </c>
      <c r="T42" s="156">
        <v>0</v>
      </c>
      <c r="U42" s="152">
        <v>0</v>
      </c>
      <c r="V42" s="151">
        <v>0</v>
      </c>
      <c r="W42" s="151">
        <v>0</v>
      </c>
      <c r="X42" s="151"/>
      <c r="Y42" s="8">
        <v>0</v>
      </c>
    </row>
    <row r="43" spans="1:25" ht="30" customHeight="1">
      <c r="A43">
        <v>37</v>
      </c>
      <c r="B43" s="87" t="s">
        <v>330</v>
      </c>
      <c r="C43" s="85" t="s">
        <v>553</v>
      </c>
      <c r="D43" s="86" t="s">
        <v>1156</v>
      </c>
      <c r="E43" s="86" t="s">
        <v>283</v>
      </c>
      <c r="F43" s="86" t="s">
        <v>1067</v>
      </c>
      <c r="G43" s="86" t="s">
        <v>717</v>
      </c>
      <c r="H43" s="86" t="s">
        <v>293</v>
      </c>
      <c r="I43" s="86" t="s">
        <v>788</v>
      </c>
      <c r="J43" s="97">
        <v>0</v>
      </c>
      <c r="K43" s="93">
        <v>0</v>
      </c>
      <c r="L43" s="94">
        <v>0</v>
      </c>
      <c r="M43" s="94">
        <v>0</v>
      </c>
      <c r="N43" s="94">
        <v>0</v>
      </c>
      <c r="O43" s="94">
        <v>0</v>
      </c>
      <c r="P43" s="94">
        <v>0</v>
      </c>
      <c r="Q43" s="94">
        <v>0</v>
      </c>
      <c r="R43" s="94">
        <v>0</v>
      </c>
      <c r="S43" s="94">
        <v>0</v>
      </c>
      <c r="T43" s="156">
        <v>0</v>
      </c>
      <c r="U43" s="152">
        <v>0</v>
      </c>
      <c r="V43" s="151">
        <v>0</v>
      </c>
      <c r="W43" s="151">
        <v>0</v>
      </c>
      <c r="X43" s="151"/>
      <c r="Y43" s="8">
        <v>0</v>
      </c>
    </row>
    <row r="44" spans="1:25" ht="30" customHeight="1">
      <c r="A44">
        <v>38</v>
      </c>
      <c r="B44" s="84" t="s">
        <v>331</v>
      </c>
      <c r="C44" s="85" t="s">
        <v>554</v>
      </c>
      <c r="D44" s="86" t="s">
        <v>1158</v>
      </c>
      <c r="E44" s="86" t="s">
        <v>283</v>
      </c>
      <c r="F44" s="86" t="s">
        <v>1067</v>
      </c>
      <c r="G44" s="86" t="s">
        <v>717</v>
      </c>
      <c r="H44" s="86" t="s">
        <v>293</v>
      </c>
      <c r="I44" s="86" t="s">
        <v>788</v>
      </c>
      <c r="J44" s="97">
        <v>0</v>
      </c>
      <c r="K44" s="93">
        <v>0</v>
      </c>
      <c r="L44" s="94">
        <v>0</v>
      </c>
      <c r="M44" s="94">
        <v>0</v>
      </c>
      <c r="N44" s="94">
        <v>0</v>
      </c>
      <c r="O44" s="94">
        <v>0</v>
      </c>
      <c r="P44" s="94">
        <v>0</v>
      </c>
      <c r="Q44" s="94">
        <v>0</v>
      </c>
      <c r="R44" s="94">
        <v>0</v>
      </c>
      <c r="S44" s="94">
        <v>0</v>
      </c>
      <c r="T44" s="156">
        <v>0</v>
      </c>
      <c r="U44" s="152">
        <v>0</v>
      </c>
      <c r="V44" s="151">
        <v>0</v>
      </c>
      <c r="W44" s="151">
        <v>0</v>
      </c>
      <c r="X44" s="151"/>
      <c r="Y44" s="8">
        <v>0</v>
      </c>
    </row>
    <row r="45" spans="1:25" ht="30" customHeight="1">
      <c r="A45">
        <v>39</v>
      </c>
      <c r="B45" s="84" t="s">
        <v>332</v>
      </c>
      <c r="C45" s="85" t="s">
        <v>555</v>
      </c>
      <c r="D45" s="86" t="s">
        <v>132</v>
      </c>
      <c r="E45" s="86" t="s">
        <v>283</v>
      </c>
      <c r="F45" s="86" t="s">
        <v>1067</v>
      </c>
      <c r="G45" s="86" t="s">
        <v>714</v>
      </c>
      <c r="H45" s="86" t="s">
        <v>290</v>
      </c>
      <c r="I45" s="86" t="s">
        <v>785</v>
      </c>
      <c r="J45" s="97">
        <v>0</v>
      </c>
      <c r="K45" s="93">
        <v>0</v>
      </c>
      <c r="L45" s="94">
        <v>0</v>
      </c>
      <c r="M45" s="94">
        <v>0</v>
      </c>
      <c r="N45" s="94">
        <v>0</v>
      </c>
      <c r="O45" s="94">
        <v>0</v>
      </c>
      <c r="P45" s="94">
        <v>0</v>
      </c>
      <c r="Q45" s="94">
        <v>0</v>
      </c>
      <c r="R45" s="94">
        <v>0</v>
      </c>
      <c r="S45" s="94">
        <v>0</v>
      </c>
      <c r="T45" s="156">
        <v>0</v>
      </c>
      <c r="U45" s="152">
        <v>0</v>
      </c>
      <c r="V45" s="151">
        <v>0</v>
      </c>
      <c r="W45" s="151">
        <v>0</v>
      </c>
      <c r="X45" s="151"/>
      <c r="Y45" s="8" t="s">
        <v>1002</v>
      </c>
    </row>
    <row r="46" spans="1:25" ht="30" customHeight="1">
      <c r="A46">
        <v>40</v>
      </c>
      <c r="B46" s="87" t="s">
        <v>333</v>
      </c>
      <c r="C46" s="85" t="s">
        <v>556</v>
      </c>
      <c r="D46" s="86" t="s">
        <v>132</v>
      </c>
      <c r="E46" s="86" t="s">
        <v>283</v>
      </c>
      <c r="F46" s="86" t="s">
        <v>935</v>
      </c>
      <c r="G46" s="86" t="s">
        <v>719</v>
      </c>
      <c r="H46" s="86" t="s">
        <v>712</v>
      </c>
      <c r="I46" s="86" t="s">
        <v>720</v>
      </c>
      <c r="J46" s="97">
        <v>0</v>
      </c>
      <c r="K46" s="93">
        <v>0</v>
      </c>
      <c r="L46" s="94">
        <v>0</v>
      </c>
      <c r="M46" s="94">
        <v>0</v>
      </c>
      <c r="N46" s="94">
        <v>0</v>
      </c>
      <c r="O46" s="94">
        <v>0</v>
      </c>
      <c r="P46" s="94">
        <v>0</v>
      </c>
      <c r="Q46" s="94">
        <v>0</v>
      </c>
      <c r="R46" s="94">
        <v>0</v>
      </c>
      <c r="S46" s="94">
        <v>0</v>
      </c>
      <c r="T46" s="156">
        <v>0</v>
      </c>
      <c r="U46" s="152">
        <v>0</v>
      </c>
      <c r="V46" s="151">
        <v>0</v>
      </c>
      <c r="W46" s="151">
        <v>0</v>
      </c>
      <c r="X46" s="151"/>
      <c r="Y46" s="8" t="s">
        <v>999</v>
      </c>
    </row>
    <row r="47" spans="1:25" ht="30" customHeight="1">
      <c r="A47">
        <v>41</v>
      </c>
      <c r="B47" s="87" t="s">
        <v>334</v>
      </c>
      <c r="C47" s="85" t="s">
        <v>557</v>
      </c>
      <c r="D47" s="86" t="s">
        <v>728</v>
      </c>
      <c r="E47" s="86" t="s">
        <v>283</v>
      </c>
      <c r="F47" s="86" t="s">
        <v>1067</v>
      </c>
      <c r="G47" s="86" t="s">
        <v>714</v>
      </c>
      <c r="H47" s="86" t="s">
        <v>290</v>
      </c>
      <c r="I47" s="86" t="s">
        <v>785</v>
      </c>
      <c r="J47" s="97">
        <v>0</v>
      </c>
      <c r="K47" s="93">
        <v>0</v>
      </c>
      <c r="L47" s="94">
        <v>0</v>
      </c>
      <c r="M47" s="94">
        <v>0</v>
      </c>
      <c r="N47" s="94">
        <v>0</v>
      </c>
      <c r="O47" s="94">
        <v>0</v>
      </c>
      <c r="P47" s="94">
        <v>0</v>
      </c>
      <c r="Q47" s="94">
        <v>0</v>
      </c>
      <c r="R47" s="94">
        <v>0</v>
      </c>
      <c r="S47" s="94">
        <v>0</v>
      </c>
      <c r="T47" s="156">
        <v>0</v>
      </c>
      <c r="U47" s="152">
        <v>0</v>
      </c>
      <c r="V47" s="151">
        <v>0</v>
      </c>
      <c r="W47" s="151">
        <v>0</v>
      </c>
      <c r="X47" s="151"/>
      <c r="Y47" s="8">
        <v>0</v>
      </c>
    </row>
    <row r="48" spans="1:25" ht="30" customHeight="1">
      <c r="A48">
        <v>42</v>
      </c>
      <c r="B48" s="87" t="s">
        <v>335</v>
      </c>
      <c r="C48" s="85" t="s">
        <v>558</v>
      </c>
      <c r="D48" s="86" t="s">
        <v>132</v>
      </c>
      <c r="E48" s="86" t="s">
        <v>283</v>
      </c>
      <c r="F48" s="86" t="s">
        <v>1067</v>
      </c>
      <c r="G48" s="86" t="s">
        <v>714</v>
      </c>
      <c r="H48" s="86" t="s">
        <v>290</v>
      </c>
      <c r="I48" s="86" t="s">
        <v>785</v>
      </c>
      <c r="J48" s="97">
        <v>0</v>
      </c>
      <c r="K48" s="93">
        <v>0</v>
      </c>
      <c r="L48" s="94">
        <v>0</v>
      </c>
      <c r="M48" s="94">
        <v>0</v>
      </c>
      <c r="N48" s="94">
        <v>0</v>
      </c>
      <c r="O48" s="94">
        <v>0</v>
      </c>
      <c r="P48" s="94">
        <v>0</v>
      </c>
      <c r="Q48" s="94">
        <v>0</v>
      </c>
      <c r="R48" s="94">
        <v>0</v>
      </c>
      <c r="S48" s="94">
        <v>0</v>
      </c>
      <c r="T48" s="156">
        <v>12.2</v>
      </c>
      <c r="U48" s="152">
        <v>0</v>
      </c>
      <c r="V48" s="151">
        <v>0</v>
      </c>
      <c r="W48" s="151">
        <v>0</v>
      </c>
      <c r="X48" s="151">
        <v>12.2</v>
      </c>
      <c r="Y48" s="8" t="s">
        <v>1002</v>
      </c>
    </row>
    <row r="49" spans="1:25" ht="30" customHeight="1">
      <c r="A49">
        <v>43</v>
      </c>
      <c r="B49" s="87" t="s">
        <v>336</v>
      </c>
      <c r="C49" s="85" t="s">
        <v>559</v>
      </c>
      <c r="D49" s="86" t="s">
        <v>132</v>
      </c>
      <c r="E49" s="86" t="s">
        <v>283</v>
      </c>
      <c r="F49" s="86" t="s">
        <v>1067</v>
      </c>
      <c r="G49" s="86" t="s">
        <v>717</v>
      </c>
      <c r="H49" s="86" t="s">
        <v>293</v>
      </c>
      <c r="I49" s="86" t="s">
        <v>788</v>
      </c>
      <c r="J49" s="97">
        <v>0</v>
      </c>
      <c r="K49" s="93">
        <v>0</v>
      </c>
      <c r="L49" s="94">
        <v>0</v>
      </c>
      <c r="M49" s="94">
        <v>0</v>
      </c>
      <c r="N49" s="94">
        <v>0</v>
      </c>
      <c r="O49" s="94">
        <v>0</v>
      </c>
      <c r="P49" s="94">
        <v>0</v>
      </c>
      <c r="Q49" s="94">
        <v>0</v>
      </c>
      <c r="R49" s="94">
        <v>0</v>
      </c>
      <c r="S49" s="94">
        <v>0</v>
      </c>
      <c r="T49" s="156">
        <v>0</v>
      </c>
      <c r="U49" s="152">
        <v>0</v>
      </c>
      <c r="V49" s="151">
        <v>0</v>
      </c>
      <c r="W49" s="151">
        <v>0</v>
      </c>
      <c r="X49" s="151"/>
      <c r="Y49" s="8" t="s">
        <v>1001</v>
      </c>
    </row>
    <row r="50" spans="1:25" ht="30" customHeight="1">
      <c r="A50">
        <v>44</v>
      </c>
      <c r="B50" s="84" t="s">
        <v>337</v>
      </c>
      <c r="C50" s="85" t="s">
        <v>560</v>
      </c>
      <c r="D50" s="86" t="s">
        <v>1159</v>
      </c>
      <c r="E50" s="86" t="s">
        <v>283</v>
      </c>
      <c r="F50" s="86" t="s">
        <v>1067</v>
      </c>
      <c r="G50" s="86" t="s">
        <v>714</v>
      </c>
      <c r="H50" s="86" t="s">
        <v>290</v>
      </c>
      <c r="I50" s="86" t="s">
        <v>785</v>
      </c>
      <c r="J50" s="97">
        <v>0</v>
      </c>
      <c r="K50" s="93">
        <v>0</v>
      </c>
      <c r="L50" s="94">
        <v>0</v>
      </c>
      <c r="M50" s="94">
        <v>0</v>
      </c>
      <c r="N50" s="94">
        <v>0</v>
      </c>
      <c r="O50" s="94">
        <v>0</v>
      </c>
      <c r="P50" s="94">
        <v>0</v>
      </c>
      <c r="Q50" s="94">
        <v>0</v>
      </c>
      <c r="R50" s="94">
        <v>0</v>
      </c>
      <c r="S50" s="94">
        <v>0</v>
      </c>
      <c r="T50" s="156">
        <v>0</v>
      </c>
      <c r="U50" s="152">
        <v>0</v>
      </c>
      <c r="V50" s="151">
        <v>0</v>
      </c>
      <c r="W50" s="151">
        <v>0</v>
      </c>
      <c r="X50" s="151"/>
      <c r="Y50" s="8">
        <v>0</v>
      </c>
    </row>
    <row r="51" spans="1:25" ht="30" customHeight="1">
      <c r="A51">
        <v>45</v>
      </c>
      <c r="B51" s="84" t="s">
        <v>338</v>
      </c>
      <c r="C51" s="85" t="s">
        <v>561</v>
      </c>
      <c r="D51" s="86" t="s">
        <v>132</v>
      </c>
      <c r="E51" s="86" t="s">
        <v>283</v>
      </c>
      <c r="F51" s="86" t="s">
        <v>1067</v>
      </c>
      <c r="G51" s="86" t="s">
        <v>717</v>
      </c>
      <c r="H51" s="86" t="s">
        <v>293</v>
      </c>
      <c r="I51" s="86" t="s">
        <v>788</v>
      </c>
      <c r="J51" s="97">
        <v>0</v>
      </c>
      <c r="K51" s="93">
        <v>0</v>
      </c>
      <c r="L51" s="94">
        <v>0</v>
      </c>
      <c r="M51" s="94">
        <v>0</v>
      </c>
      <c r="N51" s="94">
        <v>0</v>
      </c>
      <c r="O51" s="94">
        <v>0</v>
      </c>
      <c r="P51" s="94">
        <v>0</v>
      </c>
      <c r="Q51" s="94">
        <v>0</v>
      </c>
      <c r="R51" s="94">
        <v>0</v>
      </c>
      <c r="S51" s="94">
        <v>0</v>
      </c>
      <c r="T51" s="156">
        <v>0</v>
      </c>
      <c r="U51" s="152">
        <v>0</v>
      </c>
      <c r="V51" s="151">
        <v>0</v>
      </c>
      <c r="W51" s="151">
        <v>0</v>
      </c>
      <c r="X51" s="151"/>
      <c r="Y51" s="8" t="s">
        <v>1001</v>
      </c>
    </row>
    <row r="52" spans="1:25" ht="30" customHeight="1">
      <c r="A52">
        <v>46</v>
      </c>
      <c r="B52" s="84" t="s">
        <v>339</v>
      </c>
      <c r="C52" s="85" t="s">
        <v>562</v>
      </c>
      <c r="D52" s="86" t="s">
        <v>122</v>
      </c>
      <c r="E52" s="86" t="s">
        <v>283</v>
      </c>
      <c r="F52" s="86" t="s">
        <v>935</v>
      </c>
      <c r="G52" s="86" t="s">
        <v>719</v>
      </c>
      <c r="H52" s="86" t="s">
        <v>712</v>
      </c>
      <c r="I52" s="86" t="s">
        <v>720</v>
      </c>
      <c r="J52" s="97">
        <v>0</v>
      </c>
      <c r="K52" s="93">
        <v>0</v>
      </c>
      <c r="L52" s="94">
        <v>0</v>
      </c>
      <c r="M52" s="94">
        <v>0</v>
      </c>
      <c r="N52" s="94">
        <v>0</v>
      </c>
      <c r="O52" s="94">
        <v>0</v>
      </c>
      <c r="P52" s="94">
        <v>0</v>
      </c>
      <c r="Q52" s="94">
        <v>0</v>
      </c>
      <c r="R52" s="94">
        <v>0</v>
      </c>
      <c r="S52" s="94">
        <v>0</v>
      </c>
      <c r="T52" s="156">
        <v>0</v>
      </c>
      <c r="U52" s="152">
        <v>0</v>
      </c>
      <c r="V52" s="151">
        <v>0</v>
      </c>
      <c r="W52" s="151">
        <v>0</v>
      </c>
      <c r="X52" s="151"/>
      <c r="Y52" s="8" t="s">
        <v>999</v>
      </c>
    </row>
    <row r="53" spans="1:25" ht="30" customHeight="1">
      <c r="A53">
        <v>47</v>
      </c>
      <c r="B53" s="84" t="s">
        <v>340</v>
      </c>
      <c r="C53" s="85" t="s">
        <v>563</v>
      </c>
      <c r="D53" s="86" t="s">
        <v>122</v>
      </c>
      <c r="E53" s="86" t="s">
        <v>283</v>
      </c>
      <c r="F53" s="86" t="s">
        <v>935</v>
      </c>
      <c r="G53" s="86" t="s">
        <v>719</v>
      </c>
      <c r="H53" s="86" t="s">
        <v>712</v>
      </c>
      <c r="I53" s="86" t="s">
        <v>720</v>
      </c>
      <c r="J53" s="97">
        <v>0</v>
      </c>
      <c r="K53" s="93">
        <v>0</v>
      </c>
      <c r="L53" s="94">
        <v>0</v>
      </c>
      <c r="M53" s="94">
        <v>0</v>
      </c>
      <c r="N53" s="94">
        <v>0</v>
      </c>
      <c r="O53" s="94">
        <v>0</v>
      </c>
      <c r="P53" s="94">
        <v>0</v>
      </c>
      <c r="Q53" s="94">
        <v>0</v>
      </c>
      <c r="R53" s="94">
        <v>0</v>
      </c>
      <c r="S53" s="94">
        <v>0</v>
      </c>
      <c r="T53" s="156">
        <v>0</v>
      </c>
      <c r="U53" s="152">
        <v>0</v>
      </c>
      <c r="V53" s="151">
        <v>0</v>
      </c>
      <c r="W53" s="151">
        <v>0</v>
      </c>
      <c r="X53" s="151"/>
      <c r="Y53" s="8" t="s">
        <v>999</v>
      </c>
    </row>
    <row r="54" spans="1:25" ht="30" customHeight="1">
      <c r="A54">
        <v>48</v>
      </c>
      <c r="B54" s="87" t="s">
        <v>341</v>
      </c>
      <c r="C54" s="85" t="s">
        <v>564</v>
      </c>
      <c r="D54" s="86" t="s">
        <v>125</v>
      </c>
      <c r="E54" s="86" t="s">
        <v>283</v>
      </c>
      <c r="F54" s="86" t="s">
        <v>1067</v>
      </c>
      <c r="G54" s="86" t="s">
        <v>719</v>
      </c>
      <c r="H54" s="86" t="s">
        <v>712</v>
      </c>
      <c r="I54" s="86" t="s">
        <v>720</v>
      </c>
      <c r="J54" s="97">
        <v>0</v>
      </c>
      <c r="K54" s="93">
        <v>0</v>
      </c>
      <c r="L54" s="94">
        <v>0</v>
      </c>
      <c r="M54" s="94">
        <v>0</v>
      </c>
      <c r="N54" s="94">
        <v>0</v>
      </c>
      <c r="O54" s="94">
        <v>0</v>
      </c>
      <c r="P54" s="94">
        <v>0</v>
      </c>
      <c r="Q54" s="94">
        <v>0</v>
      </c>
      <c r="R54" s="94">
        <v>0</v>
      </c>
      <c r="S54" s="94">
        <v>0</v>
      </c>
      <c r="T54" s="156">
        <v>0</v>
      </c>
      <c r="U54" s="152">
        <v>0</v>
      </c>
      <c r="V54" s="151">
        <v>0</v>
      </c>
      <c r="W54" s="151">
        <v>0</v>
      </c>
      <c r="X54" s="151"/>
      <c r="Y54" s="8" t="s">
        <v>999</v>
      </c>
    </row>
    <row r="55" spans="1:25" ht="30" customHeight="1">
      <c r="A55">
        <v>49</v>
      </c>
      <c r="B55" s="87" t="s">
        <v>342</v>
      </c>
      <c r="C55" s="85" t="s">
        <v>565</v>
      </c>
      <c r="D55" s="86" t="s">
        <v>122</v>
      </c>
      <c r="E55" s="86" t="s">
        <v>283</v>
      </c>
      <c r="F55" s="86" t="s">
        <v>1067</v>
      </c>
      <c r="G55" s="86" t="s">
        <v>717</v>
      </c>
      <c r="H55" s="86" t="s">
        <v>293</v>
      </c>
      <c r="I55" s="86" t="s">
        <v>788</v>
      </c>
      <c r="J55" s="97">
        <v>0</v>
      </c>
      <c r="K55" s="93">
        <v>0</v>
      </c>
      <c r="L55" s="94">
        <v>0</v>
      </c>
      <c r="M55" s="94">
        <v>0</v>
      </c>
      <c r="N55" s="94">
        <v>0</v>
      </c>
      <c r="O55" s="94">
        <v>0</v>
      </c>
      <c r="P55" s="94">
        <v>0</v>
      </c>
      <c r="Q55" s="94">
        <v>0</v>
      </c>
      <c r="R55" s="94">
        <v>0</v>
      </c>
      <c r="S55" s="94">
        <v>0</v>
      </c>
      <c r="T55" s="156">
        <v>0</v>
      </c>
      <c r="U55" s="152">
        <v>0</v>
      </c>
      <c r="V55" s="151">
        <v>0</v>
      </c>
      <c r="W55" s="151">
        <v>0</v>
      </c>
      <c r="X55" s="151"/>
      <c r="Y55" s="8" t="s">
        <v>1001</v>
      </c>
    </row>
    <row r="56" spans="1:25" ht="30" customHeight="1">
      <c r="A56">
        <v>50</v>
      </c>
      <c r="B56" s="87" t="s">
        <v>343</v>
      </c>
      <c r="C56" s="85" t="s">
        <v>735</v>
      </c>
      <c r="D56" s="86" t="s">
        <v>125</v>
      </c>
      <c r="E56" s="86" t="s">
        <v>283</v>
      </c>
      <c r="F56" s="86" t="s">
        <v>1067</v>
      </c>
      <c r="G56" s="86" t="s">
        <v>717</v>
      </c>
      <c r="H56" s="86" t="s">
        <v>293</v>
      </c>
      <c r="I56" s="86" t="s">
        <v>788</v>
      </c>
      <c r="J56" s="97">
        <v>0</v>
      </c>
      <c r="K56" s="93">
        <v>0</v>
      </c>
      <c r="L56" s="94">
        <v>0</v>
      </c>
      <c r="M56" s="94">
        <v>0</v>
      </c>
      <c r="N56" s="94">
        <v>0</v>
      </c>
      <c r="O56" s="94">
        <v>0</v>
      </c>
      <c r="P56" s="94">
        <v>0</v>
      </c>
      <c r="Q56" s="94">
        <v>0</v>
      </c>
      <c r="R56" s="94">
        <v>0</v>
      </c>
      <c r="S56" s="94">
        <v>0</v>
      </c>
      <c r="T56" s="156">
        <v>0</v>
      </c>
      <c r="U56" s="152">
        <v>0</v>
      </c>
      <c r="V56" s="151">
        <v>0</v>
      </c>
      <c r="W56" s="151">
        <v>0</v>
      </c>
      <c r="X56" s="151"/>
      <c r="Y56" s="8" t="s">
        <v>1001</v>
      </c>
    </row>
    <row r="57" spans="1:25" ht="30" customHeight="1">
      <c r="A57">
        <v>51</v>
      </c>
      <c r="B57" s="87" t="s">
        <v>344</v>
      </c>
      <c r="C57" s="85" t="s">
        <v>736</v>
      </c>
      <c r="D57" s="86" t="s">
        <v>122</v>
      </c>
      <c r="E57" s="86" t="s">
        <v>283</v>
      </c>
      <c r="F57" s="86" t="s">
        <v>1067</v>
      </c>
      <c r="G57" s="86" t="s">
        <v>717</v>
      </c>
      <c r="H57" s="86" t="s">
        <v>293</v>
      </c>
      <c r="I57" s="86" t="s">
        <v>788</v>
      </c>
      <c r="J57" s="97">
        <v>0</v>
      </c>
      <c r="K57" s="93">
        <v>0</v>
      </c>
      <c r="L57" s="94">
        <v>0</v>
      </c>
      <c r="M57" s="94">
        <v>0</v>
      </c>
      <c r="N57" s="94">
        <v>0</v>
      </c>
      <c r="O57" s="94">
        <v>0</v>
      </c>
      <c r="P57" s="94">
        <v>0</v>
      </c>
      <c r="Q57" s="94">
        <v>0</v>
      </c>
      <c r="R57" s="94">
        <v>0</v>
      </c>
      <c r="S57" s="94">
        <v>0</v>
      </c>
      <c r="T57" s="156">
        <v>0</v>
      </c>
      <c r="U57" s="152">
        <v>0</v>
      </c>
      <c r="V57" s="151">
        <v>0</v>
      </c>
      <c r="W57" s="151">
        <v>0</v>
      </c>
      <c r="X57" s="151"/>
      <c r="Y57" s="8" t="s">
        <v>1001</v>
      </c>
    </row>
    <row r="58" spans="1:25" ht="30" customHeight="1">
      <c r="A58">
        <v>52</v>
      </c>
      <c r="B58" s="87" t="s">
        <v>345</v>
      </c>
      <c r="C58" s="85" t="s">
        <v>566</v>
      </c>
      <c r="D58" s="86" t="s">
        <v>728</v>
      </c>
      <c r="E58" s="86" t="s">
        <v>283</v>
      </c>
      <c r="F58" s="86" t="s">
        <v>1067</v>
      </c>
      <c r="G58" s="86" t="s">
        <v>717</v>
      </c>
      <c r="H58" s="86" t="s">
        <v>293</v>
      </c>
      <c r="I58" s="86" t="s">
        <v>788</v>
      </c>
      <c r="J58" s="97">
        <v>0</v>
      </c>
      <c r="K58" s="93">
        <v>0</v>
      </c>
      <c r="L58" s="94">
        <v>0</v>
      </c>
      <c r="M58" s="94">
        <v>0</v>
      </c>
      <c r="N58" s="94">
        <v>0</v>
      </c>
      <c r="O58" s="94">
        <v>0</v>
      </c>
      <c r="P58" s="94">
        <v>0</v>
      </c>
      <c r="Q58" s="94">
        <v>0</v>
      </c>
      <c r="R58" s="94">
        <v>0</v>
      </c>
      <c r="S58" s="94">
        <v>0</v>
      </c>
      <c r="T58" s="156">
        <v>0</v>
      </c>
      <c r="U58" s="152">
        <v>0</v>
      </c>
      <c r="V58" s="151">
        <v>0</v>
      </c>
      <c r="W58" s="151">
        <v>0</v>
      </c>
      <c r="X58" s="151"/>
      <c r="Y58" s="8">
        <v>0</v>
      </c>
    </row>
    <row r="59" spans="1:25" ht="30" customHeight="1">
      <c r="A59">
        <v>53</v>
      </c>
      <c r="B59" s="87" t="s">
        <v>346</v>
      </c>
      <c r="C59" s="85" t="s">
        <v>567</v>
      </c>
      <c r="D59" s="86" t="s">
        <v>122</v>
      </c>
      <c r="E59" s="86" t="s">
        <v>283</v>
      </c>
      <c r="F59" s="86" t="s">
        <v>1067</v>
      </c>
      <c r="G59" s="86" t="s">
        <v>717</v>
      </c>
      <c r="H59" s="86" t="s">
        <v>293</v>
      </c>
      <c r="I59" s="86" t="s">
        <v>788</v>
      </c>
      <c r="J59" s="97">
        <v>0</v>
      </c>
      <c r="K59" s="93">
        <v>0</v>
      </c>
      <c r="L59" s="94">
        <v>0</v>
      </c>
      <c r="M59" s="94">
        <v>0</v>
      </c>
      <c r="N59" s="94">
        <v>0</v>
      </c>
      <c r="O59" s="94">
        <v>0</v>
      </c>
      <c r="P59" s="94">
        <v>0</v>
      </c>
      <c r="Q59" s="94">
        <v>0</v>
      </c>
      <c r="R59" s="94">
        <v>0</v>
      </c>
      <c r="S59" s="94">
        <v>0</v>
      </c>
      <c r="T59" s="156">
        <v>0</v>
      </c>
      <c r="U59" s="152">
        <v>0</v>
      </c>
      <c r="V59" s="151">
        <v>0</v>
      </c>
      <c r="W59" s="151">
        <v>0</v>
      </c>
      <c r="X59" s="151"/>
      <c r="Y59" s="8" t="s">
        <v>1001</v>
      </c>
    </row>
    <row r="60" spans="1:25" ht="30" customHeight="1">
      <c r="A60">
        <v>54</v>
      </c>
      <c r="B60" s="87" t="s">
        <v>347</v>
      </c>
      <c r="C60" s="85" t="s">
        <v>568</v>
      </c>
      <c r="D60" s="86" t="s">
        <v>1157</v>
      </c>
      <c r="E60" s="86" t="s">
        <v>283</v>
      </c>
      <c r="F60" s="86" t="s">
        <v>1067</v>
      </c>
      <c r="G60" s="86" t="s">
        <v>717</v>
      </c>
      <c r="H60" s="86" t="s">
        <v>293</v>
      </c>
      <c r="I60" s="86" t="s">
        <v>788</v>
      </c>
      <c r="J60" s="97">
        <v>0</v>
      </c>
      <c r="K60" s="93">
        <v>0</v>
      </c>
      <c r="L60" s="94">
        <v>0</v>
      </c>
      <c r="M60" s="94">
        <v>0</v>
      </c>
      <c r="N60" s="94">
        <v>0</v>
      </c>
      <c r="O60" s="94">
        <v>0</v>
      </c>
      <c r="P60" s="94">
        <v>0</v>
      </c>
      <c r="Q60" s="94">
        <v>0</v>
      </c>
      <c r="R60" s="94">
        <v>0</v>
      </c>
      <c r="S60" s="94">
        <v>0</v>
      </c>
      <c r="T60" s="156">
        <v>0</v>
      </c>
      <c r="U60" s="152">
        <v>0</v>
      </c>
      <c r="V60" s="151">
        <v>0</v>
      </c>
      <c r="W60" s="151">
        <v>0</v>
      </c>
      <c r="X60" s="151"/>
      <c r="Y60" s="8" t="s">
        <v>1001</v>
      </c>
    </row>
    <row r="61" spans="1:25" ht="30" customHeight="1">
      <c r="A61">
        <v>55</v>
      </c>
      <c r="B61" s="84" t="s">
        <v>348</v>
      </c>
      <c r="C61" s="85" t="s">
        <v>569</v>
      </c>
      <c r="D61" s="86" t="s">
        <v>122</v>
      </c>
      <c r="E61" s="86" t="s">
        <v>283</v>
      </c>
      <c r="F61" s="86" t="s">
        <v>1067</v>
      </c>
      <c r="G61" s="86" t="s">
        <v>717</v>
      </c>
      <c r="H61" s="86" t="s">
        <v>293</v>
      </c>
      <c r="I61" s="86" t="s">
        <v>788</v>
      </c>
      <c r="J61" s="97">
        <v>0</v>
      </c>
      <c r="K61" s="93">
        <v>0</v>
      </c>
      <c r="L61" s="94">
        <v>0</v>
      </c>
      <c r="M61" s="94">
        <v>0</v>
      </c>
      <c r="N61" s="94">
        <v>0</v>
      </c>
      <c r="O61" s="94">
        <v>0</v>
      </c>
      <c r="P61" s="94">
        <v>0</v>
      </c>
      <c r="Q61" s="94">
        <v>0</v>
      </c>
      <c r="R61" s="94">
        <v>0</v>
      </c>
      <c r="S61" s="94">
        <v>0</v>
      </c>
      <c r="T61" s="156">
        <v>0</v>
      </c>
      <c r="U61" s="152">
        <v>0</v>
      </c>
      <c r="V61" s="151">
        <v>0</v>
      </c>
      <c r="W61" s="151">
        <v>0</v>
      </c>
      <c r="X61" s="151"/>
      <c r="Y61" s="8" t="s">
        <v>1001</v>
      </c>
    </row>
    <row r="62" spans="1:25" ht="30" customHeight="1">
      <c r="A62">
        <v>56</v>
      </c>
      <c r="B62" s="84" t="s">
        <v>349</v>
      </c>
      <c r="C62" s="85" t="s">
        <v>570</v>
      </c>
      <c r="D62" s="86" t="s">
        <v>122</v>
      </c>
      <c r="E62" s="86" t="s">
        <v>283</v>
      </c>
      <c r="F62" s="86" t="s">
        <v>1067</v>
      </c>
      <c r="G62" s="86" t="s">
        <v>717</v>
      </c>
      <c r="H62" s="86" t="s">
        <v>293</v>
      </c>
      <c r="I62" s="86" t="s">
        <v>788</v>
      </c>
      <c r="J62" s="97">
        <v>0</v>
      </c>
      <c r="K62" s="93">
        <v>0</v>
      </c>
      <c r="L62" s="94">
        <v>0</v>
      </c>
      <c r="M62" s="94">
        <v>0</v>
      </c>
      <c r="N62" s="94">
        <v>0</v>
      </c>
      <c r="O62" s="94">
        <v>0</v>
      </c>
      <c r="P62" s="94">
        <v>0</v>
      </c>
      <c r="Q62" s="94">
        <v>0</v>
      </c>
      <c r="R62" s="94">
        <v>0</v>
      </c>
      <c r="S62" s="94">
        <v>0</v>
      </c>
      <c r="T62" s="156">
        <v>0</v>
      </c>
      <c r="U62" s="152">
        <v>0</v>
      </c>
      <c r="V62" s="151">
        <v>0</v>
      </c>
      <c r="W62" s="151">
        <v>0</v>
      </c>
      <c r="X62" s="151"/>
      <c r="Y62" s="8" t="s">
        <v>1001</v>
      </c>
    </row>
    <row r="63" spans="1:25" ht="30" customHeight="1">
      <c r="A63">
        <v>57</v>
      </c>
      <c r="B63" s="87" t="s">
        <v>350</v>
      </c>
      <c r="C63" s="85" t="s">
        <v>571</v>
      </c>
      <c r="D63" s="86" t="s">
        <v>122</v>
      </c>
      <c r="E63" s="86" t="s">
        <v>283</v>
      </c>
      <c r="F63" s="86" t="s">
        <v>1067</v>
      </c>
      <c r="G63" s="86" t="s">
        <v>716</v>
      </c>
      <c r="H63" s="86" t="s">
        <v>292</v>
      </c>
      <c r="I63" s="86" t="s">
        <v>753</v>
      </c>
      <c r="J63" s="97">
        <v>0</v>
      </c>
      <c r="K63" s="93">
        <v>0</v>
      </c>
      <c r="L63" s="94">
        <v>0</v>
      </c>
      <c r="M63" s="94">
        <v>0</v>
      </c>
      <c r="N63" s="94">
        <v>0</v>
      </c>
      <c r="O63" s="94">
        <v>0</v>
      </c>
      <c r="P63" s="94">
        <v>0</v>
      </c>
      <c r="Q63" s="94">
        <v>0</v>
      </c>
      <c r="R63" s="94">
        <v>0</v>
      </c>
      <c r="S63" s="94">
        <v>0</v>
      </c>
      <c r="T63" s="156">
        <v>0</v>
      </c>
      <c r="U63" s="152">
        <v>0</v>
      </c>
      <c r="V63" s="151">
        <v>0</v>
      </c>
      <c r="W63" s="151">
        <v>0</v>
      </c>
      <c r="X63" s="151"/>
      <c r="Y63" s="8" t="s">
        <v>1001</v>
      </c>
    </row>
    <row r="64" spans="1:25" ht="30" customHeight="1">
      <c r="A64">
        <v>58</v>
      </c>
      <c r="B64" s="84" t="s">
        <v>351</v>
      </c>
      <c r="C64" s="85" t="s">
        <v>737</v>
      </c>
      <c r="D64" s="86" t="s">
        <v>122</v>
      </c>
      <c r="E64" s="86" t="s">
        <v>283</v>
      </c>
      <c r="F64" s="86" t="s">
        <v>1067</v>
      </c>
      <c r="G64" s="86" t="s">
        <v>717</v>
      </c>
      <c r="H64" s="86" t="s">
        <v>293</v>
      </c>
      <c r="I64" s="86" t="s">
        <v>788</v>
      </c>
      <c r="J64" s="97">
        <v>0</v>
      </c>
      <c r="K64" s="93">
        <v>0</v>
      </c>
      <c r="L64" s="94">
        <v>0</v>
      </c>
      <c r="M64" s="94">
        <v>0</v>
      </c>
      <c r="N64" s="94">
        <v>0</v>
      </c>
      <c r="O64" s="94">
        <v>0</v>
      </c>
      <c r="P64" s="94">
        <v>0</v>
      </c>
      <c r="Q64" s="94">
        <v>0</v>
      </c>
      <c r="R64" s="94">
        <v>0</v>
      </c>
      <c r="S64" s="94">
        <v>0</v>
      </c>
      <c r="T64" s="156">
        <v>0</v>
      </c>
      <c r="U64" s="152">
        <v>0</v>
      </c>
      <c r="V64" s="151">
        <v>0</v>
      </c>
      <c r="W64" s="151">
        <v>0</v>
      </c>
      <c r="X64" s="151"/>
      <c r="Y64" s="8" t="s">
        <v>1001</v>
      </c>
    </row>
    <row r="65" spans="1:26" ht="30" customHeight="1">
      <c r="A65">
        <v>59</v>
      </c>
      <c r="B65" s="87" t="s">
        <v>352</v>
      </c>
      <c r="C65" s="85" t="s">
        <v>572</v>
      </c>
      <c r="D65" s="86" t="s">
        <v>122</v>
      </c>
      <c r="E65" s="86" t="s">
        <v>283</v>
      </c>
      <c r="F65" s="86" t="s">
        <v>935</v>
      </c>
      <c r="G65" s="86" t="s">
        <v>719</v>
      </c>
      <c r="H65" s="86" t="s">
        <v>712</v>
      </c>
      <c r="I65" s="86" t="s">
        <v>720</v>
      </c>
      <c r="J65" s="97">
        <v>0</v>
      </c>
      <c r="K65" s="93">
        <v>0</v>
      </c>
      <c r="L65" s="94">
        <v>0</v>
      </c>
      <c r="M65" s="94">
        <v>0</v>
      </c>
      <c r="N65" s="94">
        <v>0</v>
      </c>
      <c r="O65" s="94">
        <v>0</v>
      </c>
      <c r="P65" s="94">
        <v>0</v>
      </c>
      <c r="Q65" s="94">
        <v>0</v>
      </c>
      <c r="R65" s="94">
        <v>0</v>
      </c>
      <c r="S65" s="94">
        <v>0</v>
      </c>
      <c r="T65" s="156">
        <v>0</v>
      </c>
      <c r="U65" s="152">
        <v>0</v>
      </c>
      <c r="V65" s="151">
        <v>0</v>
      </c>
      <c r="W65" s="151">
        <v>0</v>
      </c>
      <c r="X65" s="151"/>
      <c r="Y65" s="8" t="s">
        <v>999</v>
      </c>
    </row>
    <row r="66" spans="1:26" ht="30" customHeight="1">
      <c r="A66">
        <v>60</v>
      </c>
      <c r="B66" s="87" t="s">
        <v>353</v>
      </c>
      <c r="C66" s="85" t="s">
        <v>1011</v>
      </c>
      <c r="D66" s="86" t="s">
        <v>125</v>
      </c>
      <c r="E66" s="86" t="s">
        <v>283</v>
      </c>
      <c r="F66" s="86" t="s">
        <v>1067</v>
      </c>
      <c r="G66" s="86">
        <v>0</v>
      </c>
      <c r="H66" s="86" t="e">
        <v>#N/A</v>
      </c>
      <c r="I66" s="86" t="e">
        <v>#N/A</v>
      </c>
      <c r="J66" s="97">
        <v>0</v>
      </c>
      <c r="K66" s="93">
        <v>0</v>
      </c>
      <c r="L66" s="94">
        <v>0</v>
      </c>
      <c r="M66" s="94">
        <v>0</v>
      </c>
      <c r="N66" s="94">
        <v>0</v>
      </c>
      <c r="O66" s="94">
        <v>0</v>
      </c>
      <c r="P66" s="94">
        <v>0</v>
      </c>
      <c r="Q66" s="94">
        <v>0</v>
      </c>
      <c r="R66" s="94">
        <v>0</v>
      </c>
      <c r="S66" s="94">
        <v>0</v>
      </c>
      <c r="T66" s="156">
        <v>0</v>
      </c>
      <c r="U66" s="152">
        <v>0</v>
      </c>
      <c r="V66" s="151">
        <v>0</v>
      </c>
      <c r="W66" s="151">
        <v>0</v>
      </c>
      <c r="X66" s="151"/>
      <c r="Y66" s="8" t="s">
        <v>1001</v>
      </c>
    </row>
    <row r="67" spans="1:26" ht="30" customHeight="1">
      <c r="A67">
        <v>61</v>
      </c>
      <c r="B67" s="142" t="s">
        <v>354</v>
      </c>
      <c r="C67" s="85" t="s">
        <v>573</v>
      </c>
      <c r="D67" s="86" t="s">
        <v>125</v>
      </c>
      <c r="E67" s="86" t="s">
        <v>283</v>
      </c>
      <c r="F67" s="86" t="s">
        <v>1067</v>
      </c>
      <c r="G67" s="86" t="s">
        <v>717</v>
      </c>
      <c r="H67" s="86" t="s">
        <v>293</v>
      </c>
      <c r="I67" s="86" t="s">
        <v>788</v>
      </c>
      <c r="J67" s="97">
        <v>0</v>
      </c>
      <c r="K67" s="93">
        <v>0</v>
      </c>
      <c r="L67" s="94">
        <v>0</v>
      </c>
      <c r="M67" s="94">
        <v>0</v>
      </c>
      <c r="N67" s="94">
        <v>0</v>
      </c>
      <c r="O67" s="94">
        <v>0</v>
      </c>
      <c r="P67" s="94">
        <v>0</v>
      </c>
      <c r="Q67" s="94">
        <v>0</v>
      </c>
      <c r="R67" s="94">
        <v>0</v>
      </c>
      <c r="S67" s="94">
        <v>0</v>
      </c>
      <c r="T67" s="156">
        <v>0</v>
      </c>
      <c r="U67" s="152">
        <v>0</v>
      </c>
      <c r="V67" s="151">
        <v>0</v>
      </c>
      <c r="W67" s="151">
        <v>0</v>
      </c>
      <c r="X67" s="151"/>
      <c r="Y67" s="8" t="s">
        <v>1001</v>
      </c>
    </row>
    <row r="68" spans="1:26" ht="30" customHeight="1">
      <c r="A68">
        <v>62</v>
      </c>
      <c r="B68" s="87" t="s">
        <v>355</v>
      </c>
      <c r="C68" s="85" t="s">
        <v>574</v>
      </c>
      <c r="D68" s="86" t="s">
        <v>728</v>
      </c>
      <c r="E68" s="86" t="s">
        <v>283</v>
      </c>
      <c r="F68" s="86" t="s">
        <v>1067</v>
      </c>
      <c r="G68" s="86" t="s">
        <v>717</v>
      </c>
      <c r="H68" s="86" t="s">
        <v>293</v>
      </c>
      <c r="I68" s="86" t="s">
        <v>788</v>
      </c>
      <c r="J68" s="97">
        <v>0</v>
      </c>
      <c r="K68" s="93">
        <v>0</v>
      </c>
      <c r="L68" s="94">
        <v>0</v>
      </c>
      <c r="M68" s="94">
        <v>0</v>
      </c>
      <c r="N68" s="94">
        <v>0</v>
      </c>
      <c r="O68" s="94">
        <v>0</v>
      </c>
      <c r="P68" s="94">
        <v>0</v>
      </c>
      <c r="Q68" s="94">
        <v>0</v>
      </c>
      <c r="R68" s="94">
        <v>0</v>
      </c>
      <c r="S68" s="94">
        <v>0</v>
      </c>
      <c r="T68" s="156">
        <v>0</v>
      </c>
      <c r="U68" s="152">
        <v>0</v>
      </c>
      <c r="V68" s="151">
        <v>0</v>
      </c>
      <c r="W68" s="151">
        <v>0</v>
      </c>
      <c r="X68" s="151"/>
      <c r="Y68" s="8">
        <v>0</v>
      </c>
    </row>
    <row r="69" spans="1:26" ht="30" customHeight="1">
      <c r="A69">
        <v>63</v>
      </c>
      <c r="B69" s="87" t="s">
        <v>356</v>
      </c>
      <c r="C69" s="85" t="s">
        <v>575</v>
      </c>
      <c r="D69" s="86" t="s">
        <v>728</v>
      </c>
      <c r="E69" s="86" t="s">
        <v>283</v>
      </c>
      <c r="F69" s="86" t="s">
        <v>1067</v>
      </c>
      <c r="G69" s="86" t="s">
        <v>717</v>
      </c>
      <c r="H69" s="86" t="s">
        <v>293</v>
      </c>
      <c r="I69" s="86" t="s">
        <v>788</v>
      </c>
      <c r="J69" s="97">
        <v>0</v>
      </c>
      <c r="K69" s="93">
        <v>0</v>
      </c>
      <c r="L69" s="94">
        <v>0</v>
      </c>
      <c r="M69" s="94">
        <v>0</v>
      </c>
      <c r="N69" s="94">
        <v>0</v>
      </c>
      <c r="O69" s="94">
        <v>0</v>
      </c>
      <c r="P69" s="94">
        <v>0</v>
      </c>
      <c r="Q69" s="94">
        <v>0</v>
      </c>
      <c r="R69" s="94">
        <v>0</v>
      </c>
      <c r="S69" s="94">
        <v>0</v>
      </c>
      <c r="T69" s="156">
        <v>0</v>
      </c>
      <c r="U69" s="152">
        <v>0</v>
      </c>
      <c r="V69" s="151">
        <v>0</v>
      </c>
      <c r="W69" s="151">
        <v>0</v>
      </c>
      <c r="X69" s="151"/>
      <c r="Y69" s="8">
        <v>0</v>
      </c>
    </row>
    <row r="70" spans="1:26" ht="30" customHeight="1">
      <c r="A70">
        <v>64</v>
      </c>
      <c r="B70" s="84" t="s">
        <v>357</v>
      </c>
      <c r="C70" s="85" t="s">
        <v>791</v>
      </c>
      <c r="D70" s="86" t="s">
        <v>125</v>
      </c>
      <c r="E70" s="86" t="s">
        <v>283</v>
      </c>
      <c r="F70" s="86" t="s">
        <v>1067</v>
      </c>
      <c r="G70" s="86" t="s">
        <v>717</v>
      </c>
      <c r="H70" s="86" t="s">
        <v>293</v>
      </c>
      <c r="I70" s="86" t="s">
        <v>788</v>
      </c>
      <c r="J70" s="97">
        <v>0</v>
      </c>
      <c r="K70" s="93">
        <v>0</v>
      </c>
      <c r="L70" s="94">
        <v>0</v>
      </c>
      <c r="M70" s="94">
        <v>0</v>
      </c>
      <c r="N70" s="94">
        <v>0</v>
      </c>
      <c r="O70" s="94">
        <v>0</v>
      </c>
      <c r="P70" s="94">
        <v>0</v>
      </c>
      <c r="Q70" s="94">
        <v>0</v>
      </c>
      <c r="R70" s="94">
        <v>0</v>
      </c>
      <c r="S70" s="94">
        <v>0</v>
      </c>
      <c r="T70" s="156">
        <v>0</v>
      </c>
      <c r="U70" s="152">
        <v>0</v>
      </c>
      <c r="V70" s="151">
        <v>0</v>
      </c>
      <c r="W70" s="151">
        <v>0</v>
      </c>
      <c r="X70" s="151"/>
      <c r="Y70" s="8" t="s">
        <v>1001</v>
      </c>
    </row>
    <row r="71" spans="1:26" ht="30" customHeight="1">
      <c r="A71">
        <v>65</v>
      </c>
      <c r="B71" s="87" t="s">
        <v>358</v>
      </c>
      <c r="C71" s="85" t="s">
        <v>576</v>
      </c>
      <c r="D71" s="86" t="s">
        <v>125</v>
      </c>
      <c r="E71" s="86" t="s">
        <v>283</v>
      </c>
      <c r="F71" s="86" t="s">
        <v>935</v>
      </c>
      <c r="G71" s="86" t="s">
        <v>719</v>
      </c>
      <c r="H71" s="86" t="s">
        <v>712</v>
      </c>
      <c r="I71" s="86" t="s">
        <v>720</v>
      </c>
      <c r="J71" s="97">
        <v>0</v>
      </c>
      <c r="K71" s="93">
        <v>0</v>
      </c>
      <c r="L71" s="94">
        <v>0</v>
      </c>
      <c r="M71" s="94">
        <v>0</v>
      </c>
      <c r="N71" s="94">
        <v>0</v>
      </c>
      <c r="O71" s="94">
        <v>0</v>
      </c>
      <c r="P71" s="94">
        <v>0</v>
      </c>
      <c r="Q71" s="94">
        <v>0</v>
      </c>
      <c r="R71" s="94">
        <v>0</v>
      </c>
      <c r="S71" s="94">
        <v>0</v>
      </c>
      <c r="T71" s="156">
        <v>0</v>
      </c>
      <c r="U71" s="152">
        <v>0</v>
      </c>
      <c r="V71" s="151">
        <v>0</v>
      </c>
      <c r="W71" s="151">
        <v>0</v>
      </c>
      <c r="X71" s="151"/>
      <c r="Y71" s="8" t="s">
        <v>999</v>
      </c>
      <c r="Z71" s="153" t="s">
        <v>1122</v>
      </c>
    </row>
    <row r="72" spans="1:26" ht="30" customHeight="1">
      <c r="A72">
        <v>66</v>
      </c>
      <c r="B72" s="87" t="s">
        <v>359</v>
      </c>
      <c r="C72" s="85" t="s">
        <v>738</v>
      </c>
      <c r="D72" s="86" t="s">
        <v>134</v>
      </c>
      <c r="E72" s="86" t="s">
        <v>283</v>
      </c>
      <c r="F72" s="86" t="s">
        <v>935</v>
      </c>
      <c r="G72" s="86" t="s">
        <v>716</v>
      </c>
      <c r="H72" s="86" t="s">
        <v>292</v>
      </c>
      <c r="I72" s="86" t="s">
        <v>753</v>
      </c>
      <c r="J72" s="97">
        <v>0</v>
      </c>
      <c r="K72" s="93">
        <v>0</v>
      </c>
      <c r="L72" s="94">
        <v>0</v>
      </c>
      <c r="M72" s="94">
        <v>0</v>
      </c>
      <c r="N72" s="94">
        <v>0</v>
      </c>
      <c r="O72" s="94">
        <v>0</v>
      </c>
      <c r="P72" s="94">
        <v>0</v>
      </c>
      <c r="Q72" s="94">
        <v>0</v>
      </c>
      <c r="R72" s="94">
        <v>0</v>
      </c>
      <c r="S72" s="94">
        <v>0</v>
      </c>
      <c r="T72" s="156">
        <v>0</v>
      </c>
      <c r="U72" s="152">
        <v>0</v>
      </c>
      <c r="V72" s="151">
        <v>0</v>
      </c>
      <c r="W72" s="151">
        <v>0</v>
      </c>
      <c r="X72" s="151"/>
      <c r="Y72" s="8" t="s">
        <v>1001</v>
      </c>
    </row>
    <row r="73" spans="1:26" ht="30" customHeight="1">
      <c r="A73">
        <v>67</v>
      </c>
      <c r="B73" s="87" t="s">
        <v>360</v>
      </c>
      <c r="C73" s="85" t="s">
        <v>577</v>
      </c>
      <c r="D73" s="86" t="s">
        <v>1156</v>
      </c>
      <c r="E73" s="86" t="s">
        <v>283</v>
      </c>
      <c r="F73" s="86" t="s">
        <v>935</v>
      </c>
      <c r="G73" s="86" t="s">
        <v>716</v>
      </c>
      <c r="H73" s="86" t="s">
        <v>292</v>
      </c>
      <c r="I73" s="86" t="s">
        <v>753</v>
      </c>
      <c r="J73" s="97">
        <v>0</v>
      </c>
      <c r="K73" s="93">
        <v>0</v>
      </c>
      <c r="L73" s="94">
        <v>0</v>
      </c>
      <c r="M73" s="94">
        <v>0</v>
      </c>
      <c r="N73" s="94">
        <v>0</v>
      </c>
      <c r="O73" s="94">
        <v>0</v>
      </c>
      <c r="P73" s="94">
        <v>0</v>
      </c>
      <c r="Q73" s="94">
        <v>0</v>
      </c>
      <c r="R73" s="94">
        <v>0</v>
      </c>
      <c r="S73" s="94">
        <v>0</v>
      </c>
      <c r="T73" s="156">
        <v>0</v>
      </c>
      <c r="U73" s="152">
        <v>0</v>
      </c>
      <c r="V73" s="151">
        <v>0</v>
      </c>
      <c r="W73" s="151">
        <v>0</v>
      </c>
      <c r="X73" s="151"/>
      <c r="Y73" s="8">
        <v>0</v>
      </c>
    </row>
    <row r="74" spans="1:26" ht="30" customHeight="1">
      <c r="A74">
        <v>68</v>
      </c>
      <c r="B74" s="87" t="s">
        <v>361</v>
      </c>
      <c r="C74" s="85" t="s">
        <v>578</v>
      </c>
      <c r="D74" s="86" t="s">
        <v>1156</v>
      </c>
      <c r="E74" s="86" t="s">
        <v>283</v>
      </c>
      <c r="F74" s="86" t="s">
        <v>935</v>
      </c>
      <c r="G74" s="86" t="s">
        <v>716</v>
      </c>
      <c r="H74" s="86" t="s">
        <v>292</v>
      </c>
      <c r="I74" s="86" t="s">
        <v>753</v>
      </c>
      <c r="J74" s="97">
        <v>0</v>
      </c>
      <c r="K74" s="93">
        <v>0</v>
      </c>
      <c r="L74" s="94">
        <v>0</v>
      </c>
      <c r="M74" s="94">
        <v>0</v>
      </c>
      <c r="N74" s="94">
        <v>0</v>
      </c>
      <c r="O74" s="94">
        <v>0</v>
      </c>
      <c r="P74" s="94">
        <v>0</v>
      </c>
      <c r="Q74" s="94">
        <v>0</v>
      </c>
      <c r="R74" s="94">
        <v>0</v>
      </c>
      <c r="S74" s="94">
        <v>0</v>
      </c>
      <c r="T74" s="156">
        <v>0</v>
      </c>
      <c r="U74" s="152">
        <v>0</v>
      </c>
      <c r="V74" s="151">
        <v>0</v>
      </c>
      <c r="W74" s="151">
        <v>0</v>
      </c>
      <c r="X74" s="151"/>
      <c r="Y74" s="8">
        <v>0</v>
      </c>
    </row>
    <row r="75" spans="1:26" ht="30" customHeight="1">
      <c r="A75">
        <v>69</v>
      </c>
      <c r="B75" s="84" t="s">
        <v>362</v>
      </c>
      <c r="C75" s="85" t="s">
        <v>739</v>
      </c>
      <c r="D75" s="86" t="s">
        <v>122</v>
      </c>
      <c r="E75" s="86" t="s">
        <v>283</v>
      </c>
      <c r="F75" s="86" t="s">
        <v>935</v>
      </c>
      <c r="G75" s="86" t="s">
        <v>716</v>
      </c>
      <c r="H75" s="86" t="s">
        <v>292</v>
      </c>
      <c r="I75" s="86" t="s">
        <v>753</v>
      </c>
      <c r="J75" s="97">
        <v>0</v>
      </c>
      <c r="K75" s="93">
        <v>0</v>
      </c>
      <c r="L75" s="94">
        <v>0</v>
      </c>
      <c r="M75" s="94">
        <v>0</v>
      </c>
      <c r="N75" s="94">
        <v>0</v>
      </c>
      <c r="O75" s="94">
        <v>0</v>
      </c>
      <c r="P75" s="94">
        <v>0</v>
      </c>
      <c r="Q75" s="94">
        <v>0</v>
      </c>
      <c r="R75" s="94">
        <v>0</v>
      </c>
      <c r="S75" s="94">
        <v>0</v>
      </c>
      <c r="T75" s="156">
        <v>0</v>
      </c>
      <c r="U75" s="152">
        <v>0</v>
      </c>
      <c r="V75" s="151">
        <v>0</v>
      </c>
      <c r="W75" s="151">
        <v>0</v>
      </c>
      <c r="X75" s="151"/>
      <c r="Y75" s="8" t="s">
        <v>1001</v>
      </c>
    </row>
    <row r="76" spans="1:26" ht="30" customHeight="1">
      <c r="A76">
        <v>70</v>
      </c>
      <c r="B76" s="84" t="s">
        <v>363</v>
      </c>
      <c r="C76" s="85" t="s">
        <v>740</v>
      </c>
      <c r="D76" s="86" t="s">
        <v>122</v>
      </c>
      <c r="E76" s="86" t="s">
        <v>283</v>
      </c>
      <c r="F76" s="86" t="s">
        <v>935</v>
      </c>
      <c r="G76" s="86" t="s">
        <v>716</v>
      </c>
      <c r="H76" s="86" t="s">
        <v>292</v>
      </c>
      <c r="I76" s="86" t="s">
        <v>753</v>
      </c>
      <c r="J76" s="97">
        <v>0</v>
      </c>
      <c r="K76" s="93">
        <v>0</v>
      </c>
      <c r="L76" s="94">
        <v>0</v>
      </c>
      <c r="M76" s="94">
        <v>0</v>
      </c>
      <c r="N76" s="94">
        <v>0</v>
      </c>
      <c r="O76" s="94">
        <v>0</v>
      </c>
      <c r="P76" s="94">
        <v>0</v>
      </c>
      <c r="Q76" s="94">
        <v>0</v>
      </c>
      <c r="R76" s="94">
        <v>0</v>
      </c>
      <c r="S76" s="94">
        <v>0</v>
      </c>
      <c r="T76" s="156">
        <v>0</v>
      </c>
      <c r="U76" s="152">
        <v>0</v>
      </c>
      <c r="V76" s="151">
        <v>0</v>
      </c>
      <c r="W76" s="151">
        <v>0</v>
      </c>
      <c r="X76" s="151"/>
      <c r="Y76" s="8" t="s">
        <v>1001</v>
      </c>
    </row>
    <row r="77" spans="1:26" ht="30" customHeight="1">
      <c r="A77">
        <v>71</v>
      </c>
      <c r="B77" s="84" t="s">
        <v>364</v>
      </c>
      <c r="C77" s="85" t="s">
        <v>741</v>
      </c>
      <c r="D77" s="86" t="s">
        <v>122</v>
      </c>
      <c r="E77" s="86" t="s">
        <v>283</v>
      </c>
      <c r="F77" s="86" t="s">
        <v>935</v>
      </c>
      <c r="G77" s="86" t="s">
        <v>716</v>
      </c>
      <c r="H77" s="86" t="s">
        <v>292</v>
      </c>
      <c r="I77" s="86" t="s">
        <v>753</v>
      </c>
      <c r="J77" s="97">
        <v>0</v>
      </c>
      <c r="K77" s="93">
        <v>0</v>
      </c>
      <c r="L77" s="94">
        <v>0</v>
      </c>
      <c r="M77" s="94">
        <v>0</v>
      </c>
      <c r="N77" s="94">
        <v>0</v>
      </c>
      <c r="O77" s="94">
        <v>0</v>
      </c>
      <c r="P77" s="94">
        <v>0</v>
      </c>
      <c r="Q77" s="94">
        <v>0</v>
      </c>
      <c r="R77" s="94">
        <v>0</v>
      </c>
      <c r="S77" s="94">
        <v>0</v>
      </c>
      <c r="T77" s="156">
        <v>0</v>
      </c>
      <c r="U77" s="152">
        <v>0</v>
      </c>
      <c r="V77" s="151">
        <v>0</v>
      </c>
      <c r="W77" s="151">
        <v>0</v>
      </c>
      <c r="X77" s="151"/>
      <c r="Y77" s="8">
        <v>0</v>
      </c>
    </row>
    <row r="78" spans="1:26" ht="30" customHeight="1">
      <c r="A78">
        <v>72</v>
      </c>
      <c r="B78" s="84" t="s">
        <v>365</v>
      </c>
      <c r="C78" s="85" t="s">
        <v>742</v>
      </c>
      <c r="D78" s="86" t="s">
        <v>122</v>
      </c>
      <c r="E78" s="86" t="s">
        <v>283</v>
      </c>
      <c r="F78" s="86" t="s">
        <v>935</v>
      </c>
      <c r="G78" s="86" t="s">
        <v>716</v>
      </c>
      <c r="H78" s="86" t="s">
        <v>292</v>
      </c>
      <c r="I78" s="86" t="s">
        <v>753</v>
      </c>
      <c r="J78" s="97">
        <v>0</v>
      </c>
      <c r="K78" s="93">
        <v>0</v>
      </c>
      <c r="L78" s="94">
        <v>0</v>
      </c>
      <c r="M78" s="94">
        <v>0</v>
      </c>
      <c r="N78" s="94">
        <v>0</v>
      </c>
      <c r="O78" s="94">
        <v>0</v>
      </c>
      <c r="P78" s="94">
        <v>0</v>
      </c>
      <c r="Q78" s="94">
        <v>0</v>
      </c>
      <c r="R78" s="94">
        <v>0</v>
      </c>
      <c r="S78" s="94">
        <v>0</v>
      </c>
      <c r="T78" s="156">
        <v>0</v>
      </c>
      <c r="U78" s="152">
        <v>0</v>
      </c>
      <c r="V78" s="151">
        <v>0</v>
      </c>
      <c r="W78" s="151">
        <v>0</v>
      </c>
      <c r="X78" s="151"/>
      <c r="Y78" s="8">
        <v>0</v>
      </c>
    </row>
    <row r="79" spans="1:26" ht="30" customHeight="1">
      <c r="A79">
        <v>73</v>
      </c>
      <c r="B79" s="87" t="s">
        <v>366</v>
      </c>
      <c r="C79" s="85" t="s">
        <v>743</v>
      </c>
      <c r="D79" s="86" t="s">
        <v>122</v>
      </c>
      <c r="E79" s="86" t="s">
        <v>283</v>
      </c>
      <c r="F79" s="86" t="s">
        <v>1067</v>
      </c>
      <c r="G79" s="86" t="s">
        <v>716</v>
      </c>
      <c r="H79" s="86" t="s">
        <v>292</v>
      </c>
      <c r="I79" s="86" t="s">
        <v>753</v>
      </c>
      <c r="J79" s="97">
        <v>0</v>
      </c>
      <c r="K79" s="93">
        <v>0</v>
      </c>
      <c r="L79" s="94">
        <v>0</v>
      </c>
      <c r="M79" s="94">
        <v>0</v>
      </c>
      <c r="N79" s="94">
        <v>0</v>
      </c>
      <c r="O79" s="94">
        <v>0</v>
      </c>
      <c r="P79" s="94">
        <v>0</v>
      </c>
      <c r="Q79" s="94">
        <v>0</v>
      </c>
      <c r="R79" s="94">
        <v>0</v>
      </c>
      <c r="S79" s="94">
        <v>0</v>
      </c>
      <c r="T79" s="156">
        <v>0</v>
      </c>
      <c r="U79" s="152">
        <v>0</v>
      </c>
      <c r="V79" s="151">
        <v>0</v>
      </c>
      <c r="W79" s="151">
        <v>0</v>
      </c>
      <c r="X79" s="151"/>
      <c r="Y79" s="8" t="s">
        <v>1001</v>
      </c>
    </row>
    <row r="80" spans="1:26" ht="30" customHeight="1">
      <c r="A80">
        <v>74</v>
      </c>
      <c r="B80" s="87" t="s">
        <v>367</v>
      </c>
      <c r="C80" s="85" t="s">
        <v>744</v>
      </c>
      <c r="D80" s="86" t="s">
        <v>122</v>
      </c>
      <c r="E80" s="86" t="s">
        <v>283</v>
      </c>
      <c r="F80" s="86" t="s">
        <v>1067</v>
      </c>
      <c r="G80" s="86" t="s">
        <v>716</v>
      </c>
      <c r="H80" s="86" t="s">
        <v>292</v>
      </c>
      <c r="I80" s="86" t="s">
        <v>753</v>
      </c>
      <c r="J80" s="97">
        <v>0</v>
      </c>
      <c r="K80" s="93">
        <v>0</v>
      </c>
      <c r="L80" s="94">
        <v>0</v>
      </c>
      <c r="M80" s="94">
        <v>0</v>
      </c>
      <c r="N80" s="94">
        <v>0</v>
      </c>
      <c r="O80" s="94">
        <v>0</v>
      </c>
      <c r="P80" s="94">
        <v>0</v>
      </c>
      <c r="Q80" s="94">
        <v>0</v>
      </c>
      <c r="R80" s="94">
        <v>0</v>
      </c>
      <c r="S80" s="94">
        <v>0</v>
      </c>
      <c r="T80" s="156">
        <v>0</v>
      </c>
      <c r="U80" s="152">
        <v>0</v>
      </c>
      <c r="V80" s="151">
        <v>0</v>
      </c>
      <c r="W80" s="151">
        <v>0</v>
      </c>
      <c r="X80" s="151"/>
      <c r="Y80" s="8" t="s">
        <v>1001</v>
      </c>
    </row>
    <row r="81" spans="1:25" ht="30" customHeight="1">
      <c r="A81">
        <v>75</v>
      </c>
      <c r="B81" s="87" t="s">
        <v>368</v>
      </c>
      <c r="C81" s="85" t="s">
        <v>745</v>
      </c>
      <c r="D81" s="86" t="s">
        <v>123</v>
      </c>
      <c r="E81" s="86" t="s">
        <v>283</v>
      </c>
      <c r="F81" s="86" t="s">
        <v>935</v>
      </c>
      <c r="G81" s="86" t="s">
        <v>716</v>
      </c>
      <c r="H81" s="86" t="s">
        <v>292</v>
      </c>
      <c r="I81" s="86" t="s">
        <v>753</v>
      </c>
      <c r="J81" s="97">
        <v>0</v>
      </c>
      <c r="K81" s="93">
        <v>0</v>
      </c>
      <c r="L81" s="94">
        <v>0</v>
      </c>
      <c r="M81" s="94">
        <v>0</v>
      </c>
      <c r="N81" s="94">
        <v>0</v>
      </c>
      <c r="O81" s="94"/>
      <c r="P81" s="94">
        <v>0</v>
      </c>
      <c r="Q81" s="94"/>
      <c r="R81" s="94"/>
      <c r="S81" s="94"/>
      <c r="T81" s="156">
        <v>0</v>
      </c>
      <c r="U81" s="152">
        <v>0</v>
      </c>
      <c r="V81" s="151">
        <v>0</v>
      </c>
      <c r="W81" s="151">
        <v>0</v>
      </c>
      <c r="X81" s="151"/>
      <c r="Y81" s="8" t="s">
        <v>1001</v>
      </c>
    </row>
    <row r="82" spans="1:25" ht="30" customHeight="1">
      <c r="A82">
        <v>76</v>
      </c>
      <c r="B82" s="84" t="s">
        <v>369</v>
      </c>
      <c r="C82" s="85" t="s">
        <v>746</v>
      </c>
      <c r="D82" s="86" t="s">
        <v>134</v>
      </c>
      <c r="E82" s="86" t="s">
        <v>283</v>
      </c>
      <c r="F82" s="86" t="s">
        <v>935</v>
      </c>
      <c r="G82" s="86" t="s">
        <v>716</v>
      </c>
      <c r="H82" s="86" t="s">
        <v>292</v>
      </c>
      <c r="I82" s="86" t="s">
        <v>753</v>
      </c>
      <c r="J82" s="97">
        <v>0</v>
      </c>
      <c r="K82" s="93">
        <v>0</v>
      </c>
      <c r="L82" s="94">
        <v>0</v>
      </c>
      <c r="M82" s="94">
        <v>0</v>
      </c>
      <c r="N82" s="94">
        <v>0</v>
      </c>
      <c r="O82" s="94">
        <v>0</v>
      </c>
      <c r="P82" s="94">
        <v>0</v>
      </c>
      <c r="Q82" s="94">
        <v>0</v>
      </c>
      <c r="R82" s="94">
        <v>0</v>
      </c>
      <c r="S82" s="94">
        <v>0</v>
      </c>
      <c r="T82" s="156">
        <v>0</v>
      </c>
      <c r="U82" s="152">
        <v>0</v>
      </c>
      <c r="V82" s="151">
        <v>0</v>
      </c>
      <c r="W82" s="151">
        <v>0</v>
      </c>
      <c r="X82" s="151"/>
      <c r="Y82" s="8" t="s">
        <v>1001</v>
      </c>
    </row>
    <row r="83" spans="1:25" ht="30" customHeight="1">
      <c r="A83">
        <v>77</v>
      </c>
      <c r="B83" s="84" t="s">
        <v>756</v>
      </c>
      <c r="C83" s="85" t="s">
        <v>757</v>
      </c>
      <c r="D83" s="86" t="s">
        <v>125</v>
      </c>
      <c r="E83" s="86" t="s">
        <v>283</v>
      </c>
      <c r="F83" s="86" t="s">
        <v>1067</v>
      </c>
      <c r="G83" s="86">
        <v>0</v>
      </c>
      <c r="H83" s="86" t="e">
        <v>#N/A</v>
      </c>
      <c r="I83" s="86" t="e">
        <v>#N/A</v>
      </c>
      <c r="J83" s="97"/>
      <c r="K83" s="93"/>
      <c r="L83" s="94"/>
      <c r="M83" s="94"/>
      <c r="N83" s="94"/>
      <c r="O83" s="94"/>
      <c r="P83" s="94"/>
      <c r="Q83" s="94"/>
      <c r="R83" s="94"/>
      <c r="S83" s="94"/>
      <c r="T83" s="156">
        <v>0</v>
      </c>
      <c r="U83" s="152">
        <v>0</v>
      </c>
      <c r="V83" s="151">
        <v>0</v>
      </c>
      <c r="W83" s="151">
        <v>0</v>
      </c>
      <c r="X83" s="151"/>
      <c r="Y83" s="8">
        <v>0</v>
      </c>
    </row>
    <row r="84" spans="1:25" ht="30" customHeight="1">
      <c r="A84">
        <v>78</v>
      </c>
      <c r="B84" s="84" t="s">
        <v>792</v>
      </c>
      <c r="C84" s="85" t="s">
        <v>793</v>
      </c>
      <c r="D84" s="86" t="s">
        <v>122</v>
      </c>
      <c r="E84" s="86" t="s">
        <v>283</v>
      </c>
      <c r="F84" s="86" t="s">
        <v>935</v>
      </c>
      <c r="G84" s="86" t="s">
        <v>719</v>
      </c>
      <c r="H84" s="86" t="s">
        <v>712</v>
      </c>
      <c r="I84" s="86" t="s">
        <v>720</v>
      </c>
      <c r="J84" s="97"/>
      <c r="K84" s="93"/>
      <c r="L84" s="94"/>
      <c r="M84" s="94"/>
      <c r="N84" s="94"/>
      <c r="O84" s="94"/>
      <c r="P84" s="94"/>
      <c r="Q84" s="94"/>
      <c r="R84" s="94"/>
      <c r="S84" s="94"/>
      <c r="T84" s="156">
        <v>0</v>
      </c>
      <c r="U84" s="152">
        <v>0</v>
      </c>
      <c r="V84" s="151">
        <v>0</v>
      </c>
      <c r="W84" s="151">
        <v>0</v>
      </c>
      <c r="X84" s="151"/>
      <c r="Y84" s="8" t="s">
        <v>999</v>
      </c>
    </row>
    <row r="85" spans="1:25" ht="30" customHeight="1">
      <c r="A85">
        <v>79</v>
      </c>
      <c r="B85" s="84" t="s">
        <v>994</v>
      </c>
      <c r="C85" s="85" t="s">
        <v>1012</v>
      </c>
      <c r="D85" s="86" t="s">
        <v>125</v>
      </c>
      <c r="E85" s="86" t="s">
        <v>283</v>
      </c>
      <c r="F85" s="86" t="s">
        <v>1067</v>
      </c>
      <c r="G85" s="86">
        <v>0</v>
      </c>
      <c r="H85" s="86" t="e">
        <v>#N/A</v>
      </c>
      <c r="I85" s="86" t="e">
        <v>#N/A</v>
      </c>
      <c r="J85" s="97"/>
      <c r="K85" s="93"/>
      <c r="L85" s="94"/>
      <c r="M85" s="94"/>
      <c r="N85" s="94"/>
      <c r="O85" s="94"/>
      <c r="P85" s="94"/>
      <c r="Q85" s="94"/>
      <c r="R85" s="94"/>
      <c r="S85" s="94"/>
      <c r="T85" s="156">
        <v>0</v>
      </c>
      <c r="U85" s="152">
        <v>0</v>
      </c>
      <c r="V85" s="151">
        <v>0</v>
      </c>
      <c r="W85" s="151">
        <v>0</v>
      </c>
      <c r="X85" s="151"/>
      <c r="Y85" s="8" t="s">
        <v>1001</v>
      </c>
    </row>
    <row r="86" spans="1:25" ht="30" customHeight="1">
      <c r="A86">
        <v>80</v>
      </c>
      <c r="B86" s="84" t="s">
        <v>843</v>
      </c>
      <c r="C86" s="85" t="s">
        <v>1013</v>
      </c>
      <c r="D86" s="86" t="s">
        <v>132</v>
      </c>
      <c r="E86" s="86" t="s">
        <v>283</v>
      </c>
      <c r="F86" s="86" t="s">
        <v>935</v>
      </c>
      <c r="G86" s="86">
        <v>0</v>
      </c>
      <c r="H86" s="86" t="e">
        <v>#N/A</v>
      </c>
      <c r="I86" s="86" t="e">
        <v>#N/A</v>
      </c>
      <c r="J86" s="97"/>
      <c r="K86" s="93"/>
      <c r="L86" s="94"/>
      <c r="M86" s="94"/>
      <c r="N86" s="94"/>
      <c r="O86" s="94"/>
      <c r="P86" s="94"/>
      <c r="Q86" s="94"/>
      <c r="R86" s="94"/>
      <c r="S86" s="94"/>
      <c r="T86" s="156">
        <v>0</v>
      </c>
      <c r="U86" s="152">
        <v>0</v>
      </c>
      <c r="V86" s="151">
        <v>0</v>
      </c>
      <c r="W86" s="151">
        <v>0</v>
      </c>
      <c r="X86" s="151"/>
      <c r="Y86" s="8" t="s">
        <v>1001</v>
      </c>
    </row>
    <row r="87" spans="1:25" ht="30" customHeight="1">
      <c r="A87">
        <v>81</v>
      </c>
      <c r="B87" s="84" t="s">
        <v>844</v>
      </c>
      <c r="C87" s="85" t="s">
        <v>1014</v>
      </c>
      <c r="D87" s="86" t="s">
        <v>132</v>
      </c>
      <c r="E87" s="86" t="s">
        <v>283</v>
      </c>
      <c r="F87" s="86" t="s">
        <v>935</v>
      </c>
      <c r="G87" s="86">
        <v>0</v>
      </c>
      <c r="H87" s="86" t="e">
        <v>#N/A</v>
      </c>
      <c r="I87" s="86" t="e">
        <v>#N/A</v>
      </c>
      <c r="J87" s="97"/>
      <c r="K87" s="93"/>
      <c r="L87" s="94"/>
      <c r="M87" s="94"/>
      <c r="N87" s="94"/>
      <c r="O87" s="94"/>
      <c r="P87" s="94"/>
      <c r="Q87" s="94"/>
      <c r="R87" s="94"/>
      <c r="S87" s="94"/>
      <c r="T87" s="156">
        <v>0</v>
      </c>
      <c r="U87" s="152">
        <v>0</v>
      </c>
      <c r="V87" s="151">
        <v>0</v>
      </c>
      <c r="W87" s="151">
        <v>0</v>
      </c>
      <c r="X87" s="151"/>
      <c r="Y87" s="8" t="s">
        <v>1001</v>
      </c>
    </row>
    <row r="88" spans="1:25" ht="30" customHeight="1">
      <c r="A88">
        <v>82</v>
      </c>
      <c r="B88" s="84" t="s">
        <v>845</v>
      </c>
      <c r="C88" s="85" t="s">
        <v>1015</v>
      </c>
      <c r="D88" s="86" t="s">
        <v>132</v>
      </c>
      <c r="E88" s="86" t="s">
        <v>283</v>
      </c>
      <c r="F88" s="86" t="s">
        <v>1067</v>
      </c>
      <c r="G88" s="86">
        <v>0</v>
      </c>
      <c r="H88" s="86" t="e">
        <v>#N/A</v>
      </c>
      <c r="I88" s="86" t="e">
        <v>#N/A</v>
      </c>
      <c r="J88" s="97"/>
      <c r="K88" s="93"/>
      <c r="L88" s="94"/>
      <c r="M88" s="94"/>
      <c r="N88" s="94"/>
      <c r="O88" s="94"/>
      <c r="P88" s="94"/>
      <c r="Q88" s="94"/>
      <c r="R88" s="94"/>
      <c r="S88" s="94"/>
      <c r="T88" s="156">
        <v>0</v>
      </c>
      <c r="U88" s="152">
        <v>0</v>
      </c>
      <c r="V88" s="151">
        <v>0</v>
      </c>
      <c r="W88" s="151">
        <v>0</v>
      </c>
      <c r="X88" s="151"/>
      <c r="Y88" s="8" t="s">
        <v>1001</v>
      </c>
    </row>
    <row r="89" spans="1:25" ht="30" customHeight="1">
      <c r="A89">
        <v>83</v>
      </c>
      <c r="B89" s="84" t="s">
        <v>846</v>
      </c>
      <c r="C89" s="85" t="s">
        <v>1016</v>
      </c>
      <c r="D89" s="86" t="s">
        <v>132</v>
      </c>
      <c r="E89" s="86" t="s">
        <v>283</v>
      </c>
      <c r="F89" s="86" t="s">
        <v>1067</v>
      </c>
      <c r="G89" s="86">
        <v>0</v>
      </c>
      <c r="H89" s="86" t="e">
        <v>#N/A</v>
      </c>
      <c r="I89" s="86" t="e">
        <v>#N/A</v>
      </c>
      <c r="J89" s="97"/>
      <c r="K89" s="93"/>
      <c r="L89" s="94"/>
      <c r="M89" s="94"/>
      <c r="N89" s="94"/>
      <c r="O89" s="94"/>
      <c r="P89" s="94"/>
      <c r="Q89" s="94"/>
      <c r="R89" s="94"/>
      <c r="S89" s="94"/>
      <c r="T89" s="156">
        <v>0</v>
      </c>
      <c r="U89" s="152">
        <v>0</v>
      </c>
      <c r="V89" s="151">
        <v>0</v>
      </c>
      <c r="W89" s="151">
        <v>0</v>
      </c>
      <c r="X89" s="151"/>
      <c r="Y89" s="8" t="s">
        <v>1001</v>
      </c>
    </row>
    <row r="90" spans="1:25" ht="30" customHeight="1">
      <c r="A90">
        <v>84</v>
      </c>
      <c r="B90" s="84" t="s">
        <v>847</v>
      </c>
      <c r="C90" s="85" t="s">
        <v>1017</v>
      </c>
      <c r="D90" s="86" t="s">
        <v>728</v>
      </c>
      <c r="E90" s="86" t="s">
        <v>283</v>
      </c>
      <c r="F90" s="86" t="s">
        <v>1067</v>
      </c>
      <c r="G90" s="86">
        <v>0</v>
      </c>
      <c r="H90" s="86" t="e">
        <v>#N/A</v>
      </c>
      <c r="I90" s="86" t="e">
        <v>#N/A</v>
      </c>
      <c r="J90" s="97"/>
      <c r="K90" s="93"/>
      <c r="L90" s="94"/>
      <c r="M90" s="94"/>
      <c r="N90" s="94"/>
      <c r="O90" s="94"/>
      <c r="P90" s="94"/>
      <c r="Q90" s="94"/>
      <c r="R90" s="94"/>
      <c r="S90" s="94"/>
      <c r="T90" s="156">
        <v>0</v>
      </c>
      <c r="U90" s="152">
        <v>0</v>
      </c>
      <c r="V90" s="151">
        <v>0</v>
      </c>
      <c r="W90" s="151">
        <v>0</v>
      </c>
      <c r="X90" s="151"/>
      <c r="Y90" s="8">
        <v>0</v>
      </c>
    </row>
    <row r="91" spans="1:25" ht="30" customHeight="1">
      <c r="A91">
        <v>85</v>
      </c>
      <c r="B91" s="118" t="s">
        <v>848</v>
      </c>
      <c r="C91" s="85" t="s">
        <v>1018</v>
      </c>
      <c r="D91" s="86" t="s">
        <v>835</v>
      </c>
      <c r="E91" s="86" t="s">
        <v>283</v>
      </c>
      <c r="F91" s="86" t="s">
        <v>1067</v>
      </c>
      <c r="G91" s="86">
        <v>0</v>
      </c>
      <c r="H91" s="86" t="e">
        <v>#N/A</v>
      </c>
      <c r="I91" s="86" t="e">
        <v>#N/A</v>
      </c>
      <c r="J91" s="97"/>
      <c r="K91" s="93"/>
      <c r="L91" s="94"/>
      <c r="M91" s="94"/>
      <c r="N91" s="94"/>
      <c r="O91" s="94"/>
      <c r="P91" s="94"/>
      <c r="Q91" s="94"/>
      <c r="R91" s="94"/>
      <c r="S91" s="94"/>
      <c r="T91" s="156">
        <v>0</v>
      </c>
      <c r="U91" s="152">
        <v>0</v>
      </c>
      <c r="V91" s="151">
        <v>0</v>
      </c>
      <c r="W91" s="151">
        <v>0</v>
      </c>
      <c r="X91" s="151"/>
      <c r="Y91" s="8" t="s">
        <v>1001</v>
      </c>
    </row>
    <row r="92" spans="1:25" ht="30" customHeight="1">
      <c r="A92">
        <v>86</v>
      </c>
      <c r="B92" s="118" t="s">
        <v>849</v>
      </c>
      <c r="C92" s="85" t="s">
        <v>1019</v>
      </c>
      <c r="D92" s="86" t="s">
        <v>835</v>
      </c>
      <c r="E92" s="86" t="s">
        <v>283</v>
      </c>
      <c r="F92" s="86" t="s">
        <v>1067</v>
      </c>
      <c r="G92" s="86">
        <v>0</v>
      </c>
      <c r="H92" s="86" t="e">
        <v>#N/A</v>
      </c>
      <c r="I92" s="86" t="e">
        <v>#N/A</v>
      </c>
      <c r="J92" s="97"/>
      <c r="K92" s="93"/>
      <c r="L92" s="94"/>
      <c r="M92" s="94"/>
      <c r="N92" s="94"/>
      <c r="O92" s="94"/>
      <c r="P92" s="94"/>
      <c r="Q92" s="94"/>
      <c r="R92" s="94"/>
      <c r="S92" s="94"/>
      <c r="T92" s="156">
        <v>0</v>
      </c>
      <c r="U92" s="152">
        <v>0</v>
      </c>
      <c r="V92" s="151">
        <v>0</v>
      </c>
      <c r="W92" s="151">
        <v>0</v>
      </c>
      <c r="X92" s="151"/>
      <c r="Y92" s="8" t="s">
        <v>1001</v>
      </c>
    </row>
    <row r="93" spans="1:25" ht="30" customHeight="1">
      <c r="A93">
        <v>87</v>
      </c>
      <c r="B93" s="118" t="s">
        <v>862</v>
      </c>
      <c r="C93" s="85" t="s">
        <v>1020</v>
      </c>
      <c r="D93" s="86" t="s">
        <v>122</v>
      </c>
      <c r="E93" s="86" t="s">
        <v>283</v>
      </c>
      <c r="F93" s="86" t="s">
        <v>935</v>
      </c>
      <c r="G93" s="86">
        <v>0</v>
      </c>
      <c r="H93" s="86" t="e">
        <v>#N/A</v>
      </c>
      <c r="I93" s="86" t="e">
        <v>#N/A</v>
      </c>
      <c r="J93" s="97"/>
      <c r="K93" s="93"/>
      <c r="L93" s="94"/>
      <c r="M93" s="94"/>
      <c r="N93" s="94"/>
      <c r="O93" s="94"/>
      <c r="P93" s="94"/>
      <c r="Q93" s="94"/>
      <c r="R93" s="94"/>
      <c r="S93" s="94"/>
      <c r="T93" s="156">
        <v>0</v>
      </c>
      <c r="U93" s="152">
        <v>0</v>
      </c>
      <c r="V93" s="151">
        <v>0</v>
      </c>
      <c r="W93" s="151">
        <v>0</v>
      </c>
      <c r="X93" s="151"/>
      <c r="Y93" s="8" t="s">
        <v>999</v>
      </c>
    </row>
    <row r="94" spans="1:25" ht="30" customHeight="1">
      <c r="A94">
        <v>88</v>
      </c>
      <c r="B94" s="87" t="s">
        <v>885</v>
      </c>
      <c r="C94" s="85" t="s">
        <v>886</v>
      </c>
      <c r="D94" s="86" t="s">
        <v>122</v>
      </c>
      <c r="E94" s="86" t="s">
        <v>283</v>
      </c>
      <c r="F94" s="86" t="s">
        <v>1067</v>
      </c>
      <c r="G94" s="86">
        <v>0</v>
      </c>
      <c r="H94" s="86" t="e">
        <v>#N/A</v>
      </c>
      <c r="I94" s="86" t="e">
        <v>#N/A</v>
      </c>
      <c r="J94" s="97"/>
      <c r="K94" s="93"/>
      <c r="L94" s="94"/>
      <c r="M94" s="94"/>
      <c r="N94" s="94"/>
      <c r="O94" s="94"/>
      <c r="P94" s="94"/>
      <c r="Q94" s="94"/>
      <c r="R94" s="94"/>
      <c r="S94" s="94"/>
      <c r="T94" s="156">
        <v>0</v>
      </c>
      <c r="U94" s="152">
        <v>0</v>
      </c>
      <c r="V94" s="151">
        <v>0</v>
      </c>
      <c r="W94" s="151">
        <v>0</v>
      </c>
      <c r="X94" s="151"/>
      <c r="Y94" s="8" t="s">
        <v>1001</v>
      </c>
    </row>
    <row r="95" spans="1:25" ht="30" customHeight="1">
      <c r="A95">
        <v>89</v>
      </c>
      <c r="B95" s="87" t="s">
        <v>929</v>
      </c>
      <c r="C95" s="85" t="s">
        <v>1021</v>
      </c>
      <c r="D95" s="86" t="s">
        <v>835</v>
      </c>
      <c r="E95" s="86" t="s">
        <v>283</v>
      </c>
      <c r="F95" s="86" t="s">
        <v>1067</v>
      </c>
      <c r="G95" s="86">
        <v>0</v>
      </c>
      <c r="H95" s="86" t="e">
        <v>#N/A</v>
      </c>
      <c r="I95" s="86" t="e">
        <v>#N/A</v>
      </c>
      <c r="J95" s="97"/>
      <c r="K95" s="93"/>
      <c r="L95" s="94"/>
      <c r="M95" s="94"/>
      <c r="N95" s="94"/>
      <c r="O95" s="94"/>
      <c r="P95" s="94"/>
      <c r="Q95" s="94"/>
      <c r="R95" s="94"/>
      <c r="S95" s="94"/>
      <c r="T95" s="156">
        <v>0</v>
      </c>
      <c r="U95" s="152">
        <v>0</v>
      </c>
      <c r="V95" s="151">
        <v>0</v>
      </c>
      <c r="W95" s="151">
        <v>0</v>
      </c>
      <c r="X95" s="151"/>
      <c r="Y95" s="8" t="s">
        <v>1001</v>
      </c>
    </row>
    <row r="96" spans="1:25" ht="30" customHeight="1">
      <c r="A96">
        <v>90</v>
      </c>
      <c r="B96" s="87" t="s">
        <v>930</v>
      </c>
      <c r="C96" s="85" t="s">
        <v>1022</v>
      </c>
      <c r="D96" s="86" t="s">
        <v>835</v>
      </c>
      <c r="E96" s="86" t="s">
        <v>283</v>
      </c>
      <c r="F96" s="86" t="s">
        <v>1067</v>
      </c>
      <c r="G96" s="86">
        <v>0</v>
      </c>
      <c r="H96" s="86" t="e">
        <v>#N/A</v>
      </c>
      <c r="I96" s="86" t="e">
        <v>#N/A</v>
      </c>
      <c r="J96" s="97"/>
      <c r="K96" s="93"/>
      <c r="L96" s="94"/>
      <c r="M96" s="94"/>
      <c r="N96" s="94"/>
      <c r="O96" s="94"/>
      <c r="P96" s="94"/>
      <c r="Q96" s="94"/>
      <c r="R96" s="94"/>
      <c r="S96" s="94"/>
      <c r="T96" s="156">
        <v>0</v>
      </c>
      <c r="U96" s="152">
        <v>0</v>
      </c>
      <c r="V96" s="151">
        <v>0</v>
      </c>
      <c r="W96" s="151">
        <v>0</v>
      </c>
      <c r="X96" s="151"/>
      <c r="Y96" s="8" t="s">
        <v>1001</v>
      </c>
    </row>
    <row r="97" spans="1:25" ht="30" customHeight="1">
      <c r="A97">
        <v>91</v>
      </c>
      <c r="B97" s="87" t="s">
        <v>958</v>
      </c>
      <c r="C97" s="85" t="s">
        <v>1023</v>
      </c>
      <c r="D97" s="86" t="s">
        <v>132</v>
      </c>
      <c r="E97" s="86" t="s">
        <v>283</v>
      </c>
      <c r="F97" s="86" t="s">
        <v>1067</v>
      </c>
      <c r="G97" s="86">
        <v>0</v>
      </c>
      <c r="H97" s="86" t="e">
        <v>#N/A</v>
      </c>
      <c r="I97" s="86" t="e">
        <v>#N/A</v>
      </c>
      <c r="J97" s="97">
        <v>0</v>
      </c>
      <c r="K97" s="93">
        <v>0</v>
      </c>
      <c r="L97" s="94">
        <v>0</v>
      </c>
      <c r="M97" s="94">
        <v>0</v>
      </c>
      <c r="N97" s="94">
        <v>0</v>
      </c>
      <c r="O97" s="94">
        <v>0</v>
      </c>
      <c r="P97" s="94">
        <v>0</v>
      </c>
      <c r="Q97" s="94">
        <v>0</v>
      </c>
      <c r="R97" s="94">
        <v>0</v>
      </c>
      <c r="S97" s="94">
        <v>0</v>
      </c>
      <c r="T97" s="156">
        <v>0</v>
      </c>
      <c r="U97" s="152">
        <v>0</v>
      </c>
      <c r="V97" s="151">
        <v>0</v>
      </c>
      <c r="W97" s="151">
        <v>0</v>
      </c>
      <c r="X97" s="151"/>
      <c r="Y97" s="8" t="s">
        <v>1001</v>
      </c>
    </row>
    <row r="98" spans="1:25" ht="30" customHeight="1">
      <c r="A98">
        <v>92</v>
      </c>
      <c r="B98" s="87" t="s">
        <v>983</v>
      </c>
      <c r="C98" s="85" t="s">
        <v>1024</v>
      </c>
      <c r="D98" s="86" t="s">
        <v>125</v>
      </c>
      <c r="E98" s="86" t="s">
        <v>283</v>
      </c>
      <c r="F98" s="86" t="s">
        <v>1067</v>
      </c>
      <c r="G98" s="86">
        <v>0</v>
      </c>
      <c r="H98" s="86" t="e">
        <v>#N/A</v>
      </c>
      <c r="I98" s="86" t="e">
        <v>#N/A</v>
      </c>
      <c r="J98" s="97">
        <v>0</v>
      </c>
      <c r="K98" s="93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156">
        <v>0</v>
      </c>
      <c r="U98" s="152">
        <v>0</v>
      </c>
      <c r="V98" s="151">
        <v>0</v>
      </c>
      <c r="W98" s="151">
        <v>0</v>
      </c>
      <c r="X98" s="151"/>
      <c r="Y98" s="8" t="s">
        <v>1001</v>
      </c>
    </row>
    <row r="99" spans="1:25" ht="30" customHeight="1">
      <c r="A99">
        <v>93</v>
      </c>
      <c r="B99" s="87" t="s">
        <v>984</v>
      </c>
      <c r="C99" s="85" t="s">
        <v>1025</v>
      </c>
      <c r="D99" s="86" t="s">
        <v>132</v>
      </c>
      <c r="E99" s="86" t="s">
        <v>283</v>
      </c>
      <c r="F99" s="86" t="s">
        <v>1067</v>
      </c>
      <c r="G99" s="86">
        <v>0</v>
      </c>
      <c r="H99" s="86" t="e">
        <v>#N/A</v>
      </c>
      <c r="I99" s="86" t="e">
        <v>#N/A</v>
      </c>
      <c r="J99" s="97">
        <v>0</v>
      </c>
      <c r="K99" s="93">
        <v>0</v>
      </c>
      <c r="L99" s="94">
        <v>0</v>
      </c>
      <c r="M99" s="94">
        <v>0</v>
      </c>
      <c r="N99" s="94">
        <v>0</v>
      </c>
      <c r="O99" s="94">
        <v>0</v>
      </c>
      <c r="P99" s="94">
        <v>0</v>
      </c>
      <c r="Q99" s="94">
        <v>0</v>
      </c>
      <c r="R99" s="94">
        <v>0</v>
      </c>
      <c r="S99" s="94">
        <v>0</v>
      </c>
      <c r="T99" s="156">
        <v>0</v>
      </c>
      <c r="U99" s="152">
        <v>0</v>
      </c>
      <c r="V99" s="151">
        <v>0</v>
      </c>
      <c r="W99" s="151">
        <v>0</v>
      </c>
      <c r="X99" s="151"/>
      <c r="Y99" s="8" t="s">
        <v>1001</v>
      </c>
    </row>
    <row r="100" spans="1:25" ht="30" customHeight="1">
      <c r="A100">
        <v>94</v>
      </c>
      <c r="B100" s="87" t="s">
        <v>1074</v>
      </c>
      <c r="C100" s="85" t="s">
        <v>1075</v>
      </c>
      <c r="D100" s="86" t="s">
        <v>122</v>
      </c>
      <c r="E100" s="86" t="s">
        <v>283</v>
      </c>
      <c r="F100" s="86" t="s">
        <v>1067</v>
      </c>
      <c r="G100" s="86">
        <v>0</v>
      </c>
      <c r="H100" s="86" t="e">
        <v>#N/A</v>
      </c>
      <c r="I100" s="86" t="e">
        <v>#N/A</v>
      </c>
      <c r="J100" s="97">
        <v>0</v>
      </c>
      <c r="K100" s="93">
        <v>0</v>
      </c>
      <c r="L100" s="94">
        <v>0</v>
      </c>
      <c r="M100" s="94">
        <v>0</v>
      </c>
      <c r="N100" s="94">
        <v>0</v>
      </c>
      <c r="O100" s="94">
        <v>0</v>
      </c>
      <c r="P100" s="94">
        <v>0</v>
      </c>
      <c r="Q100" s="94">
        <v>0</v>
      </c>
      <c r="R100" s="94">
        <v>0</v>
      </c>
      <c r="S100" s="94">
        <v>0</v>
      </c>
      <c r="T100" s="156">
        <v>0</v>
      </c>
      <c r="U100" s="152">
        <v>0</v>
      </c>
      <c r="V100" s="151">
        <v>0</v>
      </c>
      <c r="W100" s="151">
        <v>0</v>
      </c>
      <c r="X100" s="151"/>
      <c r="Y100" s="8"/>
    </row>
    <row r="101" spans="1:25" ht="30" customHeight="1">
      <c r="A101">
        <v>95</v>
      </c>
      <c r="B101" s="87" t="s">
        <v>1076</v>
      </c>
      <c r="C101" s="85" t="s">
        <v>1077</v>
      </c>
      <c r="D101" s="86" t="s">
        <v>132</v>
      </c>
      <c r="E101" s="86" t="s">
        <v>283</v>
      </c>
      <c r="F101" s="86" t="s">
        <v>1067</v>
      </c>
      <c r="G101" s="86">
        <v>0</v>
      </c>
      <c r="H101" s="86" t="e">
        <v>#N/A</v>
      </c>
      <c r="I101" s="86" t="e">
        <v>#N/A</v>
      </c>
      <c r="J101" s="97">
        <v>0</v>
      </c>
      <c r="K101" s="93">
        <v>0</v>
      </c>
      <c r="L101" s="94">
        <v>0</v>
      </c>
      <c r="M101" s="94">
        <v>0</v>
      </c>
      <c r="N101" s="94">
        <v>0</v>
      </c>
      <c r="O101" s="94">
        <v>0</v>
      </c>
      <c r="P101" s="94">
        <v>0</v>
      </c>
      <c r="Q101" s="94">
        <v>0</v>
      </c>
      <c r="R101" s="94">
        <v>0</v>
      </c>
      <c r="S101" s="94">
        <v>0</v>
      </c>
      <c r="T101" s="156">
        <v>0</v>
      </c>
      <c r="U101" s="152">
        <v>0</v>
      </c>
      <c r="V101" s="151">
        <v>0</v>
      </c>
      <c r="W101" s="151">
        <v>0</v>
      </c>
      <c r="X101" s="151"/>
      <c r="Y101" s="8"/>
    </row>
    <row r="102" spans="1:25" ht="30" customHeight="1">
      <c r="A102">
        <v>96</v>
      </c>
      <c r="B102" s="87" t="s">
        <v>1078</v>
      </c>
      <c r="C102" s="85" t="s">
        <v>1080</v>
      </c>
      <c r="D102" s="86" t="s">
        <v>132</v>
      </c>
      <c r="E102" s="86" t="s">
        <v>283</v>
      </c>
      <c r="F102" s="86" t="s">
        <v>1067</v>
      </c>
      <c r="G102" s="86">
        <v>0</v>
      </c>
      <c r="H102" s="86" t="e">
        <v>#N/A</v>
      </c>
      <c r="I102" s="86" t="e">
        <v>#N/A</v>
      </c>
      <c r="J102" s="97">
        <v>0</v>
      </c>
      <c r="K102" s="93">
        <v>0</v>
      </c>
      <c r="L102" s="94">
        <v>0</v>
      </c>
      <c r="M102" s="94">
        <v>0</v>
      </c>
      <c r="N102" s="94">
        <v>0</v>
      </c>
      <c r="O102" s="94">
        <v>0</v>
      </c>
      <c r="P102" s="94">
        <v>0</v>
      </c>
      <c r="Q102" s="94">
        <v>0</v>
      </c>
      <c r="R102" s="94">
        <v>0</v>
      </c>
      <c r="S102" s="94">
        <v>0</v>
      </c>
      <c r="T102" s="156">
        <v>0</v>
      </c>
      <c r="U102" s="152">
        <v>0</v>
      </c>
      <c r="V102" s="151">
        <v>0</v>
      </c>
      <c r="W102" s="151">
        <v>0</v>
      </c>
      <c r="X102" s="151"/>
      <c r="Y102" s="8"/>
    </row>
    <row r="103" spans="1:25" ht="30" customHeight="1">
      <c r="A103">
        <v>97</v>
      </c>
      <c r="B103" s="87" t="s">
        <v>1105</v>
      </c>
      <c r="C103" s="85" t="s">
        <v>1112</v>
      </c>
      <c r="D103" s="86" t="s">
        <v>132</v>
      </c>
      <c r="E103" s="86" t="s">
        <v>283</v>
      </c>
      <c r="F103" s="86" t="s">
        <v>1067</v>
      </c>
      <c r="G103" s="86">
        <v>0</v>
      </c>
      <c r="H103" s="86" t="e">
        <v>#N/A</v>
      </c>
      <c r="I103" s="86" t="e">
        <v>#N/A</v>
      </c>
      <c r="J103" s="97">
        <v>0</v>
      </c>
      <c r="K103" s="93">
        <v>0</v>
      </c>
      <c r="L103" s="94">
        <v>0</v>
      </c>
      <c r="M103" s="94">
        <v>0</v>
      </c>
      <c r="N103" s="94">
        <v>0</v>
      </c>
      <c r="O103" s="94">
        <v>0</v>
      </c>
      <c r="P103" s="94">
        <v>0</v>
      </c>
      <c r="Q103" s="94">
        <v>0</v>
      </c>
      <c r="R103" s="94">
        <v>0</v>
      </c>
      <c r="S103" s="94">
        <v>0</v>
      </c>
      <c r="T103" s="156">
        <v>0</v>
      </c>
      <c r="U103" s="152">
        <v>0</v>
      </c>
      <c r="V103" s="151">
        <v>0</v>
      </c>
      <c r="W103" s="151">
        <v>0</v>
      </c>
      <c r="X103" s="151"/>
      <c r="Y103" s="8"/>
    </row>
    <row r="104" spans="1:25" ht="30" customHeight="1">
      <c r="A104">
        <v>98</v>
      </c>
      <c r="B104" s="87" t="s">
        <v>1141</v>
      </c>
      <c r="C104" s="85" t="s">
        <v>1142</v>
      </c>
      <c r="D104" s="86" t="s">
        <v>132</v>
      </c>
      <c r="E104" s="86" t="s">
        <v>283</v>
      </c>
      <c r="F104" s="86" t="s">
        <v>1067</v>
      </c>
      <c r="G104" s="86">
        <v>0</v>
      </c>
      <c r="H104" s="86" t="e">
        <v>#N/A</v>
      </c>
      <c r="I104" s="86" t="e">
        <v>#N/A</v>
      </c>
      <c r="J104" s="97">
        <v>0</v>
      </c>
      <c r="K104" s="93">
        <v>0</v>
      </c>
      <c r="L104" s="94">
        <v>0</v>
      </c>
      <c r="M104" s="94">
        <v>0</v>
      </c>
      <c r="N104" s="94">
        <v>0</v>
      </c>
      <c r="O104" s="94">
        <v>0</v>
      </c>
      <c r="P104" s="94">
        <v>0</v>
      </c>
      <c r="Q104" s="94">
        <v>0</v>
      </c>
      <c r="R104" s="94">
        <v>0</v>
      </c>
      <c r="S104" s="94">
        <v>0</v>
      </c>
      <c r="T104" s="156">
        <v>0</v>
      </c>
      <c r="U104" s="152">
        <v>0</v>
      </c>
      <c r="V104" s="151">
        <v>0</v>
      </c>
      <c r="W104" s="151">
        <v>0</v>
      </c>
      <c r="X104" s="151"/>
      <c r="Y104" s="8"/>
    </row>
    <row r="105" spans="1:25" ht="30" customHeight="1">
      <c r="A105">
        <v>99</v>
      </c>
      <c r="B105" s="87" t="s">
        <v>370</v>
      </c>
      <c r="C105" s="85" t="s">
        <v>1026</v>
      </c>
      <c r="D105" s="86" t="s">
        <v>125</v>
      </c>
      <c r="E105" s="86" t="s">
        <v>283</v>
      </c>
      <c r="F105" s="86" t="s">
        <v>1067</v>
      </c>
      <c r="G105" s="86" t="s">
        <v>714</v>
      </c>
      <c r="H105" s="86" t="s">
        <v>290</v>
      </c>
      <c r="I105" s="86" t="s">
        <v>785</v>
      </c>
      <c r="J105" s="97">
        <v>0</v>
      </c>
      <c r="K105" s="93">
        <v>0</v>
      </c>
      <c r="L105" s="94">
        <v>0</v>
      </c>
      <c r="M105" s="94">
        <v>0</v>
      </c>
      <c r="N105" s="94">
        <v>0</v>
      </c>
      <c r="O105" s="94">
        <v>0</v>
      </c>
      <c r="P105" s="94">
        <v>0</v>
      </c>
      <c r="Q105" s="94">
        <v>0</v>
      </c>
      <c r="R105" s="94">
        <v>0</v>
      </c>
      <c r="S105" s="94">
        <v>0</v>
      </c>
      <c r="T105" s="156">
        <v>0</v>
      </c>
      <c r="U105" s="152">
        <v>0</v>
      </c>
      <c r="V105" s="151">
        <v>0</v>
      </c>
      <c r="W105" s="151">
        <v>0</v>
      </c>
      <c r="X105" s="151"/>
      <c r="Y105" s="8" t="s">
        <v>1002</v>
      </c>
    </row>
    <row r="106" spans="1:25" ht="30" customHeight="1">
      <c r="A106">
        <v>100</v>
      </c>
      <c r="B106" s="87" t="s">
        <v>371</v>
      </c>
      <c r="C106" s="85" t="s">
        <v>579</v>
      </c>
      <c r="D106" s="86" t="s">
        <v>122</v>
      </c>
      <c r="E106" s="86" t="s">
        <v>283</v>
      </c>
      <c r="F106" s="86" t="s">
        <v>1067</v>
      </c>
      <c r="G106" s="86" t="s">
        <v>717</v>
      </c>
      <c r="H106" s="86" t="s">
        <v>293</v>
      </c>
      <c r="I106" s="86" t="s">
        <v>788</v>
      </c>
      <c r="J106" s="97">
        <v>0</v>
      </c>
      <c r="K106" s="93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156">
        <v>0</v>
      </c>
      <c r="U106" s="152">
        <v>0</v>
      </c>
      <c r="V106" s="151">
        <v>0</v>
      </c>
      <c r="W106" s="151">
        <v>0</v>
      </c>
      <c r="X106" s="151"/>
      <c r="Y106" s="8" t="s">
        <v>1001</v>
      </c>
    </row>
    <row r="107" spans="1:25" ht="30" customHeight="1">
      <c r="A107">
        <v>101</v>
      </c>
      <c r="B107" s="87" t="s">
        <v>372</v>
      </c>
      <c r="C107" s="85" t="s">
        <v>580</v>
      </c>
      <c r="D107" s="86" t="s">
        <v>140</v>
      </c>
      <c r="E107" s="86" t="s">
        <v>283</v>
      </c>
      <c r="F107" s="86" t="s">
        <v>1067</v>
      </c>
      <c r="G107" s="86">
        <v>0</v>
      </c>
      <c r="H107" s="86" t="e">
        <v>#N/A</v>
      </c>
      <c r="I107" s="86" t="e">
        <v>#N/A</v>
      </c>
      <c r="J107" s="97">
        <v>0</v>
      </c>
      <c r="K107" s="93">
        <v>0</v>
      </c>
      <c r="L107" s="94">
        <v>0</v>
      </c>
      <c r="M107" s="94">
        <v>0</v>
      </c>
      <c r="N107" s="94">
        <v>0</v>
      </c>
      <c r="O107" s="94">
        <v>0</v>
      </c>
      <c r="P107" s="94">
        <v>0</v>
      </c>
      <c r="Q107" s="94">
        <v>0</v>
      </c>
      <c r="R107" s="94">
        <v>0</v>
      </c>
      <c r="S107" s="94">
        <v>0</v>
      </c>
      <c r="T107" s="156">
        <v>0</v>
      </c>
      <c r="U107" s="152">
        <v>0</v>
      </c>
      <c r="V107" s="151">
        <v>0</v>
      </c>
      <c r="W107" s="151">
        <v>0</v>
      </c>
      <c r="X107" s="151"/>
      <c r="Y107" s="8" t="s">
        <v>1002</v>
      </c>
    </row>
    <row r="108" spans="1:25" ht="30" customHeight="1">
      <c r="A108">
        <v>102</v>
      </c>
      <c r="B108" s="87" t="s">
        <v>373</v>
      </c>
      <c r="C108" s="85" t="s">
        <v>581</v>
      </c>
      <c r="D108" s="86" t="s">
        <v>1157</v>
      </c>
      <c r="E108" s="86" t="s">
        <v>283</v>
      </c>
      <c r="F108" s="86" t="s">
        <v>1067</v>
      </c>
      <c r="G108" s="86" t="s">
        <v>717</v>
      </c>
      <c r="H108" s="86" t="s">
        <v>293</v>
      </c>
      <c r="I108" s="86" t="s">
        <v>788</v>
      </c>
      <c r="J108" s="97">
        <v>0</v>
      </c>
      <c r="K108" s="93">
        <v>0</v>
      </c>
      <c r="L108" s="94">
        <v>0</v>
      </c>
      <c r="M108" s="94">
        <v>0</v>
      </c>
      <c r="N108" s="94">
        <v>0</v>
      </c>
      <c r="O108" s="94">
        <v>0</v>
      </c>
      <c r="P108" s="94">
        <v>0</v>
      </c>
      <c r="Q108" s="94">
        <v>0</v>
      </c>
      <c r="R108" s="94">
        <v>0</v>
      </c>
      <c r="S108" s="94">
        <v>0</v>
      </c>
      <c r="T108" s="156">
        <v>0</v>
      </c>
      <c r="U108" s="152">
        <v>0</v>
      </c>
      <c r="V108" s="151">
        <v>0</v>
      </c>
      <c r="W108" s="151">
        <v>0</v>
      </c>
      <c r="X108" s="151"/>
      <c r="Y108" s="8" t="s">
        <v>1001</v>
      </c>
    </row>
    <row r="109" spans="1:25" ht="30" customHeight="1">
      <c r="A109">
        <v>103</v>
      </c>
      <c r="B109" s="87" t="s">
        <v>374</v>
      </c>
      <c r="C109" s="85" t="s">
        <v>582</v>
      </c>
      <c r="D109" s="86" t="s">
        <v>132</v>
      </c>
      <c r="E109" s="86" t="s">
        <v>283</v>
      </c>
      <c r="F109" s="86" t="s">
        <v>1067</v>
      </c>
      <c r="G109" s="86" t="s">
        <v>714</v>
      </c>
      <c r="H109" s="86" t="s">
        <v>290</v>
      </c>
      <c r="I109" s="86" t="s">
        <v>785</v>
      </c>
      <c r="J109" s="97">
        <v>0</v>
      </c>
      <c r="K109" s="93">
        <v>0</v>
      </c>
      <c r="L109" s="94">
        <v>0</v>
      </c>
      <c r="M109" s="94">
        <v>0</v>
      </c>
      <c r="N109" s="94">
        <v>0</v>
      </c>
      <c r="O109" s="94">
        <v>0</v>
      </c>
      <c r="P109" s="94">
        <v>0</v>
      </c>
      <c r="Q109" s="94">
        <v>0</v>
      </c>
      <c r="R109" s="94">
        <v>0</v>
      </c>
      <c r="S109" s="94">
        <v>0</v>
      </c>
      <c r="T109" s="156">
        <v>13.7</v>
      </c>
      <c r="U109" s="152">
        <v>0</v>
      </c>
      <c r="V109" s="151">
        <v>0</v>
      </c>
      <c r="W109" s="151">
        <v>0</v>
      </c>
      <c r="X109" s="151">
        <v>13.7</v>
      </c>
      <c r="Y109" s="8" t="s">
        <v>1002</v>
      </c>
    </row>
    <row r="110" spans="1:25" ht="30" customHeight="1">
      <c r="A110">
        <v>104</v>
      </c>
      <c r="B110" s="87" t="s">
        <v>375</v>
      </c>
      <c r="C110" s="85" t="s">
        <v>583</v>
      </c>
      <c r="D110" s="86" t="s">
        <v>140</v>
      </c>
      <c r="E110" s="86" t="s">
        <v>283</v>
      </c>
      <c r="F110" s="86" t="s">
        <v>1067</v>
      </c>
      <c r="G110" s="86" t="s">
        <v>714</v>
      </c>
      <c r="H110" s="86" t="s">
        <v>290</v>
      </c>
      <c r="I110" s="86" t="s">
        <v>785</v>
      </c>
      <c r="J110" s="97">
        <v>0</v>
      </c>
      <c r="K110" s="93">
        <v>0</v>
      </c>
      <c r="L110" s="94">
        <v>0</v>
      </c>
      <c r="M110" s="94">
        <v>0</v>
      </c>
      <c r="N110" s="94">
        <v>0</v>
      </c>
      <c r="O110" s="94">
        <v>0</v>
      </c>
      <c r="P110" s="94">
        <v>0</v>
      </c>
      <c r="Q110" s="94">
        <v>0</v>
      </c>
      <c r="R110" s="94">
        <v>0</v>
      </c>
      <c r="S110" s="94">
        <v>0</v>
      </c>
      <c r="T110" s="156">
        <v>15.8</v>
      </c>
      <c r="U110" s="152">
        <v>0</v>
      </c>
      <c r="V110" s="151">
        <v>0</v>
      </c>
      <c r="W110" s="151">
        <v>0</v>
      </c>
      <c r="X110" s="151">
        <v>15.8</v>
      </c>
      <c r="Y110" s="8" t="s">
        <v>1002</v>
      </c>
    </row>
    <row r="111" spans="1:25" ht="30" customHeight="1">
      <c r="A111">
        <v>105</v>
      </c>
      <c r="B111" s="84" t="s">
        <v>376</v>
      </c>
      <c r="C111" s="85" t="s">
        <v>584</v>
      </c>
      <c r="D111" s="86" t="s">
        <v>125</v>
      </c>
      <c r="E111" s="86" t="s">
        <v>283</v>
      </c>
      <c r="F111" s="86" t="s">
        <v>1067</v>
      </c>
      <c r="G111" s="86" t="s">
        <v>717</v>
      </c>
      <c r="H111" s="86" t="s">
        <v>293</v>
      </c>
      <c r="I111" s="86" t="s">
        <v>788</v>
      </c>
      <c r="J111" s="97">
        <v>0</v>
      </c>
      <c r="K111" s="93">
        <v>0</v>
      </c>
      <c r="L111" s="94">
        <v>0</v>
      </c>
      <c r="M111" s="94">
        <v>0</v>
      </c>
      <c r="N111" s="94">
        <v>0</v>
      </c>
      <c r="O111" s="94">
        <v>0</v>
      </c>
      <c r="P111" s="94">
        <v>0</v>
      </c>
      <c r="Q111" s="94">
        <v>0</v>
      </c>
      <c r="R111" s="94">
        <v>0</v>
      </c>
      <c r="S111" s="94">
        <v>0</v>
      </c>
      <c r="T111" s="156">
        <v>0</v>
      </c>
      <c r="U111" s="152">
        <v>0</v>
      </c>
      <c r="V111" s="151">
        <v>0</v>
      </c>
      <c r="W111" s="151">
        <v>0</v>
      </c>
      <c r="X111" s="151"/>
      <c r="Y111" s="8" t="s">
        <v>1001</v>
      </c>
    </row>
    <row r="112" spans="1:25" ht="30" customHeight="1">
      <c r="A112">
        <v>106</v>
      </c>
      <c r="B112" s="87" t="s">
        <v>377</v>
      </c>
      <c r="C112" s="85" t="s">
        <v>794</v>
      </c>
      <c r="D112" s="86" t="s">
        <v>140</v>
      </c>
      <c r="E112" s="86" t="s">
        <v>283</v>
      </c>
      <c r="F112" s="86" t="s">
        <v>1067</v>
      </c>
      <c r="G112" s="86" t="s">
        <v>717</v>
      </c>
      <c r="H112" s="86" t="s">
        <v>293</v>
      </c>
      <c r="I112" s="86" t="s">
        <v>788</v>
      </c>
      <c r="J112" s="97">
        <v>0</v>
      </c>
      <c r="K112" s="93">
        <v>0</v>
      </c>
      <c r="L112" s="94">
        <v>0</v>
      </c>
      <c r="M112" s="94">
        <v>0</v>
      </c>
      <c r="N112" s="94">
        <v>0</v>
      </c>
      <c r="O112" s="94">
        <v>0</v>
      </c>
      <c r="P112" s="94">
        <v>0</v>
      </c>
      <c r="Q112" s="94">
        <v>0</v>
      </c>
      <c r="R112" s="94">
        <v>0</v>
      </c>
      <c r="S112" s="94">
        <v>0</v>
      </c>
      <c r="T112" s="156">
        <v>0</v>
      </c>
      <c r="U112" s="152">
        <v>0</v>
      </c>
      <c r="V112" s="151">
        <v>0</v>
      </c>
      <c r="W112" s="151">
        <v>0</v>
      </c>
      <c r="X112" s="151"/>
      <c r="Y112" s="8" t="s">
        <v>1001</v>
      </c>
    </row>
    <row r="113" spans="1:25" ht="30" customHeight="1">
      <c r="A113">
        <v>107</v>
      </c>
      <c r="B113" s="87" t="s">
        <v>378</v>
      </c>
      <c r="C113" s="85" t="s">
        <v>585</v>
      </c>
      <c r="D113" s="86" t="s">
        <v>1156</v>
      </c>
      <c r="E113" s="86" t="s">
        <v>283</v>
      </c>
      <c r="F113" s="86" t="s">
        <v>1067</v>
      </c>
      <c r="G113" s="86" t="s">
        <v>717</v>
      </c>
      <c r="H113" s="86" t="s">
        <v>293</v>
      </c>
      <c r="I113" s="86" t="s">
        <v>788</v>
      </c>
      <c r="J113" s="97">
        <v>0</v>
      </c>
      <c r="K113" s="93">
        <v>0</v>
      </c>
      <c r="L113" s="94">
        <v>0</v>
      </c>
      <c r="M113" s="94">
        <v>0</v>
      </c>
      <c r="N113" s="94">
        <v>0</v>
      </c>
      <c r="O113" s="94">
        <v>0</v>
      </c>
      <c r="P113" s="94">
        <v>0</v>
      </c>
      <c r="Q113" s="94">
        <v>0</v>
      </c>
      <c r="R113" s="94">
        <v>0</v>
      </c>
      <c r="S113" s="94">
        <v>0</v>
      </c>
      <c r="T113" s="156">
        <v>0</v>
      </c>
      <c r="U113" s="152">
        <v>0</v>
      </c>
      <c r="V113" s="151">
        <v>0</v>
      </c>
      <c r="W113" s="151">
        <v>0</v>
      </c>
      <c r="X113" s="151"/>
      <c r="Y113" s="8" t="s">
        <v>1001</v>
      </c>
    </row>
    <row r="114" spans="1:25" ht="30" customHeight="1">
      <c r="A114">
        <v>108</v>
      </c>
      <c r="B114" s="87" t="s">
        <v>379</v>
      </c>
      <c r="C114" s="85" t="s">
        <v>586</v>
      </c>
      <c r="D114" s="86" t="s">
        <v>132</v>
      </c>
      <c r="E114" s="86" t="s">
        <v>283</v>
      </c>
      <c r="F114" s="86" t="s">
        <v>1067</v>
      </c>
      <c r="G114" s="86" t="s">
        <v>717</v>
      </c>
      <c r="H114" s="86" t="s">
        <v>293</v>
      </c>
      <c r="I114" s="86" t="s">
        <v>788</v>
      </c>
      <c r="J114" s="97">
        <v>0</v>
      </c>
      <c r="K114" s="93">
        <v>0</v>
      </c>
      <c r="L114" s="94">
        <v>0</v>
      </c>
      <c r="M114" s="94">
        <v>0</v>
      </c>
      <c r="N114" s="94">
        <v>0</v>
      </c>
      <c r="O114" s="94">
        <v>0</v>
      </c>
      <c r="P114" s="94">
        <v>0</v>
      </c>
      <c r="Q114" s="94">
        <v>0</v>
      </c>
      <c r="R114" s="94">
        <v>0</v>
      </c>
      <c r="S114" s="94">
        <v>0</v>
      </c>
      <c r="T114" s="156">
        <v>0</v>
      </c>
      <c r="U114" s="152">
        <v>0</v>
      </c>
      <c r="V114" s="151">
        <v>0</v>
      </c>
      <c r="W114" s="151">
        <v>0</v>
      </c>
      <c r="X114" s="151"/>
      <c r="Y114" s="8">
        <v>0</v>
      </c>
    </row>
    <row r="115" spans="1:25" ht="30" customHeight="1">
      <c r="A115">
        <v>109</v>
      </c>
      <c r="B115" s="84" t="s">
        <v>380</v>
      </c>
      <c r="C115" s="85" t="s">
        <v>587</v>
      </c>
      <c r="D115" s="86" t="s">
        <v>728</v>
      </c>
      <c r="E115" s="86" t="s">
        <v>283</v>
      </c>
      <c r="F115" s="86" t="s">
        <v>1067</v>
      </c>
      <c r="G115" s="86" t="s">
        <v>717</v>
      </c>
      <c r="H115" s="86" t="s">
        <v>293</v>
      </c>
      <c r="I115" s="86" t="s">
        <v>788</v>
      </c>
      <c r="J115" s="97">
        <v>0</v>
      </c>
      <c r="K115" s="93">
        <v>0</v>
      </c>
      <c r="L115" s="94">
        <v>0</v>
      </c>
      <c r="M115" s="94">
        <v>0</v>
      </c>
      <c r="N115" s="94">
        <v>0</v>
      </c>
      <c r="O115" s="94">
        <v>0</v>
      </c>
      <c r="P115" s="94">
        <v>0</v>
      </c>
      <c r="Q115" s="94">
        <v>0</v>
      </c>
      <c r="R115" s="94">
        <v>0</v>
      </c>
      <c r="S115" s="94">
        <v>0</v>
      </c>
      <c r="T115" s="156">
        <v>0</v>
      </c>
      <c r="U115" s="152">
        <v>0</v>
      </c>
      <c r="V115" s="151">
        <v>0</v>
      </c>
      <c r="W115" s="151">
        <v>0</v>
      </c>
      <c r="X115" s="151"/>
      <c r="Y115" s="8">
        <v>0</v>
      </c>
    </row>
    <row r="116" spans="1:25" ht="30" customHeight="1">
      <c r="A116">
        <v>110</v>
      </c>
      <c r="B116" s="87" t="s">
        <v>381</v>
      </c>
      <c r="C116" s="85" t="s">
        <v>588</v>
      </c>
      <c r="D116" s="86" t="s">
        <v>132</v>
      </c>
      <c r="E116" s="86" t="s">
        <v>283</v>
      </c>
      <c r="F116" s="86" t="s">
        <v>1067</v>
      </c>
      <c r="G116" s="86" t="s">
        <v>714</v>
      </c>
      <c r="H116" s="86" t="s">
        <v>290</v>
      </c>
      <c r="I116" s="86" t="s">
        <v>785</v>
      </c>
      <c r="J116" s="97">
        <v>0</v>
      </c>
      <c r="K116" s="93">
        <v>0</v>
      </c>
      <c r="L116" s="94">
        <v>0</v>
      </c>
      <c r="M116" s="94">
        <v>0</v>
      </c>
      <c r="N116" s="94">
        <v>0</v>
      </c>
      <c r="O116" s="94">
        <v>0</v>
      </c>
      <c r="P116" s="94">
        <v>0</v>
      </c>
      <c r="Q116" s="94">
        <v>0</v>
      </c>
      <c r="R116" s="94">
        <v>0</v>
      </c>
      <c r="S116" s="94">
        <v>0</v>
      </c>
      <c r="T116" s="156">
        <v>0</v>
      </c>
      <c r="U116" s="152">
        <v>0</v>
      </c>
      <c r="V116" s="151">
        <v>0</v>
      </c>
      <c r="W116" s="151">
        <v>0</v>
      </c>
      <c r="X116" s="151"/>
      <c r="Y116" s="8" t="s">
        <v>1002</v>
      </c>
    </row>
    <row r="117" spans="1:25" ht="30" customHeight="1">
      <c r="A117">
        <v>111</v>
      </c>
      <c r="B117" s="87" t="s">
        <v>382</v>
      </c>
      <c r="C117" s="85" t="s">
        <v>589</v>
      </c>
      <c r="D117" s="86" t="s">
        <v>132</v>
      </c>
      <c r="E117" s="86" t="s">
        <v>283</v>
      </c>
      <c r="F117" s="86" t="s">
        <v>1067</v>
      </c>
      <c r="G117" s="86" t="s">
        <v>714</v>
      </c>
      <c r="H117" s="86" t="s">
        <v>290</v>
      </c>
      <c r="I117" s="86" t="s">
        <v>785</v>
      </c>
      <c r="J117" s="97">
        <v>0</v>
      </c>
      <c r="K117" s="93">
        <v>0</v>
      </c>
      <c r="L117" s="94">
        <v>0</v>
      </c>
      <c r="M117" s="94">
        <v>0</v>
      </c>
      <c r="N117" s="94">
        <v>0</v>
      </c>
      <c r="O117" s="94">
        <v>0</v>
      </c>
      <c r="P117" s="94">
        <v>0</v>
      </c>
      <c r="Q117" s="94">
        <v>0</v>
      </c>
      <c r="R117" s="94">
        <v>0</v>
      </c>
      <c r="S117" s="94">
        <v>0</v>
      </c>
      <c r="T117" s="156">
        <v>0</v>
      </c>
      <c r="U117" s="152">
        <v>0</v>
      </c>
      <c r="V117" s="151">
        <v>0</v>
      </c>
      <c r="W117" s="151">
        <v>0</v>
      </c>
      <c r="X117" s="151"/>
      <c r="Y117" s="8" t="s">
        <v>1002</v>
      </c>
    </row>
    <row r="118" spans="1:25" ht="30" customHeight="1">
      <c r="A118">
        <v>112</v>
      </c>
      <c r="B118" s="84" t="s">
        <v>383</v>
      </c>
      <c r="C118" s="85" t="s">
        <v>590</v>
      </c>
      <c r="D118" s="86" t="s">
        <v>132</v>
      </c>
      <c r="E118" s="86" t="s">
        <v>283</v>
      </c>
      <c r="F118" s="86" t="s">
        <v>1067</v>
      </c>
      <c r="G118" s="86" t="s">
        <v>714</v>
      </c>
      <c r="H118" s="86" t="s">
        <v>290</v>
      </c>
      <c r="I118" s="86" t="s">
        <v>785</v>
      </c>
      <c r="J118" s="97">
        <v>0</v>
      </c>
      <c r="K118" s="93">
        <v>0</v>
      </c>
      <c r="L118" s="94">
        <v>0</v>
      </c>
      <c r="M118" s="94">
        <v>0</v>
      </c>
      <c r="N118" s="94">
        <v>0</v>
      </c>
      <c r="O118" s="94">
        <v>0</v>
      </c>
      <c r="P118" s="94">
        <v>0</v>
      </c>
      <c r="Q118" s="94">
        <v>0</v>
      </c>
      <c r="R118" s="94">
        <v>0</v>
      </c>
      <c r="S118" s="94">
        <v>0</v>
      </c>
      <c r="T118" s="156">
        <v>0</v>
      </c>
      <c r="U118" s="152">
        <v>0</v>
      </c>
      <c r="V118" s="151">
        <v>0</v>
      </c>
      <c r="W118" s="151">
        <v>0</v>
      </c>
      <c r="X118" s="151"/>
      <c r="Y118" s="8" t="s">
        <v>1002</v>
      </c>
    </row>
    <row r="119" spans="1:25" ht="30" customHeight="1">
      <c r="A119">
        <v>113</v>
      </c>
      <c r="B119" s="84" t="s">
        <v>384</v>
      </c>
      <c r="C119" s="85" t="s">
        <v>591</v>
      </c>
      <c r="D119" s="86" t="s">
        <v>728</v>
      </c>
      <c r="E119" s="86" t="s">
        <v>283</v>
      </c>
      <c r="F119" s="86" t="s">
        <v>1067</v>
      </c>
      <c r="G119" s="86">
        <v>0</v>
      </c>
      <c r="H119" s="86" t="e">
        <v>#N/A</v>
      </c>
      <c r="I119" s="86" t="e">
        <v>#N/A</v>
      </c>
      <c r="J119" s="97">
        <v>0</v>
      </c>
      <c r="K119" s="93">
        <v>0</v>
      </c>
      <c r="L119" s="94">
        <v>0</v>
      </c>
      <c r="M119" s="94">
        <v>0</v>
      </c>
      <c r="N119" s="94">
        <v>0</v>
      </c>
      <c r="O119" s="94">
        <v>0</v>
      </c>
      <c r="P119" s="94">
        <v>0</v>
      </c>
      <c r="Q119" s="94">
        <v>0</v>
      </c>
      <c r="R119" s="94">
        <v>0</v>
      </c>
      <c r="S119" s="94">
        <v>0</v>
      </c>
      <c r="T119" s="156">
        <v>0</v>
      </c>
      <c r="U119" s="152">
        <v>0</v>
      </c>
      <c r="V119" s="151">
        <v>0</v>
      </c>
      <c r="W119" s="151">
        <v>0</v>
      </c>
      <c r="X119" s="151"/>
      <c r="Y119" s="8">
        <v>0</v>
      </c>
    </row>
    <row r="120" spans="1:25" ht="30" customHeight="1">
      <c r="A120">
        <v>114</v>
      </c>
      <c r="B120" s="84" t="s">
        <v>385</v>
      </c>
      <c r="C120" s="85" t="s">
        <v>1027</v>
      </c>
      <c r="D120" s="86" t="s">
        <v>132</v>
      </c>
      <c r="E120" s="86" t="s">
        <v>283</v>
      </c>
      <c r="F120" s="86" t="s">
        <v>1067</v>
      </c>
      <c r="G120" s="86" t="s">
        <v>714</v>
      </c>
      <c r="H120" s="86" t="s">
        <v>290</v>
      </c>
      <c r="I120" s="86" t="s">
        <v>785</v>
      </c>
      <c r="J120" s="97">
        <v>0</v>
      </c>
      <c r="K120" s="93">
        <v>0</v>
      </c>
      <c r="L120" s="94">
        <v>0</v>
      </c>
      <c r="M120" s="94">
        <v>0</v>
      </c>
      <c r="N120" s="94">
        <v>0</v>
      </c>
      <c r="O120" s="94">
        <v>0</v>
      </c>
      <c r="P120" s="94">
        <v>0</v>
      </c>
      <c r="Q120" s="94">
        <v>0</v>
      </c>
      <c r="R120" s="94">
        <v>0</v>
      </c>
      <c r="S120" s="94">
        <v>0</v>
      </c>
      <c r="T120" s="156">
        <v>8</v>
      </c>
      <c r="U120" s="152">
        <v>0</v>
      </c>
      <c r="V120" s="151">
        <v>0</v>
      </c>
      <c r="W120" s="151">
        <v>0</v>
      </c>
      <c r="X120" s="151">
        <v>8</v>
      </c>
      <c r="Y120" s="8" t="s">
        <v>1002</v>
      </c>
    </row>
    <row r="121" spans="1:25" ht="30" customHeight="1">
      <c r="A121">
        <v>115</v>
      </c>
      <c r="B121" s="84" t="s">
        <v>386</v>
      </c>
      <c r="C121" s="85" t="s">
        <v>592</v>
      </c>
      <c r="D121" s="86" t="s">
        <v>132</v>
      </c>
      <c r="E121" s="86" t="s">
        <v>283</v>
      </c>
      <c r="F121" s="86" t="s">
        <v>1067</v>
      </c>
      <c r="G121" s="86" t="s">
        <v>717</v>
      </c>
      <c r="H121" s="86" t="s">
        <v>293</v>
      </c>
      <c r="I121" s="86" t="s">
        <v>788</v>
      </c>
      <c r="J121" s="97">
        <v>0</v>
      </c>
      <c r="K121" s="93">
        <v>0</v>
      </c>
      <c r="L121" s="94">
        <v>0</v>
      </c>
      <c r="M121" s="94">
        <v>0</v>
      </c>
      <c r="N121" s="94">
        <v>0</v>
      </c>
      <c r="O121" s="94">
        <v>0</v>
      </c>
      <c r="P121" s="94">
        <v>0</v>
      </c>
      <c r="Q121" s="94">
        <v>0</v>
      </c>
      <c r="R121" s="94">
        <v>0</v>
      </c>
      <c r="S121" s="94">
        <v>0</v>
      </c>
      <c r="T121" s="156">
        <v>0</v>
      </c>
      <c r="U121" s="152">
        <v>0</v>
      </c>
      <c r="V121" s="151">
        <v>0</v>
      </c>
      <c r="W121" s="151">
        <v>0</v>
      </c>
      <c r="X121" s="151"/>
      <c r="Y121" s="8" t="s">
        <v>1001</v>
      </c>
    </row>
    <row r="122" spans="1:25" ht="30" customHeight="1">
      <c r="A122">
        <v>116</v>
      </c>
      <c r="B122" s="84" t="s">
        <v>387</v>
      </c>
      <c r="C122" s="85" t="s">
        <v>593</v>
      </c>
      <c r="D122" s="86" t="s">
        <v>132</v>
      </c>
      <c r="E122" s="86" t="s">
        <v>283</v>
      </c>
      <c r="F122" s="86" t="s">
        <v>1067</v>
      </c>
      <c r="G122" s="86" t="s">
        <v>717</v>
      </c>
      <c r="H122" s="86" t="s">
        <v>293</v>
      </c>
      <c r="I122" s="86" t="s">
        <v>788</v>
      </c>
      <c r="J122" s="97">
        <v>0</v>
      </c>
      <c r="K122" s="93">
        <v>0</v>
      </c>
      <c r="L122" s="94">
        <v>0</v>
      </c>
      <c r="M122" s="94">
        <v>0</v>
      </c>
      <c r="N122" s="94">
        <v>0</v>
      </c>
      <c r="O122" s="94">
        <v>0</v>
      </c>
      <c r="P122" s="94">
        <v>0</v>
      </c>
      <c r="Q122" s="94">
        <v>0</v>
      </c>
      <c r="R122" s="94">
        <v>0</v>
      </c>
      <c r="S122" s="94">
        <v>0</v>
      </c>
      <c r="T122" s="156">
        <v>0</v>
      </c>
      <c r="U122" s="152">
        <v>0</v>
      </c>
      <c r="V122" s="151">
        <v>0</v>
      </c>
      <c r="W122" s="151">
        <v>0</v>
      </c>
      <c r="X122" s="151"/>
      <c r="Y122" s="8" t="s">
        <v>1001</v>
      </c>
    </row>
    <row r="123" spans="1:25" ht="30" customHeight="1">
      <c r="A123">
        <v>117</v>
      </c>
      <c r="B123" s="87" t="s">
        <v>388</v>
      </c>
      <c r="C123" s="85" t="s">
        <v>594</v>
      </c>
      <c r="D123" s="86" t="s">
        <v>1159</v>
      </c>
      <c r="E123" s="86" t="s">
        <v>283</v>
      </c>
      <c r="F123" s="86" t="s">
        <v>1067</v>
      </c>
      <c r="G123" s="86">
        <v>0</v>
      </c>
      <c r="H123" s="86" t="e">
        <v>#N/A</v>
      </c>
      <c r="I123" s="86" t="e">
        <v>#N/A</v>
      </c>
      <c r="J123" s="97">
        <v>0</v>
      </c>
      <c r="K123" s="93">
        <v>0</v>
      </c>
      <c r="L123" s="94">
        <v>0</v>
      </c>
      <c r="M123" s="94">
        <v>0</v>
      </c>
      <c r="N123" s="94">
        <v>0</v>
      </c>
      <c r="O123" s="94">
        <v>0</v>
      </c>
      <c r="P123" s="94">
        <v>0</v>
      </c>
      <c r="Q123" s="94">
        <v>0</v>
      </c>
      <c r="R123" s="94">
        <v>0</v>
      </c>
      <c r="S123" s="94">
        <v>0</v>
      </c>
      <c r="T123" s="156">
        <v>0</v>
      </c>
      <c r="U123" s="152">
        <v>0</v>
      </c>
      <c r="V123" s="151">
        <v>0</v>
      </c>
      <c r="W123" s="151">
        <v>0</v>
      </c>
      <c r="X123" s="151"/>
      <c r="Y123" s="8">
        <v>0</v>
      </c>
    </row>
    <row r="124" spans="1:25" ht="30" customHeight="1">
      <c r="A124">
        <v>118</v>
      </c>
      <c r="B124" s="87" t="s">
        <v>389</v>
      </c>
      <c r="C124" s="85" t="s">
        <v>595</v>
      </c>
      <c r="D124" s="86" t="s">
        <v>132</v>
      </c>
      <c r="E124" s="86" t="s">
        <v>283</v>
      </c>
      <c r="F124" s="86" t="s">
        <v>1067</v>
      </c>
      <c r="G124" s="86" t="s">
        <v>717</v>
      </c>
      <c r="H124" s="86" t="s">
        <v>293</v>
      </c>
      <c r="I124" s="86" t="s">
        <v>788</v>
      </c>
      <c r="J124" s="97">
        <v>0</v>
      </c>
      <c r="K124" s="93">
        <v>0</v>
      </c>
      <c r="L124" s="94">
        <v>0</v>
      </c>
      <c r="M124" s="94">
        <v>0</v>
      </c>
      <c r="N124" s="94">
        <v>0</v>
      </c>
      <c r="O124" s="94">
        <v>0</v>
      </c>
      <c r="P124" s="94">
        <v>0</v>
      </c>
      <c r="Q124" s="94">
        <v>0</v>
      </c>
      <c r="R124" s="94">
        <v>0</v>
      </c>
      <c r="S124" s="94">
        <v>0</v>
      </c>
      <c r="T124" s="156">
        <v>0</v>
      </c>
      <c r="U124" s="152">
        <v>0</v>
      </c>
      <c r="V124" s="151">
        <v>0</v>
      </c>
      <c r="W124" s="151">
        <v>0</v>
      </c>
      <c r="X124" s="151"/>
      <c r="Y124" s="8" t="s">
        <v>1001</v>
      </c>
    </row>
    <row r="125" spans="1:25" ht="30" customHeight="1">
      <c r="A125">
        <v>119</v>
      </c>
      <c r="B125" s="87" t="s">
        <v>390</v>
      </c>
      <c r="C125" s="85" t="s">
        <v>596</v>
      </c>
      <c r="D125" s="86" t="s">
        <v>122</v>
      </c>
      <c r="E125" s="86" t="s">
        <v>283</v>
      </c>
      <c r="F125" s="86" t="s">
        <v>935</v>
      </c>
      <c r="G125" s="86" t="s">
        <v>719</v>
      </c>
      <c r="H125" s="86" t="s">
        <v>712</v>
      </c>
      <c r="I125" s="86" t="s">
        <v>720</v>
      </c>
      <c r="J125" s="97">
        <v>0</v>
      </c>
      <c r="K125" s="93">
        <v>0</v>
      </c>
      <c r="L125" s="94">
        <v>0</v>
      </c>
      <c r="M125" s="94">
        <v>0</v>
      </c>
      <c r="N125" s="94">
        <v>0</v>
      </c>
      <c r="O125" s="94">
        <v>0</v>
      </c>
      <c r="P125" s="94">
        <v>0</v>
      </c>
      <c r="Q125" s="94">
        <v>0</v>
      </c>
      <c r="R125" s="94">
        <v>0</v>
      </c>
      <c r="S125" s="94">
        <v>0</v>
      </c>
      <c r="T125" s="156">
        <v>0</v>
      </c>
      <c r="U125" s="152">
        <v>0</v>
      </c>
      <c r="V125" s="151">
        <v>0</v>
      </c>
      <c r="W125" s="151">
        <v>0</v>
      </c>
      <c r="X125" s="151"/>
      <c r="Y125" s="8" t="s">
        <v>999</v>
      </c>
    </row>
    <row r="126" spans="1:25" ht="30" customHeight="1">
      <c r="A126">
        <v>120</v>
      </c>
      <c r="B126" s="84" t="s">
        <v>391</v>
      </c>
      <c r="C126" s="85" t="s">
        <v>597</v>
      </c>
      <c r="D126" s="86" t="s">
        <v>122</v>
      </c>
      <c r="E126" s="86" t="s">
        <v>283</v>
      </c>
      <c r="F126" s="86" t="s">
        <v>935</v>
      </c>
      <c r="G126" s="86" t="s">
        <v>719</v>
      </c>
      <c r="H126" s="86" t="s">
        <v>712</v>
      </c>
      <c r="I126" s="86" t="s">
        <v>720</v>
      </c>
      <c r="J126" s="97">
        <v>0</v>
      </c>
      <c r="K126" s="93">
        <v>0</v>
      </c>
      <c r="L126" s="94">
        <v>0</v>
      </c>
      <c r="M126" s="94">
        <v>0</v>
      </c>
      <c r="N126" s="94">
        <v>0</v>
      </c>
      <c r="O126" s="94">
        <v>0</v>
      </c>
      <c r="P126" s="94">
        <v>0</v>
      </c>
      <c r="Q126" s="94">
        <v>0</v>
      </c>
      <c r="R126" s="94">
        <v>0</v>
      </c>
      <c r="S126" s="94">
        <v>0</v>
      </c>
      <c r="T126" s="156">
        <v>0</v>
      </c>
      <c r="U126" s="152">
        <v>0</v>
      </c>
      <c r="V126" s="151">
        <v>0</v>
      </c>
      <c r="W126" s="151">
        <v>0</v>
      </c>
      <c r="X126" s="151"/>
      <c r="Y126" s="8" t="s">
        <v>999</v>
      </c>
    </row>
    <row r="127" spans="1:25" ht="30" customHeight="1">
      <c r="A127">
        <v>121</v>
      </c>
      <c r="B127" s="87" t="s">
        <v>392</v>
      </c>
      <c r="C127" s="85" t="s">
        <v>598</v>
      </c>
      <c r="D127" s="86" t="s">
        <v>122</v>
      </c>
      <c r="E127" s="86" t="s">
        <v>283</v>
      </c>
      <c r="F127" s="86" t="s">
        <v>935</v>
      </c>
      <c r="G127" s="86" t="s">
        <v>719</v>
      </c>
      <c r="H127" s="86" t="s">
        <v>712</v>
      </c>
      <c r="I127" s="86" t="s">
        <v>720</v>
      </c>
      <c r="J127" s="97">
        <v>0</v>
      </c>
      <c r="K127" s="93">
        <v>0</v>
      </c>
      <c r="L127" s="94">
        <v>0</v>
      </c>
      <c r="M127" s="94">
        <v>0</v>
      </c>
      <c r="N127" s="94">
        <v>0</v>
      </c>
      <c r="O127" s="94">
        <v>0</v>
      </c>
      <c r="P127" s="94">
        <v>0</v>
      </c>
      <c r="Q127" s="94">
        <v>0</v>
      </c>
      <c r="R127" s="94">
        <v>0</v>
      </c>
      <c r="S127" s="94">
        <v>0</v>
      </c>
      <c r="T127" s="156">
        <v>0</v>
      </c>
      <c r="U127" s="152">
        <v>0</v>
      </c>
      <c r="V127" s="151">
        <v>0</v>
      </c>
      <c r="W127" s="151">
        <v>0</v>
      </c>
      <c r="X127" s="151"/>
      <c r="Y127" s="8" t="s">
        <v>999</v>
      </c>
    </row>
    <row r="128" spans="1:25" ht="30" customHeight="1">
      <c r="A128">
        <v>122</v>
      </c>
      <c r="B128" s="87" t="s">
        <v>393</v>
      </c>
      <c r="C128" s="85" t="s">
        <v>599</v>
      </c>
      <c r="D128" s="86" t="s">
        <v>122</v>
      </c>
      <c r="E128" s="86" t="s">
        <v>283</v>
      </c>
      <c r="F128" s="86" t="s">
        <v>1067</v>
      </c>
      <c r="G128" s="86" t="s">
        <v>717</v>
      </c>
      <c r="H128" s="86" t="s">
        <v>293</v>
      </c>
      <c r="I128" s="86" t="s">
        <v>788</v>
      </c>
      <c r="J128" s="97">
        <v>0</v>
      </c>
      <c r="K128" s="93">
        <v>0</v>
      </c>
      <c r="L128" s="94">
        <v>0</v>
      </c>
      <c r="M128" s="94">
        <v>0</v>
      </c>
      <c r="N128" s="94">
        <v>0</v>
      </c>
      <c r="O128" s="94">
        <v>0</v>
      </c>
      <c r="P128" s="94">
        <v>0</v>
      </c>
      <c r="Q128" s="94">
        <v>0</v>
      </c>
      <c r="R128" s="94">
        <v>0</v>
      </c>
      <c r="S128" s="94">
        <v>0</v>
      </c>
      <c r="T128" s="156">
        <v>0</v>
      </c>
      <c r="U128" s="152">
        <v>0</v>
      </c>
      <c r="V128" s="151">
        <v>0</v>
      </c>
      <c r="W128" s="151">
        <v>0</v>
      </c>
      <c r="X128" s="151"/>
      <c r="Y128" s="8" t="s">
        <v>1001</v>
      </c>
    </row>
    <row r="129" spans="1:25" ht="30" customHeight="1">
      <c r="A129">
        <v>123</v>
      </c>
      <c r="B129" s="87" t="s">
        <v>733</v>
      </c>
      <c r="C129" s="85" t="s">
        <v>600</v>
      </c>
      <c r="D129" s="86" t="s">
        <v>728</v>
      </c>
      <c r="E129" s="86" t="s">
        <v>283</v>
      </c>
      <c r="F129" s="86" t="s">
        <v>1067</v>
      </c>
      <c r="G129" s="86" t="s">
        <v>717</v>
      </c>
      <c r="H129" s="86" t="s">
        <v>293</v>
      </c>
      <c r="I129" s="86" t="s">
        <v>788</v>
      </c>
      <c r="J129" s="97">
        <v>0</v>
      </c>
      <c r="K129" s="93">
        <v>0</v>
      </c>
      <c r="L129" s="94">
        <v>0</v>
      </c>
      <c r="M129" s="94">
        <v>0</v>
      </c>
      <c r="N129" s="94">
        <v>0</v>
      </c>
      <c r="O129" s="94">
        <v>0</v>
      </c>
      <c r="P129" s="94">
        <v>0</v>
      </c>
      <c r="Q129" s="94">
        <v>0</v>
      </c>
      <c r="R129" s="94">
        <v>0</v>
      </c>
      <c r="S129" s="94">
        <v>0</v>
      </c>
      <c r="T129" s="156">
        <v>0</v>
      </c>
      <c r="U129" s="152">
        <v>0</v>
      </c>
      <c r="V129" s="151">
        <v>0</v>
      </c>
      <c r="W129" s="151">
        <v>0</v>
      </c>
      <c r="X129" s="151"/>
      <c r="Y129" s="8">
        <v>0</v>
      </c>
    </row>
    <row r="130" spans="1:25" ht="30" customHeight="1">
      <c r="A130">
        <v>124</v>
      </c>
      <c r="B130" s="87" t="s">
        <v>394</v>
      </c>
      <c r="C130" s="85" t="s">
        <v>601</v>
      </c>
      <c r="D130" s="86" t="s">
        <v>122</v>
      </c>
      <c r="E130" s="86" t="s">
        <v>283</v>
      </c>
      <c r="F130" s="86" t="s">
        <v>1067</v>
      </c>
      <c r="G130" s="86" t="s">
        <v>717</v>
      </c>
      <c r="H130" s="86" t="s">
        <v>293</v>
      </c>
      <c r="I130" s="86" t="s">
        <v>788</v>
      </c>
      <c r="J130" s="97">
        <v>0</v>
      </c>
      <c r="K130" s="93">
        <v>0</v>
      </c>
      <c r="L130" s="94">
        <v>0</v>
      </c>
      <c r="M130" s="94">
        <v>0</v>
      </c>
      <c r="N130" s="94">
        <v>0</v>
      </c>
      <c r="O130" s="94">
        <v>0</v>
      </c>
      <c r="P130" s="94">
        <v>0</v>
      </c>
      <c r="Q130" s="94">
        <v>0</v>
      </c>
      <c r="R130" s="94">
        <v>0</v>
      </c>
      <c r="S130" s="94">
        <v>0</v>
      </c>
      <c r="T130" s="156">
        <v>0</v>
      </c>
      <c r="U130" s="152">
        <v>0</v>
      </c>
      <c r="V130" s="151">
        <v>0</v>
      </c>
      <c r="W130" s="151">
        <v>0</v>
      </c>
      <c r="X130" s="151"/>
      <c r="Y130" s="8" t="s">
        <v>1001</v>
      </c>
    </row>
    <row r="131" spans="1:25" ht="30" customHeight="1">
      <c r="A131">
        <v>125</v>
      </c>
      <c r="B131" s="84" t="s">
        <v>395</v>
      </c>
      <c r="C131" s="85" t="s">
        <v>602</v>
      </c>
      <c r="D131" s="86" t="s">
        <v>122</v>
      </c>
      <c r="E131" s="86" t="s">
        <v>283</v>
      </c>
      <c r="F131" s="86" t="s">
        <v>1067</v>
      </c>
      <c r="G131" s="86" t="s">
        <v>717</v>
      </c>
      <c r="H131" s="86" t="s">
        <v>293</v>
      </c>
      <c r="I131" s="86" t="s">
        <v>788</v>
      </c>
      <c r="J131" s="97">
        <v>0</v>
      </c>
      <c r="K131" s="93">
        <v>0</v>
      </c>
      <c r="L131" s="94">
        <v>0</v>
      </c>
      <c r="M131" s="94">
        <v>0</v>
      </c>
      <c r="N131" s="94">
        <v>0</v>
      </c>
      <c r="O131" s="94">
        <v>0</v>
      </c>
      <c r="P131" s="94">
        <v>0</v>
      </c>
      <c r="Q131" s="94">
        <v>0</v>
      </c>
      <c r="R131" s="94">
        <v>0</v>
      </c>
      <c r="S131" s="94">
        <v>0</v>
      </c>
      <c r="T131" s="156">
        <v>0</v>
      </c>
      <c r="U131" s="152">
        <v>0</v>
      </c>
      <c r="V131" s="151">
        <v>0</v>
      </c>
      <c r="W131" s="151">
        <v>0</v>
      </c>
      <c r="X131" s="151"/>
      <c r="Y131" s="8" t="s">
        <v>1001</v>
      </c>
    </row>
    <row r="132" spans="1:25" ht="30" customHeight="1">
      <c r="A132">
        <v>126</v>
      </c>
      <c r="B132" s="84" t="s">
        <v>396</v>
      </c>
      <c r="C132" s="85" t="s">
        <v>603</v>
      </c>
      <c r="D132" s="86" t="s">
        <v>122</v>
      </c>
      <c r="E132" s="86" t="s">
        <v>283</v>
      </c>
      <c r="F132" s="86" t="s">
        <v>1067</v>
      </c>
      <c r="G132" s="86" t="s">
        <v>717</v>
      </c>
      <c r="H132" s="86" t="s">
        <v>293</v>
      </c>
      <c r="I132" s="86" t="s">
        <v>788</v>
      </c>
      <c r="J132" s="97">
        <v>0</v>
      </c>
      <c r="K132" s="93">
        <v>0</v>
      </c>
      <c r="L132" s="94">
        <v>0</v>
      </c>
      <c r="M132" s="94">
        <v>0</v>
      </c>
      <c r="N132" s="94">
        <v>0</v>
      </c>
      <c r="O132" s="94">
        <v>0</v>
      </c>
      <c r="P132" s="94">
        <v>0</v>
      </c>
      <c r="Q132" s="94">
        <v>0</v>
      </c>
      <c r="R132" s="94">
        <v>0</v>
      </c>
      <c r="S132" s="94">
        <v>0</v>
      </c>
      <c r="T132" s="156">
        <v>0</v>
      </c>
      <c r="U132" s="152">
        <v>0</v>
      </c>
      <c r="V132" s="151">
        <v>0</v>
      </c>
      <c r="W132" s="151">
        <v>0</v>
      </c>
      <c r="X132" s="151"/>
      <c r="Y132" s="8" t="s">
        <v>1001</v>
      </c>
    </row>
    <row r="133" spans="1:25" ht="30" customHeight="1">
      <c r="A133">
        <v>127</v>
      </c>
      <c r="B133" s="84" t="s">
        <v>397</v>
      </c>
      <c r="C133" s="85" t="s">
        <v>604</v>
      </c>
      <c r="D133" s="86" t="s">
        <v>122</v>
      </c>
      <c r="E133" s="86" t="s">
        <v>283</v>
      </c>
      <c r="F133" s="86" t="s">
        <v>1067</v>
      </c>
      <c r="G133" s="86" t="s">
        <v>717</v>
      </c>
      <c r="H133" s="86" t="s">
        <v>293</v>
      </c>
      <c r="I133" s="86" t="s">
        <v>788</v>
      </c>
      <c r="J133" s="97">
        <v>0</v>
      </c>
      <c r="K133" s="93">
        <v>0</v>
      </c>
      <c r="L133" s="94">
        <v>0</v>
      </c>
      <c r="M133" s="94">
        <v>0</v>
      </c>
      <c r="N133" s="94">
        <v>0</v>
      </c>
      <c r="O133" s="94">
        <v>0</v>
      </c>
      <c r="P133" s="94">
        <v>0</v>
      </c>
      <c r="Q133" s="94">
        <v>0</v>
      </c>
      <c r="R133" s="94">
        <v>0</v>
      </c>
      <c r="S133" s="94">
        <v>0</v>
      </c>
      <c r="T133" s="156">
        <v>0</v>
      </c>
      <c r="U133" s="152">
        <v>0</v>
      </c>
      <c r="V133" s="151">
        <v>0</v>
      </c>
      <c r="W133" s="151">
        <v>0</v>
      </c>
      <c r="X133" s="151"/>
      <c r="Y133" s="8" t="s">
        <v>1001</v>
      </c>
    </row>
    <row r="134" spans="1:25" ht="30" customHeight="1">
      <c r="A134">
        <v>128</v>
      </c>
      <c r="B134" s="87" t="s">
        <v>398</v>
      </c>
      <c r="C134" s="85" t="s">
        <v>605</v>
      </c>
      <c r="D134" s="86" t="s">
        <v>1157</v>
      </c>
      <c r="E134" s="86" t="s">
        <v>283</v>
      </c>
      <c r="F134" s="86" t="s">
        <v>1067</v>
      </c>
      <c r="G134" s="86" t="s">
        <v>717</v>
      </c>
      <c r="H134" s="86" t="s">
        <v>293</v>
      </c>
      <c r="I134" s="86" t="s">
        <v>788</v>
      </c>
      <c r="J134" s="97">
        <v>0</v>
      </c>
      <c r="K134" s="93">
        <v>0</v>
      </c>
      <c r="L134" s="94">
        <v>0</v>
      </c>
      <c r="M134" s="94">
        <v>0</v>
      </c>
      <c r="N134" s="94">
        <v>0</v>
      </c>
      <c r="O134" s="94">
        <v>0</v>
      </c>
      <c r="P134" s="94">
        <v>0</v>
      </c>
      <c r="Q134" s="94">
        <v>0</v>
      </c>
      <c r="R134" s="94">
        <v>0</v>
      </c>
      <c r="S134" s="94">
        <v>0</v>
      </c>
      <c r="T134" s="156">
        <v>0</v>
      </c>
      <c r="U134" s="152">
        <v>0</v>
      </c>
      <c r="V134" s="151">
        <v>0</v>
      </c>
      <c r="W134" s="151">
        <v>0</v>
      </c>
      <c r="X134" s="151"/>
      <c r="Y134" s="8" t="s">
        <v>1001</v>
      </c>
    </row>
    <row r="135" spans="1:25" ht="30" customHeight="1">
      <c r="A135">
        <v>129</v>
      </c>
      <c r="B135" s="84" t="s">
        <v>399</v>
      </c>
      <c r="C135" s="85" t="s">
        <v>606</v>
      </c>
      <c r="D135" s="86" t="s">
        <v>728</v>
      </c>
      <c r="E135" s="86" t="s">
        <v>283</v>
      </c>
      <c r="F135" s="86" t="s">
        <v>1067</v>
      </c>
      <c r="G135" s="86" t="s">
        <v>716</v>
      </c>
      <c r="H135" s="86" t="s">
        <v>292</v>
      </c>
      <c r="I135" s="86" t="s">
        <v>753</v>
      </c>
      <c r="J135" s="97">
        <v>0</v>
      </c>
      <c r="K135" s="93">
        <v>0</v>
      </c>
      <c r="L135" s="94">
        <v>0</v>
      </c>
      <c r="M135" s="94">
        <v>0</v>
      </c>
      <c r="N135" s="94">
        <v>0</v>
      </c>
      <c r="O135" s="94">
        <v>0</v>
      </c>
      <c r="P135" s="94">
        <v>0</v>
      </c>
      <c r="Q135" s="94">
        <v>0</v>
      </c>
      <c r="R135" s="94">
        <v>0</v>
      </c>
      <c r="S135" s="94">
        <v>0</v>
      </c>
      <c r="T135" s="156">
        <v>0</v>
      </c>
      <c r="U135" s="152">
        <v>0</v>
      </c>
      <c r="V135" s="151">
        <v>0</v>
      </c>
      <c r="W135" s="151">
        <v>0</v>
      </c>
      <c r="X135" s="151"/>
      <c r="Y135" s="8">
        <v>0</v>
      </c>
    </row>
    <row r="136" spans="1:25" ht="30" customHeight="1">
      <c r="A136">
        <v>130</v>
      </c>
      <c r="B136" s="84" t="s">
        <v>400</v>
      </c>
      <c r="C136" s="85" t="s">
        <v>607</v>
      </c>
      <c r="D136" s="86" t="s">
        <v>122</v>
      </c>
      <c r="E136" s="86" t="s">
        <v>283</v>
      </c>
      <c r="F136" s="86" t="s">
        <v>1067</v>
      </c>
      <c r="G136" s="86" t="s">
        <v>717</v>
      </c>
      <c r="H136" s="86" t="s">
        <v>293</v>
      </c>
      <c r="I136" s="86" t="s">
        <v>788</v>
      </c>
      <c r="J136" s="97">
        <v>0</v>
      </c>
      <c r="K136" s="93">
        <v>0</v>
      </c>
      <c r="L136" s="94">
        <v>0</v>
      </c>
      <c r="M136" s="94">
        <v>0</v>
      </c>
      <c r="N136" s="94">
        <v>0</v>
      </c>
      <c r="O136" s="94">
        <v>0</v>
      </c>
      <c r="P136" s="94">
        <v>0</v>
      </c>
      <c r="Q136" s="94">
        <v>0</v>
      </c>
      <c r="R136" s="94">
        <v>0</v>
      </c>
      <c r="S136" s="94">
        <v>0</v>
      </c>
      <c r="T136" s="156">
        <v>0</v>
      </c>
      <c r="U136" s="152">
        <v>0</v>
      </c>
      <c r="V136" s="151">
        <v>0</v>
      </c>
      <c r="W136" s="151">
        <v>0</v>
      </c>
      <c r="X136" s="151"/>
      <c r="Y136" s="8" t="s">
        <v>1001</v>
      </c>
    </row>
    <row r="137" spans="1:25" ht="30" customHeight="1">
      <c r="A137">
        <v>131</v>
      </c>
      <c r="B137" s="84" t="s">
        <v>401</v>
      </c>
      <c r="C137" s="85" t="s">
        <v>608</v>
      </c>
      <c r="D137" s="86" t="s">
        <v>122</v>
      </c>
      <c r="E137" s="86" t="s">
        <v>283</v>
      </c>
      <c r="F137" s="86" t="s">
        <v>935</v>
      </c>
      <c r="G137" s="86" t="s">
        <v>719</v>
      </c>
      <c r="H137" s="86" t="s">
        <v>712</v>
      </c>
      <c r="I137" s="86" t="s">
        <v>720</v>
      </c>
      <c r="J137" s="97">
        <v>0</v>
      </c>
      <c r="K137" s="93">
        <v>0</v>
      </c>
      <c r="L137" s="94">
        <v>0</v>
      </c>
      <c r="M137" s="94">
        <v>0</v>
      </c>
      <c r="N137" s="94">
        <v>0</v>
      </c>
      <c r="O137" s="94">
        <v>0</v>
      </c>
      <c r="P137" s="94">
        <v>0</v>
      </c>
      <c r="Q137" s="94">
        <v>0</v>
      </c>
      <c r="R137" s="94">
        <v>0</v>
      </c>
      <c r="S137" s="94">
        <v>0</v>
      </c>
      <c r="T137" s="156">
        <v>0</v>
      </c>
      <c r="U137" s="152">
        <v>0</v>
      </c>
      <c r="V137" s="151">
        <v>0</v>
      </c>
      <c r="W137" s="151">
        <v>0</v>
      </c>
      <c r="X137" s="151"/>
      <c r="Y137" s="8" t="s">
        <v>999</v>
      </c>
    </row>
    <row r="138" spans="1:25" ht="30" customHeight="1">
      <c r="A138">
        <v>132</v>
      </c>
      <c r="B138" s="84" t="s">
        <v>402</v>
      </c>
      <c r="C138" s="85" t="s">
        <v>284</v>
      </c>
      <c r="D138" s="86" t="s">
        <v>125</v>
      </c>
      <c r="E138" s="86" t="s">
        <v>283</v>
      </c>
      <c r="F138" s="86" t="s">
        <v>1067</v>
      </c>
      <c r="G138" s="86" t="s">
        <v>717</v>
      </c>
      <c r="H138" s="86" t="s">
        <v>293</v>
      </c>
      <c r="I138" s="86" t="s">
        <v>788</v>
      </c>
      <c r="J138" s="97">
        <v>0</v>
      </c>
      <c r="K138" s="93">
        <v>0</v>
      </c>
      <c r="L138" s="94">
        <v>0</v>
      </c>
      <c r="M138" s="94">
        <v>0</v>
      </c>
      <c r="N138" s="94">
        <v>0</v>
      </c>
      <c r="O138" s="94">
        <v>0</v>
      </c>
      <c r="P138" s="94">
        <v>0</v>
      </c>
      <c r="Q138" s="94">
        <v>0</v>
      </c>
      <c r="R138" s="94">
        <v>0</v>
      </c>
      <c r="S138" s="94">
        <v>0</v>
      </c>
      <c r="T138" s="156">
        <v>0</v>
      </c>
      <c r="U138" s="152">
        <v>0</v>
      </c>
      <c r="V138" s="151">
        <v>0</v>
      </c>
      <c r="W138" s="151">
        <v>0</v>
      </c>
      <c r="X138" s="151"/>
      <c r="Y138" s="8" t="s">
        <v>1001</v>
      </c>
    </row>
    <row r="139" spans="1:25" ht="30" customHeight="1">
      <c r="A139">
        <v>133</v>
      </c>
      <c r="B139" s="87" t="s">
        <v>403</v>
      </c>
      <c r="C139" s="85" t="s">
        <v>609</v>
      </c>
      <c r="D139" s="86" t="s">
        <v>125</v>
      </c>
      <c r="E139" s="86" t="s">
        <v>283</v>
      </c>
      <c r="F139" s="86" t="s">
        <v>1067</v>
      </c>
      <c r="G139" s="86" t="s">
        <v>717</v>
      </c>
      <c r="H139" s="86" t="s">
        <v>293</v>
      </c>
      <c r="I139" s="86" t="s">
        <v>788</v>
      </c>
      <c r="J139" s="97">
        <v>0</v>
      </c>
      <c r="K139" s="93">
        <v>0</v>
      </c>
      <c r="L139" s="94">
        <v>0</v>
      </c>
      <c r="M139" s="94">
        <v>0</v>
      </c>
      <c r="N139" s="94">
        <v>0</v>
      </c>
      <c r="O139" s="94">
        <v>0</v>
      </c>
      <c r="P139" s="94">
        <v>0</v>
      </c>
      <c r="Q139" s="94">
        <v>0</v>
      </c>
      <c r="R139" s="94">
        <v>0</v>
      </c>
      <c r="S139" s="94">
        <v>0</v>
      </c>
      <c r="T139" s="156">
        <v>0</v>
      </c>
      <c r="U139" s="152">
        <v>0</v>
      </c>
      <c r="V139" s="151">
        <v>0</v>
      </c>
      <c r="W139" s="151">
        <v>0</v>
      </c>
      <c r="X139" s="151"/>
      <c r="Y139" s="8" t="s">
        <v>1001</v>
      </c>
    </row>
    <row r="140" spans="1:25" ht="30" customHeight="1">
      <c r="A140">
        <v>134</v>
      </c>
      <c r="B140" s="87" t="s">
        <v>734</v>
      </c>
      <c r="C140" s="85" t="s">
        <v>610</v>
      </c>
      <c r="D140" s="86" t="s">
        <v>125</v>
      </c>
      <c r="E140" s="86" t="s">
        <v>283</v>
      </c>
      <c r="F140" s="86" t="s">
        <v>1067</v>
      </c>
      <c r="G140" s="86">
        <v>0</v>
      </c>
      <c r="H140" s="86" t="e">
        <v>#N/A</v>
      </c>
      <c r="I140" s="86" t="e">
        <v>#N/A</v>
      </c>
      <c r="J140" s="97">
        <v>0</v>
      </c>
      <c r="K140" s="93">
        <v>0</v>
      </c>
      <c r="L140" s="94">
        <v>0</v>
      </c>
      <c r="M140" s="94">
        <v>0</v>
      </c>
      <c r="N140" s="94">
        <v>0</v>
      </c>
      <c r="O140" s="94">
        <v>0</v>
      </c>
      <c r="P140" s="94">
        <v>0</v>
      </c>
      <c r="Q140" s="94">
        <v>0</v>
      </c>
      <c r="R140" s="94">
        <v>0</v>
      </c>
      <c r="S140" s="94">
        <v>0</v>
      </c>
      <c r="T140" s="156">
        <v>0</v>
      </c>
      <c r="U140" s="152">
        <v>0</v>
      </c>
      <c r="V140" s="151">
        <v>0</v>
      </c>
      <c r="W140" s="151">
        <v>0</v>
      </c>
      <c r="X140" s="151"/>
      <c r="Y140" s="8" t="s">
        <v>1001</v>
      </c>
    </row>
    <row r="141" spans="1:25" ht="30" customHeight="1">
      <c r="A141">
        <v>135</v>
      </c>
      <c r="B141" s="87" t="s">
        <v>404</v>
      </c>
      <c r="C141" s="85" t="s">
        <v>611</v>
      </c>
      <c r="D141" s="86" t="s">
        <v>125</v>
      </c>
      <c r="E141" s="86" t="s">
        <v>283</v>
      </c>
      <c r="F141" s="86" t="s">
        <v>1067</v>
      </c>
      <c r="G141" s="86">
        <v>0</v>
      </c>
      <c r="H141" s="86" t="e">
        <v>#N/A</v>
      </c>
      <c r="I141" s="86" t="e">
        <v>#N/A</v>
      </c>
      <c r="J141" s="97">
        <v>0</v>
      </c>
      <c r="K141" s="93">
        <v>0</v>
      </c>
      <c r="L141" s="94">
        <v>0</v>
      </c>
      <c r="M141" s="94">
        <v>0</v>
      </c>
      <c r="N141" s="94">
        <v>0</v>
      </c>
      <c r="O141" s="94">
        <v>0</v>
      </c>
      <c r="P141" s="94">
        <v>0</v>
      </c>
      <c r="Q141" s="94">
        <v>0</v>
      </c>
      <c r="R141" s="94">
        <v>0</v>
      </c>
      <c r="S141" s="94">
        <v>0</v>
      </c>
      <c r="T141" s="156">
        <v>0</v>
      </c>
      <c r="U141" s="152">
        <v>0</v>
      </c>
      <c r="V141" s="151">
        <v>0</v>
      </c>
      <c r="W141" s="151">
        <v>0</v>
      </c>
      <c r="X141" s="151"/>
      <c r="Y141" s="8" t="s">
        <v>1001</v>
      </c>
    </row>
    <row r="142" spans="1:25" ht="30" customHeight="1">
      <c r="A142">
        <v>136</v>
      </c>
      <c r="B142" s="87" t="s">
        <v>405</v>
      </c>
      <c r="C142" s="85" t="s">
        <v>612</v>
      </c>
      <c r="D142" s="86" t="s">
        <v>125</v>
      </c>
      <c r="E142" s="86" t="s">
        <v>283</v>
      </c>
      <c r="F142" s="86" t="s">
        <v>1067</v>
      </c>
      <c r="G142" s="86" t="s">
        <v>716</v>
      </c>
      <c r="H142" s="86" t="s">
        <v>292</v>
      </c>
      <c r="I142" s="86" t="s">
        <v>753</v>
      </c>
      <c r="J142" s="97">
        <v>0</v>
      </c>
      <c r="K142" s="93">
        <v>0</v>
      </c>
      <c r="L142" s="94">
        <v>0</v>
      </c>
      <c r="M142" s="94">
        <v>0</v>
      </c>
      <c r="N142" s="94">
        <v>0</v>
      </c>
      <c r="O142" s="94">
        <v>0</v>
      </c>
      <c r="P142" s="94">
        <v>0</v>
      </c>
      <c r="Q142" s="94">
        <v>0</v>
      </c>
      <c r="R142" s="94">
        <v>0</v>
      </c>
      <c r="S142" s="94">
        <v>0</v>
      </c>
      <c r="T142" s="156">
        <v>0</v>
      </c>
      <c r="U142" s="152">
        <v>0</v>
      </c>
      <c r="V142" s="151">
        <v>0</v>
      </c>
      <c r="W142" s="151">
        <v>0</v>
      </c>
      <c r="X142" s="151"/>
      <c r="Y142" s="8" t="s">
        <v>1001</v>
      </c>
    </row>
    <row r="143" spans="1:25" ht="30" customHeight="1">
      <c r="A143">
        <v>137</v>
      </c>
      <c r="B143" s="87" t="s">
        <v>406</v>
      </c>
      <c r="C143" s="85" t="s">
        <v>613</v>
      </c>
      <c r="D143" s="86" t="s">
        <v>125</v>
      </c>
      <c r="E143" s="86" t="s">
        <v>283</v>
      </c>
      <c r="F143" s="86" t="s">
        <v>1067</v>
      </c>
      <c r="G143" s="86">
        <v>0</v>
      </c>
      <c r="H143" s="86" t="e">
        <v>#N/A</v>
      </c>
      <c r="I143" s="86" t="e">
        <v>#N/A</v>
      </c>
      <c r="J143" s="97">
        <v>0</v>
      </c>
      <c r="K143" s="93">
        <v>0</v>
      </c>
      <c r="L143" s="94">
        <v>0</v>
      </c>
      <c r="M143" s="94">
        <v>0</v>
      </c>
      <c r="N143" s="94">
        <v>0</v>
      </c>
      <c r="O143" s="94">
        <v>0</v>
      </c>
      <c r="P143" s="94">
        <v>0</v>
      </c>
      <c r="Q143" s="94">
        <v>0</v>
      </c>
      <c r="R143" s="94">
        <v>0</v>
      </c>
      <c r="S143" s="94">
        <v>0</v>
      </c>
      <c r="T143" s="156">
        <v>0</v>
      </c>
      <c r="U143" s="152">
        <v>0</v>
      </c>
      <c r="V143" s="151">
        <v>0</v>
      </c>
      <c r="W143" s="151">
        <v>0</v>
      </c>
      <c r="X143" s="151"/>
      <c r="Y143" s="8" t="s">
        <v>1001</v>
      </c>
    </row>
    <row r="144" spans="1:25" ht="30" customHeight="1">
      <c r="A144">
        <v>138</v>
      </c>
      <c r="B144" s="87" t="s">
        <v>407</v>
      </c>
      <c r="C144" s="85" t="s">
        <v>614</v>
      </c>
      <c r="D144" s="86" t="s">
        <v>125</v>
      </c>
      <c r="E144" s="86" t="s">
        <v>283</v>
      </c>
      <c r="F144" s="86" t="s">
        <v>1067</v>
      </c>
      <c r="G144" s="86" t="s">
        <v>716</v>
      </c>
      <c r="H144" s="86" t="s">
        <v>292</v>
      </c>
      <c r="I144" s="86" t="s">
        <v>753</v>
      </c>
      <c r="J144" s="97">
        <v>0</v>
      </c>
      <c r="K144" s="93">
        <v>0</v>
      </c>
      <c r="L144" s="94">
        <v>0</v>
      </c>
      <c r="M144" s="94">
        <v>0</v>
      </c>
      <c r="N144" s="94">
        <v>0</v>
      </c>
      <c r="O144" s="94">
        <v>0</v>
      </c>
      <c r="P144" s="94">
        <v>0</v>
      </c>
      <c r="Q144" s="94">
        <v>0</v>
      </c>
      <c r="R144" s="94">
        <v>0</v>
      </c>
      <c r="S144" s="94">
        <v>0</v>
      </c>
      <c r="T144" s="156">
        <v>0</v>
      </c>
      <c r="U144" s="152">
        <v>0</v>
      </c>
      <c r="V144" s="151">
        <v>0</v>
      </c>
      <c r="W144" s="151">
        <v>0</v>
      </c>
      <c r="X144" s="151"/>
      <c r="Y144" s="8" t="s">
        <v>1001</v>
      </c>
    </row>
    <row r="145" spans="1:26" ht="30" customHeight="1">
      <c r="A145">
        <v>139</v>
      </c>
      <c r="B145" s="84" t="s">
        <v>408</v>
      </c>
      <c r="C145" s="85" t="s">
        <v>615</v>
      </c>
      <c r="D145" s="86" t="s">
        <v>125</v>
      </c>
      <c r="E145" s="86" t="s">
        <v>283</v>
      </c>
      <c r="F145" s="86" t="s">
        <v>1067</v>
      </c>
      <c r="G145" s="86" t="s">
        <v>717</v>
      </c>
      <c r="H145" s="86" t="s">
        <v>293</v>
      </c>
      <c r="I145" s="86" t="s">
        <v>788</v>
      </c>
      <c r="J145" s="97">
        <v>0</v>
      </c>
      <c r="K145" s="93">
        <v>0</v>
      </c>
      <c r="L145" s="94">
        <v>0</v>
      </c>
      <c r="M145" s="94">
        <v>0</v>
      </c>
      <c r="N145" s="94">
        <v>0</v>
      </c>
      <c r="O145" s="94">
        <v>0</v>
      </c>
      <c r="P145" s="94">
        <v>0</v>
      </c>
      <c r="Q145" s="94">
        <v>0</v>
      </c>
      <c r="R145" s="94">
        <v>0</v>
      </c>
      <c r="S145" s="94">
        <v>0</v>
      </c>
      <c r="T145" s="156">
        <v>0</v>
      </c>
      <c r="U145" s="152">
        <v>0</v>
      </c>
      <c r="V145" s="151">
        <v>0</v>
      </c>
      <c r="W145" s="151">
        <v>0</v>
      </c>
      <c r="X145" s="151"/>
      <c r="Y145" s="8">
        <v>0</v>
      </c>
    </row>
    <row r="146" spans="1:26" ht="30" customHeight="1">
      <c r="A146">
        <v>140</v>
      </c>
      <c r="B146" s="84" t="s">
        <v>409</v>
      </c>
      <c r="C146" s="85" t="s">
        <v>616</v>
      </c>
      <c r="D146" s="86" t="s">
        <v>728</v>
      </c>
      <c r="E146" s="86" t="s">
        <v>283</v>
      </c>
      <c r="F146" s="86" t="s">
        <v>1067</v>
      </c>
      <c r="G146" s="86">
        <v>0</v>
      </c>
      <c r="H146" s="86" t="e">
        <v>#N/A</v>
      </c>
      <c r="I146" s="86" t="e">
        <v>#N/A</v>
      </c>
      <c r="J146" s="97">
        <v>0</v>
      </c>
      <c r="K146" s="93">
        <v>0</v>
      </c>
      <c r="L146" s="94">
        <v>0</v>
      </c>
      <c r="M146" s="94">
        <v>0</v>
      </c>
      <c r="N146" s="94">
        <v>0</v>
      </c>
      <c r="O146" s="94">
        <v>0</v>
      </c>
      <c r="P146" s="94">
        <v>0</v>
      </c>
      <c r="Q146" s="94">
        <v>0</v>
      </c>
      <c r="R146" s="94">
        <v>0</v>
      </c>
      <c r="S146" s="94">
        <v>0</v>
      </c>
      <c r="T146" s="156">
        <v>0</v>
      </c>
      <c r="U146" s="152">
        <v>0</v>
      </c>
      <c r="V146" s="151">
        <v>0</v>
      </c>
      <c r="W146" s="151">
        <v>0</v>
      </c>
      <c r="X146" s="151"/>
      <c r="Y146" s="8">
        <v>0</v>
      </c>
    </row>
    <row r="147" spans="1:26" ht="30" customHeight="1">
      <c r="A147">
        <v>141</v>
      </c>
      <c r="B147" s="84" t="s">
        <v>410</v>
      </c>
      <c r="C147" s="85" t="s">
        <v>732</v>
      </c>
      <c r="D147" s="86" t="s">
        <v>728</v>
      </c>
      <c r="E147" s="86" t="s">
        <v>283</v>
      </c>
      <c r="F147" s="86" t="s">
        <v>1067</v>
      </c>
      <c r="G147" s="86" t="s">
        <v>717</v>
      </c>
      <c r="H147" s="86" t="s">
        <v>293</v>
      </c>
      <c r="I147" s="86" t="s">
        <v>788</v>
      </c>
      <c r="J147" s="97">
        <v>0</v>
      </c>
      <c r="K147" s="93">
        <v>0</v>
      </c>
      <c r="L147" s="94">
        <v>0</v>
      </c>
      <c r="M147" s="94">
        <v>0</v>
      </c>
      <c r="N147" s="94">
        <v>0</v>
      </c>
      <c r="O147" s="94">
        <v>0</v>
      </c>
      <c r="P147" s="94">
        <v>0</v>
      </c>
      <c r="Q147" s="94">
        <v>0</v>
      </c>
      <c r="R147" s="94">
        <v>0</v>
      </c>
      <c r="S147" s="94">
        <v>0</v>
      </c>
      <c r="T147" s="156">
        <v>0</v>
      </c>
      <c r="U147" s="152">
        <v>0</v>
      </c>
      <c r="V147" s="151">
        <v>0</v>
      </c>
      <c r="W147" s="151">
        <v>0</v>
      </c>
      <c r="X147" s="151"/>
      <c r="Y147" s="8">
        <v>0</v>
      </c>
    </row>
    <row r="148" spans="1:26" ht="30" customHeight="1">
      <c r="A148">
        <v>142</v>
      </c>
      <c r="B148" s="84" t="s">
        <v>411</v>
      </c>
      <c r="C148" s="85" t="s">
        <v>617</v>
      </c>
      <c r="D148" s="86" t="s">
        <v>728</v>
      </c>
      <c r="E148" s="86" t="s">
        <v>283</v>
      </c>
      <c r="F148" s="86" t="s">
        <v>1067</v>
      </c>
      <c r="G148" s="86" t="s">
        <v>717</v>
      </c>
      <c r="H148" s="86" t="s">
        <v>293</v>
      </c>
      <c r="I148" s="86" t="s">
        <v>788</v>
      </c>
      <c r="J148" s="97">
        <v>0</v>
      </c>
      <c r="K148" s="93">
        <v>0</v>
      </c>
      <c r="L148" s="94">
        <v>0</v>
      </c>
      <c r="M148" s="94">
        <v>0</v>
      </c>
      <c r="N148" s="94">
        <v>0</v>
      </c>
      <c r="O148" s="94">
        <v>0</v>
      </c>
      <c r="P148" s="94">
        <v>0</v>
      </c>
      <c r="Q148" s="94">
        <v>0</v>
      </c>
      <c r="R148" s="94">
        <v>0</v>
      </c>
      <c r="S148" s="94">
        <v>0</v>
      </c>
      <c r="T148" s="156">
        <v>0</v>
      </c>
      <c r="U148" s="152">
        <v>0</v>
      </c>
      <c r="V148" s="151">
        <v>0</v>
      </c>
      <c r="W148" s="151">
        <v>0</v>
      </c>
      <c r="X148" s="151"/>
      <c r="Y148" s="8">
        <v>0</v>
      </c>
    </row>
    <row r="149" spans="1:26" ht="30" customHeight="1">
      <c r="A149">
        <v>143</v>
      </c>
      <c r="B149" s="84" t="s">
        <v>412</v>
      </c>
      <c r="C149" s="85" t="s">
        <v>795</v>
      </c>
      <c r="D149" s="86" t="s">
        <v>125</v>
      </c>
      <c r="E149" s="86" t="s">
        <v>283</v>
      </c>
      <c r="F149" s="86" t="s">
        <v>1067</v>
      </c>
      <c r="G149" s="86" t="s">
        <v>717</v>
      </c>
      <c r="H149" s="86" t="s">
        <v>293</v>
      </c>
      <c r="I149" s="86" t="s">
        <v>788</v>
      </c>
      <c r="J149" s="97">
        <v>0</v>
      </c>
      <c r="K149" s="93">
        <v>0</v>
      </c>
      <c r="L149" s="94">
        <v>0</v>
      </c>
      <c r="M149" s="94">
        <v>0</v>
      </c>
      <c r="N149" s="94">
        <v>0</v>
      </c>
      <c r="O149" s="94">
        <v>0</v>
      </c>
      <c r="P149" s="94">
        <v>0</v>
      </c>
      <c r="Q149" s="94">
        <v>0</v>
      </c>
      <c r="R149" s="94">
        <v>0</v>
      </c>
      <c r="S149" s="94">
        <v>0</v>
      </c>
      <c r="T149" s="156">
        <v>0</v>
      </c>
      <c r="U149" s="152">
        <v>0</v>
      </c>
      <c r="V149" s="151">
        <v>0</v>
      </c>
      <c r="W149" s="151">
        <v>0</v>
      </c>
      <c r="X149" s="151"/>
      <c r="Y149" s="8" t="s">
        <v>1001</v>
      </c>
    </row>
    <row r="150" spans="1:26" ht="30" customHeight="1">
      <c r="A150">
        <v>144</v>
      </c>
      <c r="B150" s="84" t="s">
        <v>413</v>
      </c>
      <c r="C150" s="85" t="s">
        <v>618</v>
      </c>
      <c r="D150" s="86" t="s">
        <v>125</v>
      </c>
      <c r="E150" s="86" t="s">
        <v>283</v>
      </c>
      <c r="F150" s="86" t="s">
        <v>935</v>
      </c>
      <c r="G150" s="86" t="s">
        <v>719</v>
      </c>
      <c r="H150" s="86" t="s">
        <v>712</v>
      </c>
      <c r="I150" s="86" t="s">
        <v>720</v>
      </c>
      <c r="J150" s="97">
        <v>0</v>
      </c>
      <c r="K150" s="93">
        <v>0</v>
      </c>
      <c r="L150" s="94">
        <v>0</v>
      </c>
      <c r="M150" s="94">
        <v>0</v>
      </c>
      <c r="N150" s="94">
        <v>0</v>
      </c>
      <c r="O150" s="94">
        <v>0</v>
      </c>
      <c r="P150" s="94">
        <v>0</v>
      </c>
      <c r="Q150" s="94">
        <v>0</v>
      </c>
      <c r="R150" s="94">
        <v>0</v>
      </c>
      <c r="S150" s="94">
        <v>0</v>
      </c>
      <c r="T150" s="156">
        <v>0</v>
      </c>
      <c r="U150" s="152">
        <v>0</v>
      </c>
      <c r="V150" s="151">
        <v>0</v>
      </c>
      <c r="W150" s="151">
        <v>0</v>
      </c>
      <c r="X150" s="151"/>
      <c r="Y150" s="8" t="s">
        <v>999</v>
      </c>
      <c r="Z150" s="154" t="s">
        <v>1123</v>
      </c>
    </row>
    <row r="151" spans="1:26" ht="30" customHeight="1">
      <c r="A151">
        <v>145</v>
      </c>
      <c r="B151" s="84" t="s">
        <v>414</v>
      </c>
      <c r="C151" s="85" t="s">
        <v>619</v>
      </c>
      <c r="D151" s="86" t="s">
        <v>125</v>
      </c>
      <c r="E151" s="86" t="s">
        <v>283</v>
      </c>
      <c r="F151" s="86" t="s">
        <v>1067</v>
      </c>
      <c r="G151" s="86">
        <v>0</v>
      </c>
      <c r="H151" s="86" t="e">
        <v>#N/A</v>
      </c>
      <c r="I151" s="86" t="e">
        <v>#N/A</v>
      </c>
      <c r="J151" s="97">
        <v>0</v>
      </c>
      <c r="K151" s="93">
        <v>0</v>
      </c>
      <c r="L151" s="94">
        <v>0</v>
      </c>
      <c r="M151" s="94">
        <v>0</v>
      </c>
      <c r="N151" s="94">
        <v>0</v>
      </c>
      <c r="O151" s="94">
        <v>0</v>
      </c>
      <c r="P151" s="94">
        <v>0</v>
      </c>
      <c r="Q151" s="94">
        <v>0</v>
      </c>
      <c r="R151" s="94">
        <v>0</v>
      </c>
      <c r="S151" s="94">
        <v>0</v>
      </c>
      <c r="T151" s="156">
        <v>0</v>
      </c>
      <c r="U151" s="152">
        <v>0</v>
      </c>
      <c r="V151" s="151">
        <v>0</v>
      </c>
      <c r="W151" s="151">
        <v>0</v>
      </c>
      <c r="X151" s="151"/>
      <c r="Y151" s="8" t="s">
        <v>1001</v>
      </c>
    </row>
    <row r="152" spans="1:26" ht="30" customHeight="1">
      <c r="A152">
        <v>146</v>
      </c>
      <c r="B152" s="84" t="s">
        <v>760</v>
      </c>
      <c r="C152" s="85" t="s">
        <v>758</v>
      </c>
      <c r="D152" s="86" t="s">
        <v>125</v>
      </c>
      <c r="E152" s="86" t="s">
        <v>283</v>
      </c>
      <c r="F152" s="86" t="s">
        <v>1067</v>
      </c>
      <c r="G152" s="86">
        <v>0</v>
      </c>
      <c r="H152" s="86" t="e">
        <v>#N/A</v>
      </c>
      <c r="I152" s="86" t="e">
        <v>#N/A</v>
      </c>
      <c r="J152" s="97">
        <v>0</v>
      </c>
      <c r="K152" s="93">
        <v>0</v>
      </c>
      <c r="L152" s="94">
        <v>0</v>
      </c>
      <c r="M152" s="94">
        <v>0</v>
      </c>
      <c r="N152" s="94">
        <v>0</v>
      </c>
      <c r="O152" s="94">
        <v>0</v>
      </c>
      <c r="P152" s="94">
        <v>0</v>
      </c>
      <c r="Q152" s="94">
        <v>0</v>
      </c>
      <c r="R152" s="94">
        <v>0</v>
      </c>
      <c r="S152" s="94">
        <v>0</v>
      </c>
      <c r="T152" s="156">
        <v>0</v>
      </c>
      <c r="U152" s="152">
        <v>0</v>
      </c>
      <c r="V152" s="151">
        <v>0</v>
      </c>
      <c r="W152" s="151">
        <v>0</v>
      </c>
      <c r="X152" s="151"/>
      <c r="Y152" s="8">
        <v>0</v>
      </c>
    </row>
    <row r="153" spans="1:26" ht="30" customHeight="1">
      <c r="A153">
        <v>147</v>
      </c>
      <c r="B153" s="84" t="s">
        <v>796</v>
      </c>
      <c r="C153" s="85" t="s">
        <v>797</v>
      </c>
      <c r="D153" s="86" t="s">
        <v>122</v>
      </c>
      <c r="E153" s="86" t="s">
        <v>283</v>
      </c>
      <c r="F153" s="86" t="s">
        <v>935</v>
      </c>
      <c r="G153" s="86" t="s">
        <v>719</v>
      </c>
      <c r="H153" s="86" t="s">
        <v>712</v>
      </c>
      <c r="I153" s="86" t="s">
        <v>720</v>
      </c>
      <c r="J153" s="97">
        <v>0</v>
      </c>
      <c r="K153" s="93">
        <v>0</v>
      </c>
      <c r="L153" s="94">
        <v>0</v>
      </c>
      <c r="M153" s="94">
        <v>0</v>
      </c>
      <c r="N153" s="94">
        <v>0</v>
      </c>
      <c r="O153" s="94">
        <v>0</v>
      </c>
      <c r="P153" s="94">
        <v>0</v>
      </c>
      <c r="Q153" s="94">
        <v>0</v>
      </c>
      <c r="R153" s="94">
        <v>0</v>
      </c>
      <c r="S153" s="94">
        <v>0</v>
      </c>
      <c r="T153" s="156">
        <v>0</v>
      </c>
      <c r="U153" s="152">
        <v>0</v>
      </c>
      <c r="V153" s="151">
        <v>0</v>
      </c>
      <c r="W153" s="151">
        <v>0</v>
      </c>
      <c r="X153" s="151"/>
      <c r="Y153" s="8" t="s">
        <v>999</v>
      </c>
    </row>
    <row r="154" spans="1:26" ht="30" customHeight="1">
      <c r="A154">
        <v>148</v>
      </c>
      <c r="B154" s="84" t="s">
        <v>798</v>
      </c>
      <c r="C154" s="85" t="s">
        <v>799</v>
      </c>
      <c r="D154" s="86" t="s">
        <v>125</v>
      </c>
      <c r="E154" s="86" t="s">
        <v>283</v>
      </c>
      <c r="F154" s="86" t="s">
        <v>935</v>
      </c>
      <c r="G154" s="86" t="s">
        <v>719</v>
      </c>
      <c r="H154" s="86" t="s">
        <v>712</v>
      </c>
      <c r="I154" s="86" t="s">
        <v>720</v>
      </c>
      <c r="J154" s="97">
        <v>0</v>
      </c>
      <c r="K154" s="93">
        <v>0</v>
      </c>
      <c r="L154" s="94">
        <v>0</v>
      </c>
      <c r="M154" s="94">
        <v>0</v>
      </c>
      <c r="N154" s="94">
        <v>0</v>
      </c>
      <c r="O154" s="94">
        <v>0</v>
      </c>
      <c r="P154" s="94">
        <v>0</v>
      </c>
      <c r="Q154" s="94">
        <v>0</v>
      </c>
      <c r="R154" s="94">
        <v>0</v>
      </c>
      <c r="S154" s="94">
        <v>0</v>
      </c>
      <c r="T154" s="156">
        <v>0</v>
      </c>
      <c r="U154" s="152">
        <v>0</v>
      </c>
      <c r="V154" s="151">
        <v>0</v>
      </c>
      <c r="W154" s="151">
        <v>0</v>
      </c>
      <c r="X154" s="151"/>
      <c r="Y154" s="8" t="s">
        <v>999</v>
      </c>
    </row>
    <row r="155" spans="1:26" ht="30" customHeight="1">
      <c r="A155">
        <v>149</v>
      </c>
      <c r="B155" s="84" t="s">
        <v>800</v>
      </c>
      <c r="C155" s="85" t="s">
        <v>801</v>
      </c>
      <c r="D155" s="86" t="s">
        <v>125</v>
      </c>
      <c r="E155" s="86" t="s">
        <v>283</v>
      </c>
      <c r="F155" s="86" t="s">
        <v>935</v>
      </c>
      <c r="G155" s="86" t="s">
        <v>719</v>
      </c>
      <c r="H155" s="86" t="s">
        <v>712</v>
      </c>
      <c r="I155" s="86" t="s">
        <v>720</v>
      </c>
      <c r="J155" s="97">
        <v>0</v>
      </c>
      <c r="K155" s="93">
        <v>0</v>
      </c>
      <c r="L155" s="94">
        <v>0</v>
      </c>
      <c r="M155" s="94">
        <v>0</v>
      </c>
      <c r="N155" s="94">
        <v>0</v>
      </c>
      <c r="O155" s="94">
        <v>0</v>
      </c>
      <c r="P155" s="94">
        <v>0</v>
      </c>
      <c r="Q155" s="94">
        <v>0</v>
      </c>
      <c r="R155" s="94">
        <v>0</v>
      </c>
      <c r="S155" s="94">
        <v>0</v>
      </c>
      <c r="T155" s="156">
        <v>0</v>
      </c>
      <c r="U155" s="152">
        <v>0</v>
      </c>
      <c r="V155" s="151">
        <v>0</v>
      </c>
      <c r="W155" s="151">
        <v>0</v>
      </c>
      <c r="X155" s="151"/>
      <c r="Y155" s="8" t="s">
        <v>999</v>
      </c>
    </row>
    <row r="156" spans="1:26" ht="30" customHeight="1">
      <c r="A156">
        <v>150</v>
      </c>
      <c r="B156" s="84" t="s">
        <v>802</v>
      </c>
      <c r="C156" s="85" t="s">
        <v>803</v>
      </c>
      <c r="D156" s="86" t="s">
        <v>125</v>
      </c>
      <c r="E156" s="86" t="s">
        <v>283</v>
      </c>
      <c r="F156" s="86" t="s">
        <v>935</v>
      </c>
      <c r="G156" s="86" t="s">
        <v>719</v>
      </c>
      <c r="H156" s="86" t="s">
        <v>712</v>
      </c>
      <c r="I156" s="86" t="s">
        <v>720</v>
      </c>
      <c r="J156" s="97">
        <v>0</v>
      </c>
      <c r="K156" s="93">
        <v>0</v>
      </c>
      <c r="L156" s="94">
        <v>0</v>
      </c>
      <c r="M156" s="94">
        <v>0</v>
      </c>
      <c r="N156" s="94">
        <v>0</v>
      </c>
      <c r="O156" s="94">
        <v>0</v>
      </c>
      <c r="P156" s="94">
        <v>0</v>
      </c>
      <c r="Q156" s="94">
        <v>0</v>
      </c>
      <c r="R156" s="94">
        <v>0</v>
      </c>
      <c r="S156" s="94">
        <v>0</v>
      </c>
      <c r="T156" s="156">
        <v>0</v>
      </c>
      <c r="U156" s="152">
        <v>0</v>
      </c>
      <c r="V156" s="151">
        <v>0</v>
      </c>
      <c r="W156" s="151">
        <v>0</v>
      </c>
      <c r="X156" s="151"/>
      <c r="Y156" s="8" t="s">
        <v>999</v>
      </c>
    </row>
    <row r="157" spans="1:26" ht="30" customHeight="1">
      <c r="A157">
        <v>151</v>
      </c>
      <c r="B157" s="87" t="s">
        <v>804</v>
      </c>
      <c r="C157" s="85" t="s">
        <v>774</v>
      </c>
      <c r="D157" s="86" t="s">
        <v>122</v>
      </c>
      <c r="E157" s="86" t="s">
        <v>283</v>
      </c>
      <c r="F157" s="86" t="s">
        <v>1067</v>
      </c>
      <c r="G157" s="86" t="s">
        <v>716</v>
      </c>
      <c r="H157" s="86" t="s">
        <v>292</v>
      </c>
      <c r="I157" s="86" t="s">
        <v>753</v>
      </c>
      <c r="J157" s="97">
        <v>0</v>
      </c>
      <c r="K157" s="93">
        <v>0</v>
      </c>
      <c r="L157" s="94">
        <v>0</v>
      </c>
      <c r="M157" s="94">
        <v>0</v>
      </c>
      <c r="N157" s="94">
        <v>0</v>
      </c>
      <c r="O157" s="94">
        <v>0</v>
      </c>
      <c r="P157" s="94">
        <v>0</v>
      </c>
      <c r="Q157" s="94">
        <v>0</v>
      </c>
      <c r="R157" s="94">
        <v>0</v>
      </c>
      <c r="S157" s="94">
        <v>0</v>
      </c>
      <c r="T157" s="156">
        <v>0</v>
      </c>
      <c r="U157" s="152">
        <v>0</v>
      </c>
      <c r="V157" s="151">
        <v>0</v>
      </c>
      <c r="W157" s="151">
        <v>0</v>
      </c>
      <c r="X157" s="151"/>
      <c r="Y157" s="8" t="s">
        <v>1001</v>
      </c>
    </row>
    <row r="158" spans="1:26" ht="30" customHeight="1">
      <c r="A158">
        <v>152</v>
      </c>
      <c r="B158" s="84" t="s">
        <v>995</v>
      </c>
      <c r="C158" s="85" t="s">
        <v>1028</v>
      </c>
      <c r="D158" s="86" t="s">
        <v>125</v>
      </c>
      <c r="E158" s="86" t="s">
        <v>283</v>
      </c>
      <c r="F158" s="86" t="s">
        <v>1067</v>
      </c>
      <c r="G158" s="86" t="s">
        <v>717</v>
      </c>
      <c r="H158" s="86" t="s">
        <v>293</v>
      </c>
      <c r="I158" s="86" t="s">
        <v>788</v>
      </c>
      <c r="J158" s="97">
        <v>0</v>
      </c>
      <c r="K158" s="93">
        <v>0</v>
      </c>
      <c r="L158" s="94">
        <v>0</v>
      </c>
      <c r="M158" s="94">
        <v>0</v>
      </c>
      <c r="N158" s="94">
        <v>0</v>
      </c>
      <c r="O158" s="94">
        <v>0</v>
      </c>
      <c r="P158" s="94">
        <v>0</v>
      </c>
      <c r="Q158" s="94">
        <v>0</v>
      </c>
      <c r="R158" s="94">
        <v>0</v>
      </c>
      <c r="S158" s="94">
        <v>0</v>
      </c>
      <c r="T158" s="156">
        <v>0</v>
      </c>
      <c r="U158" s="152">
        <v>0</v>
      </c>
      <c r="V158" s="151">
        <v>0</v>
      </c>
      <c r="W158" s="151">
        <v>0</v>
      </c>
      <c r="X158" s="151"/>
      <c r="Y158" s="8" t="s">
        <v>1001</v>
      </c>
    </row>
    <row r="159" spans="1:26" ht="30" customHeight="1">
      <c r="A159">
        <v>153</v>
      </c>
      <c r="B159" s="84" t="s">
        <v>850</v>
      </c>
      <c r="C159" s="85" t="s">
        <v>1029</v>
      </c>
      <c r="D159" s="86" t="s">
        <v>132</v>
      </c>
      <c r="E159" s="86" t="s">
        <v>283</v>
      </c>
      <c r="F159" s="86" t="s">
        <v>1067</v>
      </c>
      <c r="G159" s="86" t="s">
        <v>717</v>
      </c>
      <c r="H159" s="86" t="s">
        <v>293</v>
      </c>
      <c r="I159" s="86" t="s">
        <v>788</v>
      </c>
      <c r="J159" s="97">
        <v>0</v>
      </c>
      <c r="K159" s="93">
        <v>0</v>
      </c>
      <c r="L159" s="94">
        <v>0</v>
      </c>
      <c r="M159" s="94">
        <v>0</v>
      </c>
      <c r="N159" s="94">
        <v>0</v>
      </c>
      <c r="O159" s="94">
        <v>0</v>
      </c>
      <c r="P159" s="94">
        <v>0</v>
      </c>
      <c r="Q159" s="94">
        <v>0</v>
      </c>
      <c r="R159" s="94">
        <v>0</v>
      </c>
      <c r="S159" s="94">
        <v>0</v>
      </c>
      <c r="T159" s="156">
        <v>0</v>
      </c>
      <c r="U159" s="152">
        <v>0</v>
      </c>
      <c r="V159" s="151">
        <v>0</v>
      </c>
      <c r="W159" s="151">
        <v>0</v>
      </c>
      <c r="X159" s="151"/>
      <c r="Y159" s="8" t="s">
        <v>1001</v>
      </c>
    </row>
    <row r="160" spans="1:26" ht="30" customHeight="1">
      <c r="A160">
        <v>154</v>
      </c>
      <c r="B160" s="87" t="s">
        <v>851</v>
      </c>
      <c r="C160" s="85" t="s">
        <v>1030</v>
      </c>
      <c r="D160" s="86" t="s">
        <v>728</v>
      </c>
      <c r="E160" s="86" t="s">
        <v>283</v>
      </c>
      <c r="F160" s="86" t="s">
        <v>1067</v>
      </c>
      <c r="G160" s="86" t="s">
        <v>717</v>
      </c>
      <c r="H160" s="86" t="s">
        <v>293</v>
      </c>
      <c r="I160" s="86" t="s">
        <v>788</v>
      </c>
      <c r="J160" s="97">
        <v>0</v>
      </c>
      <c r="K160" s="93">
        <v>0</v>
      </c>
      <c r="L160" s="94">
        <v>0</v>
      </c>
      <c r="M160" s="94">
        <v>0</v>
      </c>
      <c r="N160" s="94">
        <v>0</v>
      </c>
      <c r="O160" s="94">
        <v>0</v>
      </c>
      <c r="P160" s="94">
        <v>0</v>
      </c>
      <c r="Q160" s="94">
        <v>0</v>
      </c>
      <c r="R160" s="94">
        <v>0</v>
      </c>
      <c r="S160" s="94">
        <v>0</v>
      </c>
      <c r="T160" s="156">
        <v>0</v>
      </c>
      <c r="U160" s="152">
        <v>0</v>
      </c>
      <c r="V160" s="151">
        <v>0</v>
      </c>
      <c r="W160" s="151">
        <v>0</v>
      </c>
      <c r="X160" s="151"/>
      <c r="Y160" s="8">
        <v>0</v>
      </c>
    </row>
    <row r="161" spans="1:25" ht="30" customHeight="1">
      <c r="A161">
        <v>155</v>
      </c>
      <c r="B161" s="84" t="s">
        <v>863</v>
      </c>
      <c r="C161" s="85" t="s">
        <v>1031</v>
      </c>
      <c r="D161" s="86" t="s">
        <v>122</v>
      </c>
      <c r="E161" s="86" t="s">
        <v>283</v>
      </c>
      <c r="F161" s="86" t="s">
        <v>935</v>
      </c>
      <c r="G161" s="86">
        <v>0</v>
      </c>
      <c r="H161" s="86" t="e">
        <v>#N/A</v>
      </c>
      <c r="I161" s="86" t="e">
        <v>#N/A</v>
      </c>
      <c r="J161" s="97">
        <v>0</v>
      </c>
      <c r="K161" s="93">
        <v>0</v>
      </c>
      <c r="L161" s="94">
        <v>0</v>
      </c>
      <c r="M161" s="94">
        <v>0</v>
      </c>
      <c r="N161" s="94">
        <v>0</v>
      </c>
      <c r="O161" s="94">
        <v>0</v>
      </c>
      <c r="P161" s="94">
        <v>0</v>
      </c>
      <c r="Q161" s="94">
        <v>0</v>
      </c>
      <c r="R161" s="94">
        <v>0</v>
      </c>
      <c r="S161" s="94">
        <v>0</v>
      </c>
      <c r="T161" s="156">
        <v>0</v>
      </c>
      <c r="U161" s="152">
        <v>0</v>
      </c>
      <c r="V161" s="151">
        <v>0</v>
      </c>
      <c r="W161" s="151">
        <v>0</v>
      </c>
      <c r="X161" s="151"/>
      <c r="Y161" s="8" t="s">
        <v>999</v>
      </c>
    </row>
    <row r="162" spans="1:25" ht="30" customHeight="1">
      <c r="A162">
        <v>156</v>
      </c>
      <c r="B162" s="84" t="s">
        <v>894</v>
      </c>
      <c r="C162" s="85" t="s">
        <v>895</v>
      </c>
      <c r="D162" s="86" t="s">
        <v>122</v>
      </c>
      <c r="E162" s="86" t="s">
        <v>283</v>
      </c>
      <c r="F162" s="86" t="s">
        <v>1067</v>
      </c>
      <c r="G162" s="86">
        <v>0</v>
      </c>
      <c r="H162" s="86" t="e">
        <v>#N/A</v>
      </c>
      <c r="I162" s="86" t="e">
        <v>#N/A</v>
      </c>
      <c r="J162" s="97">
        <v>0</v>
      </c>
      <c r="K162" s="93">
        <v>0</v>
      </c>
      <c r="L162" s="94">
        <v>0</v>
      </c>
      <c r="M162" s="94">
        <v>0</v>
      </c>
      <c r="N162" s="94">
        <v>0</v>
      </c>
      <c r="O162" s="94">
        <v>0</v>
      </c>
      <c r="P162" s="94">
        <v>0</v>
      </c>
      <c r="Q162" s="94">
        <v>0</v>
      </c>
      <c r="R162" s="94">
        <v>0</v>
      </c>
      <c r="S162" s="94">
        <v>0</v>
      </c>
      <c r="T162" s="156">
        <v>0</v>
      </c>
      <c r="U162" s="152">
        <v>0</v>
      </c>
      <c r="V162" s="151">
        <v>0</v>
      </c>
      <c r="W162" s="151">
        <v>0</v>
      </c>
      <c r="X162" s="151"/>
      <c r="Y162" s="8" t="s">
        <v>1001</v>
      </c>
    </row>
    <row r="163" spans="1:25" ht="30" customHeight="1">
      <c r="A163">
        <v>157</v>
      </c>
      <c r="B163" s="84" t="s">
        <v>961</v>
      </c>
      <c r="C163" s="85" t="s">
        <v>1032</v>
      </c>
      <c r="D163" s="86" t="s">
        <v>132</v>
      </c>
      <c r="E163" s="86" t="s">
        <v>283</v>
      </c>
      <c r="F163" s="86" t="s">
        <v>1067</v>
      </c>
      <c r="G163" s="86">
        <v>0</v>
      </c>
      <c r="H163" s="86" t="e">
        <v>#N/A</v>
      </c>
      <c r="I163" s="86" t="e">
        <v>#N/A</v>
      </c>
      <c r="J163" s="97">
        <v>0</v>
      </c>
      <c r="K163" s="93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156">
        <v>0</v>
      </c>
      <c r="U163" s="152">
        <v>0</v>
      </c>
      <c r="V163" s="151">
        <v>0</v>
      </c>
      <c r="W163" s="151">
        <v>0</v>
      </c>
      <c r="X163" s="151"/>
      <c r="Y163" s="8" t="s">
        <v>1001</v>
      </c>
    </row>
    <row r="164" spans="1:25" ht="30" customHeight="1">
      <c r="A164">
        <v>158</v>
      </c>
      <c r="B164" s="84" t="s">
        <v>962</v>
      </c>
      <c r="C164" s="85" t="s">
        <v>1033</v>
      </c>
      <c r="D164" s="86" t="s">
        <v>1156</v>
      </c>
      <c r="E164" s="86" t="s">
        <v>283</v>
      </c>
      <c r="F164" s="86" t="s">
        <v>1067</v>
      </c>
      <c r="G164" s="86">
        <v>0</v>
      </c>
      <c r="H164" s="86" t="e">
        <v>#N/A</v>
      </c>
      <c r="I164" s="86" t="e">
        <v>#N/A</v>
      </c>
      <c r="J164" s="97">
        <v>0</v>
      </c>
      <c r="K164" s="93">
        <v>0</v>
      </c>
      <c r="L164" s="94">
        <v>0</v>
      </c>
      <c r="M164" s="94">
        <v>0</v>
      </c>
      <c r="N164" s="94">
        <v>0</v>
      </c>
      <c r="O164" s="94">
        <v>0</v>
      </c>
      <c r="P164" s="94">
        <v>0</v>
      </c>
      <c r="Q164" s="94">
        <v>0</v>
      </c>
      <c r="R164" s="94">
        <v>0</v>
      </c>
      <c r="S164" s="94">
        <v>0</v>
      </c>
      <c r="T164" s="156">
        <v>0</v>
      </c>
      <c r="U164" s="152">
        <v>0</v>
      </c>
      <c r="V164" s="151">
        <v>0</v>
      </c>
      <c r="W164" s="151">
        <v>0</v>
      </c>
      <c r="X164" s="151"/>
      <c r="Y164" s="8" t="s">
        <v>1001</v>
      </c>
    </row>
    <row r="165" spans="1:25" ht="30" customHeight="1">
      <c r="A165">
        <v>159</v>
      </c>
      <c r="B165" s="84" t="s">
        <v>985</v>
      </c>
      <c r="C165" s="85" t="s">
        <v>1034</v>
      </c>
      <c r="D165" s="86" t="s">
        <v>132</v>
      </c>
      <c r="E165" s="86" t="s">
        <v>283</v>
      </c>
      <c r="F165" s="86" t="s">
        <v>1067</v>
      </c>
      <c r="G165" s="86">
        <v>0</v>
      </c>
      <c r="H165" s="86" t="e">
        <v>#N/A</v>
      </c>
      <c r="I165" s="86" t="e">
        <v>#N/A</v>
      </c>
      <c r="J165" s="97">
        <v>0</v>
      </c>
      <c r="K165" s="93">
        <v>0</v>
      </c>
      <c r="L165" s="94">
        <v>0</v>
      </c>
      <c r="M165" s="94">
        <v>0</v>
      </c>
      <c r="N165" s="94">
        <v>0</v>
      </c>
      <c r="O165" s="94">
        <v>0</v>
      </c>
      <c r="P165" s="94">
        <v>0</v>
      </c>
      <c r="Q165" s="94">
        <v>0</v>
      </c>
      <c r="R165" s="94">
        <v>0</v>
      </c>
      <c r="S165" s="94">
        <v>0</v>
      </c>
      <c r="T165" s="156">
        <v>0</v>
      </c>
      <c r="U165" s="152">
        <v>0</v>
      </c>
      <c r="V165" s="151">
        <v>0</v>
      </c>
      <c r="W165" s="151">
        <v>0</v>
      </c>
      <c r="X165" s="151"/>
      <c r="Y165" s="8" t="s">
        <v>1001</v>
      </c>
    </row>
    <row r="166" spans="1:25" ht="30" customHeight="1">
      <c r="A166">
        <v>160</v>
      </c>
      <c r="B166" s="84" t="s">
        <v>1081</v>
      </c>
      <c r="C166" s="85" t="s">
        <v>1082</v>
      </c>
      <c r="D166" s="86" t="s">
        <v>122</v>
      </c>
      <c r="E166" s="86" t="s">
        <v>283</v>
      </c>
      <c r="F166" s="86" t="s">
        <v>1067</v>
      </c>
      <c r="G166" s="86">
        <v>0</v>
      </c>
      <c r="H166" s="86" t="e">
        <v>#N/A</v>
      </c>
      <c r="I166" s="86" t="e">
        <v>#N/A</v>
      </c>
      <c r="J166" s="97">
        <v>0</v>
      </c>
      <c r="K166" s="93">
        <v>0</v>
      </c>
      <c r="L166" s="94">
        <v>0</v>
      </c>
      <c r="M166" s="94">
        <v>0</v>
      </c>
      <c r="N166" s="94">
        <v>0</v>
      </c>
      <c r="O166" s="94">
        <v>0</v>
      </c>
      <c r="P166" s="94">
        <v>0</v>
      </c>
      <c r="Q166" s="94">
        <v>0</v>
      </c>
      <c r="R166" s="94">
        <v>0</v>
      </c>
      <c r="S166" s="94">
        <v>0</v>
      </c>
      <c r="T166" s="156">
        <v>0</v>
      </c>
      <c r="U166" s="152">
        <v>0</v>
      </c>
      <c r="V166" s="151">
        <v>0</v>
      </c>
      <c r="W166" s="151">
        <v>0</v>
      </c>
      <c r="X166" s="151"/>
      <c r="Y166" s="8"/>
    </row>
    <row r="167" spans="1:25" ht="30" customHeight="1">
      <c r="A167">
        <v>161</v>
      </c>
      <c r="B167" s="84" t="s">
        <v>1083</v>
      </c>
      <c r="C167" s="85" t="s">
        <v>1084</v>
      </c>
      <c r="D167" s="86" t="s">
        <v>132</v>
      </c>
      <c r="E167" s="86" t="s">
        <v>283</v>
      </c>
      <c r="F167" s="86" t="s">
        <v>1067</v>
      </c>
      <c r="G167" s="86">
        <v>0</v>
      </c>
      <c r="H167" s="86" t="e">
        <v>#N/A</v>
      </c>
      <c r="I167" s="86" t="e">
        <v>#N/A</v>
      </c>
      <c r="J167" s="97">
        <v>0</v>
      </c>
      <c r="K167" s="93">
        <v>0</v>
      </c>
      <c r="L167" s="94">
        <v>0</v>
      </c>
      <c r="M167" s="94">
        <v>0</v>
      </c>
      <c r="N167" s="94">
        <v>0</v>
      </c>
      <c r="O167" s="94">
        <v>0</v>
      </c>
      <c r="P167" s="94">
        <v>0</v>
      </c>
      <c r="Q167" s="94">
        <v>0</v>
      </c>
      <c r="R167" s="94">
        <v>0</v>
      </c>
      <c r="S167" s="94">
        <v>0</v>
      </c>
      <c r="T167" s="156">
        <v>0</v>
      </c>
      <c r="U167" s="152">
        <v>0</v>
      </c>
      <c r="V167" s="151">
        <v>0</v>
      </c>
      <c r="W167" s="151">
        <v>0</v>
      </c>
      <c r="X167" s="151"/>
      <c r="Y167" s="8"/>
    </row>
    <row r="168" spans="1:25" ht="30" customHeight="1">
      <c r="A168">
        <v>162</v>
      </c>
      <c r="B168" s="84" t="s">
        <v>1085</v>
      </c>
      <c r="C168" s="85" t="s">
        <v>1086</v>
      </c>
      <c r="D168" s="86" t="s">
        <v>132</v>
      </c>
      <c r="E168" s="86" t="s">
        <v>283</v>
      </c>
      <c r="F168" s="86" t="s">
        <v>1067</v>
      </c>
      <c r="G168" s="86">
        <v>0</v>
      </c>
      <c r="H168" s="86" t="e">
        <v>#N/A</v>
      </c>
      <c r="I168" s="86" t="e">
        <v>#N/A</v>
      </c>
      <c r="J168" s="97">
        <v>0</v>
      </c>
      <c r="K168" s="93">
        <v>0</v>
      </c>
      <c r="L168" s="94">
        <v>0</v>
      </c>
      <c r="M168" s="94">
        <v>0</v>
      </c>
      <c r="N168" s="94">
        <v>0</v>
      </c>
      <c r="O168" s="94">
        <v>0</v>
      </c>
      <c r="P168" s="94">
        <v>0</v>
      </c>
      <c r="Q168" s="94">
        <v>0</v>
      </c>
      <c r="R168" s="94">
        <v>0</v>
      </c>
      <c r="S168" s="94">
        <v>0</v>
      </c>
      <c r="T168" s="156">
        <v>0</v>
      </c>
      <c r="U168" s="152">
        <v>0</v>
      </c>
      <c r="V168" s="151">
        <v>0</v>
      </c>
      <c r="W168" s="151">
        <v>0</v>
      </c>
      <c r="X168" s="151"/>
      <c r="Y168" s="8"/>
    </row>
    <row r="169" spans="1:25" ht="30" customHeight="1">
      <c r="A169">
        <v>163</v>
      </c>
      <c r="B169" s="84" t="s">
        <v>1143</v>
      </c>
      <c r="C169" s="85" t="s">
        <v>1144</v>
      </c>
      <c r="D169" s="86" t="s">
        <v>132</v>
      </c>
      <c r="E169" s="86" t="s">
        <v>283</v>
      </c>
      <c r="F169" s="86" t="s">
        <v>1067</v>
      </c>
      <c r="G169" s="86">
        <v>0</v>
      </c>
      <c r="H169" s="86" t="e">
        <v>#N/A</v>
      </c>
      <c r="I169" s="86" t="e">
        <v>#N/A</v>
      </c>
      <c r="J169" s="97">
        <v>0</v>
      </c>
      <c r="K169" s="93">
        <v>0</v>
      </c>
      <c r="L169" s="94">
        <v>0</v>
      </c>
      <c r="M169" s="94">
        <v>0</v>
      </c>
      <c r="N169" s="94">
        <v>0</v>
      </c>
      <c r="O169" s="94">
        <v>0</v>
      </c>
      <c r="P169" s="94">
        <v>0</v>
      </c>
      <c r="Q169" s="94">
        <v>0</v>
      </c>
      <c r="R169" s="94">
        <v>0</v>
      </c>
      <c r="S169" s="94">
        <v>0</v>
      </c>
      <c r="T169" s="156">
        <v>0</v>
      </c>
      <c r="U169" s="152">
        <v>0</v>
      </c>
      <c r="V169" s="151">
        <v>0</v>
      </c>
      <c r="W169" s="151">
        <v>0</v>
      </c>
      <c r="X169" s="151"/>
      <c r="Y169" s="8"/>
    </row>
    <row r="170" spans="1:25" ht="30" customHeight="1">
      <c r="A170">
        <v>164</v>
      </c>
      <c r="B170" s="84" t="s">
        <v>415</v>
      </c>
      <c r="C170" s="85" t="s">
        <v>621</v>
      </c>
      <c r="D170" s="86" t="s">
        <v>127</v>
      </c>
      <c r="E170" s="86" t="s">
        <v>283</v>
      </c>
      <c r="F170" s="86" t="s">
        <v>935</v>
      </c>
      <c r="G170" s="86" t="s">
        <v>714</v>
      </c>
      <c r="H170" s="86" t="s">
        <v>290</v>
      </c>
      <c r="I170" s="86" t="s">
        <v>785</v>
      </c>
      <c r="J170" s="97">
        <v>0</v>
      </c>
      <c r="K170" s="93">
        <v>0</v>
      </c>
      <c r="L170" s="94">
        <v>0</v>
      </c>
      <c r="M170" s="94">
        <v>0</v>
      </c>
      <c r="N170" s="94">
        <v>0</v>
      </c>
      <c r="O170" s="94">
        <v>0</v>
      </c>
      <c r="P170" s="94">
        <v>0</v>
      </c>
      <c r="Q170" s="94">
        <v>0</v>
      </c>
      <c r="R170" s="94">
        <v>0</v>
      </c>
      <c r="S170" s="94">
        <v>0</v>
      </c>
      <c r="T170" s="156">
        <v>0</v>
      </c>
      <c r="U170" s="152">
        <v>0</v>
      </c>
      <c r="V170" s="151">
        <v>0</v>
      </c>
      <c r="W170" s="151">
        <v>0</v>
      </c>
      <c r="X170" s="151"/>
      <c r="Y170" s="8" t="s">
        <v>1002</v>
      </c>
    </row>
    <row r="171" spans="1:25" ht="30" customHeight="1">
      <c r="A171">
        <v>165</v>
      </c>
      <c r="B171" s="84" t="s">
        <v>416</v>
      </c>
      <c r="C171" s="85" t="s">
        <v>622</v>
      </c>
      <c r="D171" s="86" t="s">
        <v>728</v>
      </c>
      <c r="E171" s="86" t="s">
        <v>283</v>
      </c>
      <c r="F171" s="86" t="s">
        <v>935</v>
      </c>
      <c r="G171" s="86">
        <v>0</v>
      </c>
      <c r="H171" s="86" t="e">
        <v>#N/A</v>
      </c>
      <c r="I171" s="86" t="e">
        <v>#N/A</v>
      </c>
      <c r="J171" s="97">
        <v>0</v>
      </c>
      <c r="K171" s="93">
        <v>0</v>
      </c>
      <c r="L171" s="94">
        <v>0</v>
      </c>
      <c r="M171" s="94">
        <v>0</v>
      </c>
      <c r="N171" s="94">
        <v>0</v>
      </c>
      <c r="O171" s="94">
        <v>0</v>
      </c>
      <c r="P171" s="94">
        <v>0</v>
      </c>
      <c r="Q171" s="94">
        <v>0</v>
      </c>
      <c r="R171" s="94">
        <v>0</v>
      </c>
      <c r="S171" s="94">
        <v>0</v>
      </c>
      <c r="T171" s="156">
        <v>0</v>
      </c>
      <c r="U171" s="152">
        <v>0</v>
      </c>
      <c r="V171" s="151">
        <v>0</v>
      </c>
      <c r="W171" s="151">
        <v>0</v>
      </c>
      <c r="X171" s="151"/>
      <c r="Y171" s="8">
        <v>0</v>
      </c>
    </row>
    <row r="172" spans="1:25" ht="30" customHeight="1">
      <c r="A172">
        <v>166</v>
      </c>
      <c r="B172" s="87" t="s">
        <v>417</v>
      </c>
      <c r="C172" s="85" t="s">
        <v>623</v>
      </c>
      <c r="D172" s="86" t="s">
        <v>127</v>
      </c>
      <c r="E172" s="86" t="s">
        <v>283</v>
      </c>
      <c r="F172" s="86" t="s">
        <v>935</v>
      </c>
      <c r="G172" s="86" t="s">
        <v>714</v>
      </c>
      <c r="H172" s="86" t="s">
        <v>290</v>
      </c>
      <c r="I172" s="86" t="s">
        <v>785</v>
      </c>
      <c r="J172" s="97">
        <v>0</v>
      </c>
      <c r="K172" s="93">
        <v>0</v>
      </c>
      <c r="L172" s="94">
        <v>0</v>
      </c>
      <c r="M172" s="94">
        <v>0</v>
      </c>
      <c r="N172" s="94">
        <v>0</v>
      </c>
      <c r="O172" s="94">
        <v>0</v>
      </c>
      <c r="P172" s="94">
        <v>0</v>
      </c>
      <c r="Q172" s="94">
        <v>0</v>
      </c>
      <c r="R172" s="94">
        <v>0</v>
      </c>
      <c r="S172" s="94">
        <v>0</v>
      </c>
      <c r="T172" s="156">
        <v>0</v>
      </c>
      <c r="U172" s="152">
        <v>0</v>
      </c>
      <c r="V172" s="151">
        <v>0</v>
      </c>
      <c r="W172" s="151">
        <v>0</v>
      </c>
      <c r="X172" s="151"/>
      <c r="Y172" s="8" t="s">
        <v>1002</v>
      </c>
    </row>
    <row r="173" spans="1:25" ht="30" customHeight="1">
      <c r="A173">
        <v>167</v>
      </c>
      <c r="B173" s="87" t="s">
        <v>418</v>
      </c>
      <c r="C173" s="85" t="s">
        <v>624</v>
      </c>
      <c r="D173" s="86" t="s">
        <v>127</v>
      </c>
      <c r="E173" s="86" t="s">
        <v>283</v>
      </c>
      <c r="F173" s="86" t="s">
        <v>935</v>
      </c>
      <c r="G173" s="86">
        <v>0</v>
      </c>
      <c r="H173" s="86" t="e">
        <v>#N/A</v>
      </c>
      <c r="I173" s="86" t="e">
        <v>#N/A</v>
      </c>
      <c r="J173" s="97">
        <v>0</v>
      </c>
      <c r="K173" s="93">
        <v>0</v>
      </c>
      <c r="L173" s="94">
        <v>0</v>
      </c>
      <c r="M173" s="94">
        <v>0</v>
      </c>
      <c r="N173" s="94">
        <v>0</v>
      </c>
      <c r="O173" s="94">
        <v>0</v>
      </c>
      <c r="P173" s="94">
        <v>0</v>
      </c>
      <c r="Q173" s="94">
        <v>0</v>
      </c>
      <c r="R173" s="94">
        <v>0</v>
      </c>
      <c r="S173" s="94">
        <v>0</v>
      </c>
      <c r="T173" s="156">
        <v>0</v>
      </c>
      <c r="U173" s="152">
        <v>0</v>
      </c>
      <c r="V173" s="151">
        <v>0</v>
      </c>
      <c r="W173" s="151">
        <v>0</v>
      </c>
      <c r="X173" s="151"/>
      <c r="Y173" s="8" t="s">
        <v>1001</v>
      </c>
    </row>
    <row r="174" spans="1:25" ht="30" customHeight="1">
      <c r="A174">
        <v>168</v>
      </c>
      <c r="B174" s="84" t="s">
        <v>419</v>
      </c>
      <c r="C174" s="85" t="s">
        <v>1035</v>
      </c>
      <c r="D174" s="86" t="s">
        <v>127</v>
      </c>
      <c r="E174" s="86" t="s">
        <v>283</v>
      </c>
      <c r="F174" s="86" t="s">
        <v>935</v>
      </c>
      <c r="G174" s="86" t="s">
        <v>714</v>
      </c>
      <c r="H174" s="86" t="s">
        <v>290</v>
      </c>
      <c r="I174" s="86" t="s">
        <v>785</v>
      </c>
      <c r="J174" s="97">
        <v>0</v>
      </c>
      <c r="K174" s="93">
        <v>0</v>
      </c>
      <c r="L174" s="94">
        <v>0</v>
      </c>
      <c r="M174" s="94">
        <v>0</v>
      </c>
      <c r="N174" s="94">
        <v>0</v>
      </c>
      <c r="O174" s="94">
        <v>0</v>
      </c>
      <c r="P174" s="94">
        <v>0</v>
      </c>
      <c r="Q174" s="94">
        <v>0</v>
      </c>
      <c r="R174" s="94">
        <v>0</v>
      </c>
      <c r="S174" s="94">
        <v>0</v>
      </c>
      <c r="T174" s="156">
        <v>211</v>
      </c>
      <c r="U174" s="152">
        <v>0</v>
      </c>
      <c r="V174" s="151">
        <v>0</v>
      </c>
      <c r="W174" s="151">
        <v>0</v>
      </c>
      <c r="X174" s="151">
        <v>211</v>
      </c>
      <c r="Y174" s="8" t="s">
        <v>1002</v>
      </c>
    </row>
    <row r="175" spans="1:25" ht="30" customHeight="1">
      <c r="A175">
        <v>169</v>
      </c>
      <c r="B175" s="87" t="s">
        <v>420</v>
      </c>
      <c r="C175" s="85" t="s">
        <v>625</v>
      </c>
      <c r="D175" s="86" t="s">
        <v>1159</v>
      </c>
      <c r="E175" s="86" t="s">
        <v>283</v>
      </c>
      <c r="F175" s="86" t="s">
        <v>935</v>
      </c>
      <c r="G175" s="86" t="s">
        <v>716</v>
      </c>
      <c r="H175" s="86" t="s">
        <v>292</v>
      </c>
      <c r="I175" s="86" t="s">
        <v>753</v>
      </c>
      <c r="J175" s="97">
        <v>0</v>
      </c>
      <c r="K175" s="93">
        <v>0</v>
      </c>
      <c r="L175" s="94">
        <v>0</v>
      </c>
      <c r="M175" s="94">
        <v>0</v>
      </c>
      <c r="N175" s="94">
        <v>0</v>
      </c>
      <c r="O175" s="94">
        <v>0</v>
      </c>
      <c r="P175" s="94">
        <v>0</v>
      </c>
      <c r="Q175" s="94">
        <v>0</v>
      </c>
      <c r="R175" s="94">
        <v>0</v>
      </c>
      <c r="S175" s="94">
        <v>0</v>
      </c>
      <c r="T175" s="156">
        <v>0</v>
      </c>
      <c r="U175" s="152">
        <v>0</v>
      </c>
      <c r="V175" s="151">
        <v>0</v>
      </c>
      <c r="W175" s="151">
        <v>0</v>
      </c>
      <c r="X175" s="151"/>
      <c r="Y175" s="8">
        <v>0</v>
      </c>
    </row>
    <row r="176" spans="1:25" ht="30" customHeight="1">
      <c r="A176">
        <v>170</v>
      </c>
      <c r="B176" s="87" t="s">
        <v>421</v>
      </c>
      <c r="C176" s="85" t="s">
        <v>1036</v>
      </c>
      <c r="D176" s="86" t="s">
        <v>127</v>
      </c>
      <c r="E176" s="86" t="s">
        <v>283</v>
      </c>
      <c r="F176" s="86" t="s">
        <v>935</v>
      </c>
      <c r="G176" s="86" t="s">
        <v>719</v>
      </c>
      <c r="H176" s="86" t="s">
        <v>712</v>
      </c>
      <c r="I176" s="86" t="s">
        <v>720</v>
      </c>
      <c r="J176" s="97">
        <v>0</v>
      </c>
      <c r="K176" s="93">
        <v>0</v>
      </c>
      <c r="L176" s="94">
        <v>0</v>
      </c>
      <c r="M176" s="94">
        <v>0</v>
      </c>
      <c r="N176" s="94">
        <v>0</v>
      </c>
      <c r="O176" s="94">
        <v>0</v>
      </c>
      <c r="P176" s="94">
        <v>0</v>
      </c>
      <c r="Q176" s="94">
        <v>0</v>
      </c>
      <c r="R176" s="94">
        <v>0</v>
      </c>
      <c r="S176" s="94">
        <v>0</v>
      </c>
      <c r="T176" s="156">
        <v>0</v>
      </c>
      <c r="U176" s="152">
        <v>0</v>
      </c>
      <c r="V176" s="151">
        <v>0</v>
      </c>
      <c r="W176" s="151">
        <v>0</v>
      </c>
      <c r="X176" s="151"/>
      <c r="Y176" s="8" t="s">
        <v>999</v>
      </c>
    </row>
    <row r="177" spans="1:25" ht="30" customHeight="1">
      <c r="A177">
        <v>171</v>
      </c>
      <c r="B177" s="87" t="s">
        <v>422</v>
      </c>
      <c r="C177" s="85" t="s">
        <v>626</v>
      </c>
      <c r="D177" s="86" t="s">
        <v>1157</v>
      </c>
      <c r="E177" s="86" t="s">
        <v>283</v>
      </c>
      <c r="F177" s="86" t="s">
        <v>935</v>
      </c>
      <c r="G177" s="86" t="s">
        <v>716</v>
      </c>
      <c r="H177" s="86" t="s">
        <v>292</v>
      </c>
      <c r="I177" s="86" t="s">
        <v>753</v>
      </c>
      <c r="J177" s="97">
        <v>0</v>
      </c>
      <c r="K177" s="93">
        <v>0</v>
      </c>
      <c r="L177" s="94">
        <v>0</v>
      </c>
      <c r="M177" s="94">
        <v>0</v>
      </c>
      <c r="N177" s="94">
        <v>0</v>
      </c>
      <c r="O177" s="94">
        <v>0</v>
      </c>
      <c r="P177" s="94">
        <v>0</v>
      </c>
      <c r="Q177" s="94">
        <v>0</v>
      </c>
      <c r="R177" s="94">
        <v>0</v>
      </c>
      <c r="S177" s="94">
        <v>0</v>
      </c>
      <c r="T177" s="156">
        <v>0</v>
      </c>
      <c r="U177" s="152">
        <v>0</v>
      </c>
      <c r="V177" s="151">
        <v>0</v>
      </c>
      <c r="W177" s="151">
        <v>0</v>
      </c>
      <c r="X177" s="151"/>
      <c r="Y177" s="8" t="s">
        <v>1001</v>
      </c>
    </row>
    <row r="178" spans="1:25" ht="30" customHeight="1">
      <c r="A178">
        <v>172</v>
      </c>
      <c r="B178" s="84" t="s">
        <v>423</v>
      </c>
      <c r="C178" s="85" t="s">
        <v>805</v>
      </c>
      <c r="D178" s="86" t="s">
        <v>127</v>
      </c>
      <c r="E178" s="86" t="s">
        <v>283</v>
      </c>
      <c r="F178" s="86" t="s">
        <v>935</v>
      </c>
      <c r="G178" s="86" t="s">
        <v>715</v>
      </c>
      <c r="H178" s="86" t="s">
        <v>291</v>
      </c>
      <c r="I178" s="86" t="s">
        <v>755</v>
      </c>
      <c r="J178" s="97">
        <v>0</v>
      </c>
      <c r="K178" s="93">
        <v>0</v>
      </c>
      <c r="L178" s="94">
        <v>0</v>
      </c>
      <c r="M178" s="94">
        <v>0</v>
      </c>
      <c r="N178" s="94">
        <v>0</v>
      </c>
      <c r="O178" s="94">
        <v>0</v>
      </c>
      <c r="P178" s="94">
        <v>0</v>
      </c>
      <c r="Q178" s="94">
        <v>0</v>
      </c>
      <c r="R178" s="94">
        <v>0</v>
      </c>
      <c r="S178" s="94">
        <v>0</v>
      </c>
      <c r="T178" s="156">
        <v>0</v>
      </c>
      <c r="U178" s="152">
        <v>0</v>
      </c>
      <c r="V178" s="151">
        <v>0</v>
      </c>
      <c r="W178" s="151">
        <v>0</v>
      </c>
      <c r="X178" s="151"/>
      <c r="Y178" s="8" t="s">
        <v>1001</v>
      </c>
    </row>
    <row r="179" spans="1:25" ht="30" customHeight="1">
      <c r="A179">
        <v>173</v>
      </c>
      <c r="B179" s="87" t="s">
        <v>424</v>
      </c>
      <c r="C179" s="85" t="s">
        <v>627</v>
      </c>
      <c r="D179" s="86" t="s">
        <v>127</v>
      </c>
      <c r="E179" s="86" t="s">
        <v>283</v>
      </c>
      <c r="F179" s="86" t="s">
        <v>935</v>
      </c>
      <c r="G179" s="86" t="s">
        <v>716</v>
      </c>
      <c r="H179" s="86" t="s">
        <v>292</v>
      </c>
      <c r="I179" s="86" t="s">
        <v>753</v>
      </c>
      <c r="J179" s="97">
        <v>0</v>
      </c>
      <c r="K179" s="93">
        <v>0</v>
      </c>
      <c r="L179" s="94">
        <v>0</v>
      </c>
      <c r="M179" s="94">
        <v>0</v>
      </c>
      <c r="N179" s="94">
        <v>0</v>
      </c>
      <c r="O179" s="94">
        <v>0</v>
      </c>
      <c r="P179" s="94">
        <v>0</v>
      </c>
      <c r="Q179" s="94">
        <v>0</v>
      </c>
      <c r="R179" s="94">
        <v>0</v>
      </c>
      <c r="S179" s="94">
        <v>0</v>
      </c>
      <c r="T179" s="156">
        <v>0</v>
      </c>
      <c r="U179" s="152">
        <v>0</v>
      </c>
      <c r="V179" s="151">
        <v>0</v>
      </c>
      <c r="W179" s="151">
        <v>0</v>
      </c>
      <c r="X179" s="151"/>
      <c r="Y179" s="8" t="s">
        <v>1001</v>
      </c>
    </row>
    <row r="180" spans="1:25" ht="30" customHeight="1">
      <c r="A180">
        <v>174</v>
      </c>
      <c r="B180" s="84" t="s">
        <v>425</v>
      </c>
      <c r="C180" s="85" t="s">
        <v>628</v>
      </c>
      <c r="D180" s="86" t="s">
        <v>127</v>
      </c>
      <c r="E180" s="86" t="s">
        <v>283</v>
      </c>
      <c r="F180" s="86" t="s">
        <v>935</v>
      </c>
      <c r="G180" s="86" t="s">
        <v>715</v>
      </c>
      <c r="H180" s="86" t="s">
        <v>291</v>
      </c>
      <c r="I180" s="86" t="s">
        <v>755</v>
      </c>
      <c r="J180" s="97">
        <v>0</v>
      </c>
      <c r="K180" s="93">
        <v>0</v>
      </c>
      <c r="L180" s="94">
        <v>0</v>
      </c>
      <c r="M180" s="94">
        <v>0</v>
      </c>
      <c r="N180" s="94">
        <v>0</v>
      </c>
      <c r="O180" s="94">
        <v>0</v>
      </c>
      <c r="P180" s="94">
        <v>0</v>
      </c>
      <c r="Q180" s="94">
        <v>0</v>
      </c>
      <c r="R180" s="94">
        <v>0</v>
      </c>
      <c r="S180" s="94">
        <v>0</v>
      </c>
      <c r="T180" s="156">
        <v>0</v>
      </c>
      <c r="U180" s="152">
        <v>0</v>
      </c>
      <c r="V180" s="151">
        <v>0</v>
      </c>
      <c r="W180" s="151">
        <v>0</v>
      </c>
      <c r="X180" s="151"/>
      <c r="Y180" s="8" t="s">
        <v>1001</v>
      </c>
    </row>
    <row r="181" spans="1:25" ht="30" customHeight="1">
      <c r="A181">
        <v>175</v>
      </c>
      <c r="B181" s="84" t="s">
        <v>426</v>
      </c>
      <c r="C181" s="85" t="s">
        <v>629</v>
      </c>
      <c r="D181" s="86" t="s">
        <v>127</v>
      </c>
      <c r="E181" s="86" t="s">
        <v>283</v>
      </c>
      <c r="F181" s="86" t="s">
        <v>935</v>
      </c>
      <c r="G181" s="86" t="s">
        <v>715</v>
      </c>
      <c r="H181" s="86" t="s">
        <v>291</v>
      </c>
      <c r="I181" s="86" t="s">
        <v>755</v>
      </c>
      <c r="J181" s="97">
        <v>0</v>
      </c>
      <c r="K181" s="93">
        <v>0</v>
      </c>
      <c r="L181" s="94">
        <v>0</v>
      </c>
      <c r="M181" s="94">
        <v>0</v>
      </c>
      <c r="N181" s="94">
        <v>0</v>
      </c>
      <c r="O181" s="94">
        <v>0</v>
      </c>
      <c r="P181" s="94">
        <v>0</v>
      </c>
      <c r="Q181" s="94">
        <v>0</v>
      </c>
      <c r="R181" s="94">
        <v>0</v>
      </c>
      <c r="S181" s="94">
        <v>0</v>
      </c>
      <c r="T181" s="156">
        <v>0</v>
      </c>
      <c r="U181" s="152">
        <v>0</v>
      </c>
      <c r="V181" s="151">
        <v>0</v>
      </c>
      <c r="W181" s="151">
        <v>0</v>
      </c>
      <c r="X181" s="151"/>
      <c r="Y181" s="8" t="s">
        <v>1001</v>
      </c>
    </row>
    <row r="182" spans="1:25" ht="30" customHeight="1">
      <c r="A182">
        <v>176</v>
      </c>
      <c r="B182" s="84" t="s">
        <v>427</v>
      </c>
      <c r="C182" s="85" t="s">
        <v>630</v>
      </c>
      <c r="D182" s="86" t="s">
        <v>127</v>
      </c>
      <c r="E182" s="86" t="s">
        <v>283</v>
      </c>
      <c r="F182" s="86" t="s">
        <v>935</v>
      </c>
      <c r="G182" s="86" t="s">
        <v>715</v>
      </c>
      <c r="H182" s="86" t="s">
        <v>291</v>
      </c>
      <c r="I182" s="86" t="s">
        <v>755</v>
      </c>
      <c r="J182" s="97">
        <v>0</v>
      </c>
      <c r="K182" s="93">
        <v>0</v>
      </c>
      <c r="L182" s="94">
        <v>0</v>
      </c>
      <c r="M182" s="94">
        <v>0</v>
      </c>
      <c r="N182" s="94">
        <v>0</v>
      </c>
      <c r="O182" s="94">
        <v>0</v>
      </c>
      <c r="P182" s="94">
        <v>0</v>
      </c>
      <c r="Q182" s="94">
        <v>0</v>
      </c>
      <c r="R182" s="94">
        <v>0</v>
      </c>
      <c r="S182" s="94">
        <v>0</v>
      </c>
      <c r="T182" s="156">
        <v>0</v>
      </c>
      <c r="U182" s="152">
        <v>0</v>
      </c>
      <c r="V182" s="151">
        <v>0</v>
      </c>
      <c r="W182" s="151">
        <v>0</v>
      </c>
      <c r="X182" s="151"/>
      <c r="Y182" s="8" t="s">
        <v>1001</v>
      </c>
    </row>
    <row r="183" spans="1:25" ht="30" customHeight="1">
      <c r="A183">
        <v>177</v>
      </c>
      <c r="B183" s="87" t="s">
        <v>428</v>
      </c>
      <c r="C183" s="85" t="s">
        <v>806</v>
      </c>
      <c r="D183" s="86" t="s">
        <v>127</v>
      </c>
      <c r="E183" s="86" t="s">
        <v>283</v>
      </c>
      <c r="F183" s="86" t="s">
        <v>935</v>
      </c>
      <c r="G183" s="86" t="s">
        <v>716</v>
      </c>
      <c r="H183" s="86" t="s">
        <v>292</v>
      </c>
      <c r="I183" s="86" t="s">
        <v>753</v>
      </c>
      <c r="J183" s="97">
        <v>0</v>
      </c>
      <c r="K183" s="93">
        <v>0</v>
      </c>
      <c r="L183" s="94">
        <v>0</v>
      </c>
      <c r="M183" s="94">
        <v>0</v>
      </c>
      <c r="N183" s="94">
        <v>0</v>
      </c>
      <c r="O183" s="94">
        <v>0</v>
      </c>
      <c r="P183" s="94">
        <v>0</v>
      </c>
      <c r="Q183" s="94">
        <v>0</v>
      </c>
      <c r="R183" s="94">
        <v>0</v>
      </c>
      <c r="S183" s="94">
        <v>0</v>
      </c>
      <c r="T183" s="156">
        <v>0</v>
      </c>
      <c r="U183" s="152">
        <v>0</v>
      </c>
      <c r="V183" s="151">
        <v>0</v>
      </c>
      <c r="W183" s="151">
        <v>0</v>
      </c>
      <c r="X183" s="151"/>
      <c r="Y183" s="8" t="s">
        <v>1001</v>
      </c>
    </row>
    <row r="184" spans="1:25" ht="30" customHeight="1">
      <c r="A184">
        <v>178</v>
      </c>
      <c r="B184" s="87" t="s">
        <v>429</v>
      </c>
      <c r="C184" s="85" t="s">
        <v>631</v>
      </c>
      <c r="D184" s="86" t="s">
        <v>127</v>
      </c>
      <c r="E184" s="86" t="s">
        <v>283</v>
      </c>
      <c r="F184" s="86" t="s">
        <v>935</v>
      </c>
      <c r="G184" s="86" t="s">
        <v>716</v>
      </c>
      <c r="H184" s="86" t="s">
        <v>292</v>
      </c>
      <c r="I184" s="86" t="s">
        <v>753</v>
      </c>
      <c r="J184" s="97">
        <v>0</v>
      </c>
      <c r="K184" s="93">
        <v>0</v>
      </c>
      <c r="L184" s="94">
        <v>0</v>
      </c>
      <c r="M184" s="94">
        <v>0</v>
      </c>
      <c r="N184" s="94">
        <v>0</v>
      </c>
      <c r="O184" s="94">
        <v>0</v>
      </c>
      <c r="P184" s="94">
        <v>0</v>
      </c>
      <c r="Q184" s="94">
        <v>0</v>
      </c>
      <c r="R184" s="94">
        <v>0</v>
      </c>
      <c r="S184" s="94">
        <v>0</v>
      </c>
      <c r="T184" s="156">
        <v>0</v>
      </c>
      <c r="U184" s="152">
        <v>0</v>
      </c>
      <c r="V184" s="151">
        <v>0</v>
      </c>
      <c r="W184" s="151">
        <v>0</v>
      </c>
      <c r="X184" s="151"/>
      <c r="Y184" s="8" t="s">
        <v>1001</v>
      </c>
    </row>
    <row r="185" spans="1:25" ht="30" customHeight="1">
      <c r="A185">
        <v>179</v>
      </c>
      <c r="B185" s="87" t="s">
        <v>430</v>
      </c>
      <c r="C185" s="85" t="s">
        <v>632</v>
      </c>
      <c r="D185" s="86" t="s">
        <v>127</v>
      </c>
      <c r="E185" s="86" t="s">
        <v>283</v>
      </c>
      <c r="F185" s="86" t="s">
        <v>935</v>
      </c>
      <c r="G185" s="86" t="s">
        <v>719</v>
      </c>
      <c r="H185" s="86" t="s">
        <v>712</v>
      </c>
      <c r="I185" s="86" t="s">
        <v>720</v>
      </c>
      <c r="J185" s="97">
        <v>0</v>
      </c>
      <c r="K185" s="93">
        <v>0</v>
      </c>
      <c r="L185" s="94">
        <v>0</v>
      </c>
      <c r="M185" s="94">
        <v>0</v>
      </c>
      <c r="N185" s="94">
        <v>0</v>
      </c>
      <c r="O185" s="94">
        <v>0</v>
      </c>
      <c r="P185" s="94">
        <v>0</v>
      </c>
      <c r="Q185" s="94">
        <v>0</v>
      </c>
      <c r="R185" s="94">
        <v>0</v>
      </c>
      <c r="S185" s="94">
        <v>0</v>
      </c>
      <c r="T185" s="156">
        <v>0</v>
      </c>
      <c r="U185" s="152">
        <v>0</v>
      </c>
      <c r="V185" s="151">
        <v>0</v>
      </c>
      <c r="W185" s="151">
        <v>0</v>
      </c>
      <c r="X185" s="151"/>
      <c r="Y185" s="8" t="s">
        <v>999</v>
      </c>
    </row>
    <row r="186" spans="1:25" ht="30" customHeight="1">
      <c r="A186">
        <v>180</v>
      </c>
      <c r="B186" s="87" t="s">
        <v>431</v>
      </c>
      <c r="C186" s="85" t="s">
        <v>633</v>
      </c>
      <c r="D186" s="86" t="s">
        <v>1156</v>
      </c>
      <c r="E186" s="86" t="s">
        <v>283</v>
      </c>
      <c r="F186" s="86" t="s">
        <v>935</v>
      </c>
      <c r="G186" s="86" t="s">
        <v>716</v>
      </c>
      <c r="H186" s="86" t="s">
        <v>292</v>
      </c>
      <c r="I186" s="86" t="s">
        <v>753</v>
      </c>
      <c r="J186" s="97">
        <v>0</v>
      </c>
      <c r="K186" s="93">
        <v>0</v>
      </c>
      <c r="L186" s="94">
        <v>0</v>
      </c>
      <c r="M186" s="94">
        <v>0</v>
      </c>
      <c r="N186" s="94">
        <v>0</v>
      </c>
      <c r="O186" s="94">
        <v>0</v>
      </c>
      <c r="P186" s="94">
        <v>0</v>
      </c>
      <c r="Q186" s="94">
        <v>0</v>
      </c>
      <c r="R186" s="94">
        <v>0</v>
      </c>
      <c r="S186" s="94">
        <v>0</v>
      </c>
      <c r="T186" s="156">
        <v>0</v>
      </c>
      <c r="U186" s="152">
        <v>0</v>
      </c>
      <c r="V186" s="151">
        <v>0</v>
      </c>
      <c r="W186" s="151">
        <v>0</v>
      </c>
      <c r="X186" s="151"/>
      <c r="Y186" s="8" t="s">
        <v>1001</v>
      </c>
    </row>
    <row r="187" spans="1:25" ht="30" customHeight="1">
      <c r="A187">
        <v>181</v>
      </c>
      <c r="B187" s="87" t="s">
        <v>432</v>
      </c>
      <c r="C187" s="85" t="s">
        <v>634</v>
      </c>
      <c r="D187" s="86" t="s">
        <v>123</v>
      </c>
      <c r="E187" s="86" t="s">
        <v>283</v>
      </c>
      <c r="F187" s="86" t="s">
        <v>935</v>
      </c>
      <c r="G187" s="86" t="s">
        <v>716</v>
      </c>
      <c r="H187" s="86" t="s">
        <v>292</v>
      </c>
      <c r="I187" s="86" t="s">
        <v>753</v>
      </c>
      <c r="J187" s="97">
        <v>0</v>
      </c>
      <c r="K187" s="93">
        <v>0</v>
      </c>
      <c r="L187" s="94">
        <v>0</v>
      </c>
      <c r="M187" s="94">
        <v>0</v>
      </c>
      <c r="N187" s="94">
        <v>0</v>
      </c>
      <c r="O187" s="94">
        <v>0</v>
      </c>
      <c r="P187" s="94">
        <v>0</v>
      </c>
      <c r="Q187" s="94">
        <v>0</v>
      </c>
      <c r="R187" s="94">
        <v>0</v>
      </c>
      <c r="S187" s="94">
        <v>0</v>
      </c>
      <c r="T187" s="156">
        <v>0</v>
      </c>
      <c r="U187" s="152">
        <v>0</v>
      </c>
      <c r="V187" s="151">
        <v>0</v>
      </c>
      <c r="W187" s="151">
        <v>0</v>
      </c>
      <c r="X187" s="151"/>
      <c r="Y187" s="8" t="s">
        <v>1001</v>
      </c>
    </row>
    <row r="188" spans="1:25" ht="30" customHeight="1">
      <c r="A188">
        <v>182</v>
      </c>
      <c r="B188" s="87" t="s">
        <v>433</v>
      </c>
      <c r="C188" s="85" t="s">
        <v>1037</v>
      </c>
      <c r="D188" s="86" t="s">
        <v>123</v>
      </c>
      <c r="E188" s="86" t="s">
        <v>283</v>
      </c>
      <c r="F188" s="86" t="s">
        <v>935</v>
      </c>
      <c r="G188" s="86" t="s">
        <v>716</v>
      </c>
      <c r="H188" s="86" t="s">
        <v>292</v>
      </c>
      <c r="I188" s="86" t="s">
        <v>753</v>
      </c>
      <c r="J188" s="97">
        <v>0</v>
      </c>
      <c r="K188" s="93">
        <v>0</v>
      </c>
      <c r="L188" s="94">
        <v>0</v>
      </c>
      <c r="M188" s="94">
        <v>0</v>
      </c>
      <c r="N188" s="94">
        <v>0</v>
      </c>
      <c r="O188" s="94">
        <v>0</v>
      </c>
      <c r="P188" s="94">
        <v>0</v>
      </c>
      <c r="Q188" s="94">
        <v>0</v>
      </c>
      <c r="R188" s="94">
        <v>0</v>
      </c>
      <c r="S188" s="94">
        <v>0</v>
      </c>
      <c r="T188" s="156">
        <v>0</v>
      </c>
      <c r="U188" s="152">
        <v>0</v>
      </c>
      <c r="V188" s="151">
        <v>0</v>
      </c>
      <c r="W188" s="151">
        <v>0</v>
      </c>
      <c r="X188" s="151"/>
      <c r="Y188" s="8" t="s">
        <v>1002</v>
      </c>
    </row>
    <row r="189" spans="1:25" ht="30" customHeight="1">
      <c r="A189">
        <v>183</v>
      </c>
      <c r="B189" s="87" t="s">
        <v>434</v>
      </c>
      <c r="C189" s="85" t="s">
        <v>635</v>
      </c>
      <c r="D189" s="86" t="s">
        <v>123</v>
      </c>
      <c r="E189" s="86" t="s">
        <v>283</v>
      </c>
      <c r="F189" s="86" t="s">
        <v>935</v>
      </c>
      <c r="G189" s="86" t="s">
        <v>716</v>
      </c>
      <c r="H189" s="86" t="s">
        <v>292</v>
      </c>
      <c r="I189" s="86" t="s">
        <v>753</v>
      </c>
      <c r="J189" s="97">
        <v>0</v>
      </c>
      <c r="K189" s="93">
        <v>0</v>
      </c>
      <c r="L189" s="94">
        <v>0</v>
      </c>
      <c r="M189" s="94">
        <v>0</v>
      </c>
      <c r="N189" s="94">
        <v>0</v>
      </c>
      <c r="O189" s="94">
        <v>0</v>
      </c>
      <c r="P189" s="94">
        <v>0</v>
      </c>
      <c r="Q189" s="94">
        <v>0</v>
      </c>
      <c r="R189" s="94">
        <v>0</v>
      </c>
      <c r="S189" s="94">
        <v>0</v>
      </c>
      <c r="T189" s="156">
        <v>0</v>
      </c>
      <c r="U189" s="152">
        <v>0</v>
      </c>
      <c r="V189" s="151">
        <v>0</v>
      </c>
      <c r="W189" s="151">
        <v>0</v>
      </c>
      <c r="X189" s="151"/>
      <c r="Y189" s="8" t="s">
        <v>1001</v>
      </c>
    </row>
    <row r="190" spans="1:25" ht="30" customHeight="1">
      <c r="A190">
        <v>184</v>
      </c>
      <c r="B190" s="87" t="s">
        <v>435</v>
      </c>
      <c r="C190" s="85" t="s">
        <v>636</v>
      </c>
      <c r="D190" s="86" t="s">
        <v>123</v>
      </c>
      <c r="E190" s="86" t="s">
        <v>283</v>
      </c>
      <c r="F190" s="86" t="s">
        <v>935</v>
      </c>
      <c r="G190" s="86" t="s">
        <v>716</v>
      </c>
      <c r="H190" s="86" t="s">
        <v>292</v>
      </c>
      <c r="I190" s="86" t="s">
        <v>753</v>
      </c>
      <c r="J190" s="97">
        <v>0</v>
      </c>
      <c r="K190" s="93">
        <v>0</v>
      </c>
      <c r="L190" s="94">
        <v>0</v>
      </c>
      <c r="M190" s="94">
        <v>0</v>
      </c>
      <c r="N190" s="94">
        <v>0</v>
      </c>
      <c r="O190" s="94">
        <v>0</v>
      </c>
      <c r="P190" s="94">
        <v>0</v>
      </c>
      <c r="Q190" s="94">
        <v>0</v>
      </c>
      <c r="R190" s="94">
        <v>0</v>
      </c>
      <c r="S190" s="94">
        <v>0</v>
      </c>
      <c r="T190" s="156">
        <v>0</v>
      </c>
      <c r="U190" s="152">
        <v>0</v>
      </c>
      <c r="V190" s="151">
        <v>0</v>
      </c>
      <c r="W190" s="151">
        <v>0</v>
      </c>
      <c r="X190" s="151"/>
      <c r="Y190" s="8" t="s">
        <v>1001</v>
      </c>
    </row>
    <row r="191" spans="1:25" ht="30" customHeight="1">
      <c r="A191">
        <v>185</v>
      </c>
      <c r="B191" s="87" t="s">
        <v>436</v>
      </c>
      <c r="C191" s="85" t="s">
        <v>1038</v>
      </c>
      <c r="D191" s="86" t="s">
        <v>123</v>
      </c>
      <c r="E191" s="86" t="s">
        <v>283</v>
      </c>
      <c r="F191" s="86" t="s">
        <v>935</v>
      </c>
      <c r="G191" s="86" t="s">
        <v>716</v>
      </c>
      <c r="H191" s="86" t="s">
        <v>292</v>
      </c>
      <c r="I191" s="86" t="s">
        <v>753</v>
      </c>
      <c r="J191" s="97">
        <v>0</v>
      </c>
      <c r="K191" s="93">
        <v>0</v>
      </c>
      <c r="L191" s="94">
        <v>0</v>
      </c>
      <c r="M191" s="94">
        <v>0</v>
      </c>
      <c r="N191" s="94">
        <v>0</v>
      </c>
      <c r="O191" s="94">
        <v>0</v>
      </c>
      <c r="P191" s="94">
        <v>0</v>
      </c>
      <c r="Q191" s="94">
        <v>0</v>
      </c>
      <c r="R191" s="94">
        <v>0</v>
      </c>
      <c r="S191" s="94">
        <v>0</v>
      </c>
      <c r="T191" s="156">
        <v>0</v>
      </c>
      <c r="U191" s="152">
        <v>0</v>
      </c>
      <c r="V191" s="151">
        <v>0</v>
      </c>
      <c r="W191" s="151">
        <v>0</v>
      </c>
      <c r="X191" s="151"/>
      <c r="Y191" s="8" t="s">
        <v>1001</v>
      </c>
    </row>
    <row r="192" spans="1:25" ht="30" customHeight="1">
      <c r="A192">
        <v>186</v>
      </c>
      <c r="B192" s="87" t="s">
        <v>437</v>
      </c>
      <c r="C192" s="85" t="s">
        <v>637</v>
      </c>
      <c r="D192" s="86" t="s">
        <v>728</v>
      </c>
      <c r="E192" s="86" t="s">
        <v>283</v>
      </c>
      <c r="F192" s="86" t="s">
        <v>935</v>
      </c>
      <c r="G192" s="86">
        <v>0</v>
      </c>
      <c r="H192" s="86" t="e">
        <v>#N/A</v>
      </c>
      <c r="I192" s="86" t="e">
        <v>#N/A</v>
      </c>
      <c r="J192" s="97">
        <v>0</v>
      </c>
      <c r="K192" s="93">
        <v>0</v>
      </c>
      <c r="L192" s="94">
        <v>0</v>
      </c>
      <c r="M192" s="94">
        <v>0</v>
      </c>
      <c r="N192" s="94">
        <v>0</v>
      </c>
      <c r="O192" s="94">
        <v>0</v>
      </c>
      <c r="P192" s="94">
        <v>0</v>
      </c>
      <c r="Q192" s="94">
        <v>0</v>
      </c>
      <c r="R192" s="94">
        <v>0</v>
      </c>
      <c r="S192" s="94">
        <v>0</v>
      </c>
      <c r="T192" s="156">
        <v>0</v>
      </c>
      <c r="U192" s="152">
        <v>0</v>
      </c>
      <c r="V192" s="151">
        <v>0</v>
      </c>
      <c r="W192" s="151">
        <v>0</v>
      </c>
      <c r="X192" s="151"/>
      <c r="Y192" s="8">
        <v>0</v>
      </c>
    </row>
    <row r="193" spans="1:25" ht="30" customHeight="1">
      <c r="A193">
        <v>187</v>
      </c>
      <c r="B193" s="84" t="s">
        <v>438</v>
      </c>
      <c r="C193" s="85" t="s">
        <v>638</v>
      </c>
      <c r="D193" s="86" t="s">
        <v>728</v>
      </c>
      <c r="E193" s="86" t="s">
        <v>283</v>
      </c>
      <c r="F193" s="86" t="s">
        <v>935</v>
      </c>
      <c r="G193" s="86" t="s">
        <v>716</v>
      </c>
      <c r="H193" s="86" t="s">
        <v>292</v>
      </c>
      <c r="I193" s="86" t="s">
        <v>753</v>
      </c>
      <c r="J193" s="97">
        <v>0</v>
      </c>
      <c r="K193" s="93">
        <v>0</v>
      </c>
      <c r="L193" s="94">
        <v>0</v>
      </c>
      <c r="M193" s="94">
        <v>0</v>
      </c>
      <c r="N193" s="94">
        <v>0</v>
      </c>
      <c r="O193" s="94">
        <v>0</v>
      </c>
      <c r="P193" s="94">
        <v>0</v>
      </c>
      <c r="Q193" s="94">
        <v>0</v>
      </c>
      <c r="R193" s="94">
        <v>0</v>
      </c>
      <c r="S193" s="94">
        <v>0</v>
      </c>
      <c r="T193" s="156">
        <v>0</v>
      </c>
      <c r="U193" s="152">
        <v>0</v>
      </c>
      <c r="V193" s="151">
        <v>0</v>
      </c>
      <c r="W193" s="151">
        <v>0</v>
      </c>
      <c r="X193" s="151"/>
      <c r="Y193" s="8">
        <v>0</v>
      </c>
    </row>
    <row r="194" spans="1:25" ht="30" customHeight="1">
      <c r="A194">
        <v>188</v>
      </c>
      <c r="B194" s="87" t="s">
        <v>439</v>
      </c>
      <c r="C194" s="85" t="s">
        <v>639</v>
      </c>
      <c r="D194" s="86" t="s">
        <v>123</v>
      </c>
      <c r="E194" s="86" t="s">
        <v>283</v>
      </c>
      <c r="F194" s="86" t="s">
        <v>935</v>
      </c>
      <c r="G194" s="86" t="s">
        <v>716</v>
      </c>
      <c r="H194" s="86" t="s">
        <v>292</v>
      </c>
      <c r="I194" s="86" t="s">
        <v>753</v>
      </c>
      <c r="J194" s="97">
        <v>0</v>
      </c>
      <c r="K194" s="93">
        <v>0</v>
      </c>
      <c r="L194" s="94">
        <v>0</v>
      </c>
      <c r="M194" s="94">
        <v>0</v>
      </c>
      <c r="N194" s="94">
        <v>0</v>
      </c>
      <c r="O194" s="94">
        <v>0</v>
      </c>
      <c r="P194" s="94">
        <v>0</v>
      </c>
      <c r="Q194" s="94">
        <v>0</v>
      </c>
      <c r="R194" s="94">
        <v>0</v>
      </c>
      <c r="S194" s="94">
        <v>0</v>
      </c>
      <c r="T194" s="156">
        <v>0</v>
      </c>
      <c r="U194" s="152">
        <v>0</v>
      </c>
      <c r="V194" s="151">
        <v>0</v>
      </c>
      <c r="W194" s="151">
        <v>0</v>
      </c>
      <c r="X194" s="151"/>
      <c r="Y194" s="8" t="s">
        <v>1001</v>
      </c>
    </row>
    <row r="195" spans="1:25" ht="30" customHeight="1">
      <c r="A195">
        <v>189</v>
      </c>
      <c r="B195" s="87" t="s">
        <v>440</v>
      </c>
      <c r="C195" s="85" t="s">
        <v>640</v>
      </c>
      <c r="D195" s="86" t="s">
        <v>123</v>
      </c>
      <c r="E195" s="86" t="s">
        <v>283</v>
      </c>
      <c r="F195" s="86" t="s">
        <v>935</v>
      </c>
      <c r="G195" s="86" t="s">
        <v>716</v>
      </c>
      <c r="H195" s="86" t="s">
        <v>292</v>
      </c>
      <c r="I195" s="86" t="s">
        <v>753</v>
      </c>
      <c r="J195" s="97">
        <v>0</v>
      </c>
      <c r="K195" s="93">
        <v>0</v>
      </c>
      <c r="L195" s="94">
        <v>0</v>
      </c>
      <c r="M195" s="94">
        <v>0</v>
      </c>
      <c r="N195" s="94">
        <v>0</v>
      </c>
      <c r="O195" s="94">
        <v>0</v>
      </c>
      <c r="P195" s="94">
        <v>0</v>
      </c>
      <c r="Q195" s="94">
        <v>0</v>
      </c>
      <c r="R195" s="94">
        <v>0</v>
      </c>
      <c r="S195" s="94">
        <v>0</v>
      </c>
      <c r="T195" s="156">
        <v>0</v>
      </c>
      <c r="U195" s="152">
        <v>0</v>
      </c>
      <c r="V195" s="151">
        <v>0</v>
      </c>
      <c r="W195" s="151">
        <v>0</v>
      </c>
      <c r="X195" s="151"/>
      <c r="Y195" s="8" t="s">
        <v>1001</v>
      </c>
    </row>
    <row r="196" spans="1:25" ht="30" customHeight="1">
      <c r="A196">
        <v>190</v>
      </c>
      <c r="B196" s="84" t="s">
        <v>441</v>
      </c>
      <c r="C196" s="85" t="s">
        <v>641</v>
      </c>
      <c r="D196" s="86" t="s">
        <v>123</v>
      </c>
      <c r="E196" s="86" t="s">
        <v>283</v>
      </c>
      <c r="F196" s="86" t="s">
        <v>935</v>
      </c>
      <c r="G196" s="86" t="s">
        <v>716</v>
      </c>
      <c r="H196" s="86" t="s">
        <v>292</v>
      </c>
      <c r="I196" s="86" t="s">
        <v>753</v>
      </c>
      <c r="J196" s="97">
        <v>0</v>
      </c>
      <c r="K196" s="93">
        <v>0</v>
      </c>
      <c r="L196" s="94">
        <v>0</v>
      </c>
      <c r="M196" s="94">
        <v>0</v>
      </c>
      <c r="N196" s="94">
        <v>0</v>
      </c>
      <c r="O196" s="94">
        <v>0</v>
      </c>
      <c r="P196" s="94">
        <v>0</v>
      </c>
      <c r="Q196" s="94">
        <v>0</v>
      </c>
      <c r="R196" s="94">
        <v>0</v>
      </c>
      <c r="S196" s="94">
        <v>0</v>
      </c>
      <c r="T196" s="156">
        <v>0</v>
      </c>
      <c r="U196" s="152">
        <v>0</v>
      </c>
      <c r="V196" s="151">
        <v>0</v>
      </c>
      <c r="W196" s="151">
        <v>0</v>
      </c>
      <c r="X196" s="151"/>
      <c r="Y196" s="8" t="s">
        <v>1001</v>
      </c>
    </row>
    <row r="197" spans="1:25" ht="30" customHeight="1">
      <c r="A197">
        <v>191</v>
      </c>
      <c r="B197" s="84" t="s">
        <v>442</v>
      </c>
      <c r="C197" s="85" t="s">
        <v>642</v>
      </c>
      <c r="D197" s="86" t="s">
        <v>123</v>
      </c>
      <c r="E197" s="86" t="s">
        <v>283</v>
      </c>
      <c r="F197" s="86" t="s">
        <v>935</v>
      </c>
      <c r="G197" s="86" t="s">
        <v>716</v>
      </c>
      <c r="H197" s="86" t="s">
        <v>292</v>
      </c>
      <c r="I197" s="86" t="s">
        <v>753</v>
      </c>
      <c r="J197" s="97">
        <v>0</v>
      </c>
      <c r="K197" s="93">
        <v>0</v>
      </c>
      <c r="L197" s="94">
        <v>0</v>
      </c>
      <c r="M197" s="94">
        <v>0</v>
      </c>
      <c r="N197" s="94">
        <v>0</v>
      </c>
      <c r="O197" s="94">
        <v>0</v>
      </c>
      <c r="P197" s="94">
        <v>0</v>
      </c>
      <c r="Q197" s="94">
        <v>0</v>
      </c>
      <c r="R197" s="94">
        <v>0</v>
      </c>
      <c r="S197" s="94">
        <v>0</v>
      </c>
      <c r="T197" s="156">
        <v>0</v>
      </c>
      <c r="U197" s="152">
        <v>0</v>
      </c>
      <c r="V197" s="151">
        <v>0</v>
      </c>
      <c r="W197" s="151">
        <v>0</v>
      </c>
      <c r="X197" s="151"/>
      <c r="Y197" s="8" t="s">
        <v>1001</v>
      </c>
    </row>
    <row r="198" spans="1:25" ht="30" customHeight="1">
      <c r="A198">
        <v>192</v>
      </c>
      <c r="B198" s="87" t="s">
        <v>443</v>
      </c>
      <c r="C198" s="85" t="s">
        <v>747</v>
      </c>
      <c r="D198" s="86" t="s">
        <v>123</v>
      </c>
      <c r="E198" s="86" t="s">
        <v>283</v>
      </c>
      <c r="F198" s="86" t="s">
        <v>935</v>
      </c>
      <c r="G198" s="86" t="s">
        <v>716</v>
      </c>
      <c r="H198" s="86" t="s">
        <v>292</v>
      </c>
      <c r="I198" s="86" t="s">
        <v>753</v>
      </c>
      <c r="J198" s="97">
        <v>0</v>
      </c>
      <c r="K198" s="93">
        <v>0</v>
      </c>
      <c r="L198" s="94">
        <v>0</v>
      </c>
      <c r="M198" s="94">
        <v>0</v>
      </c>
      <c r="N198" s="94">
        <v>0</v>
      </c>
      <c r="O198" s="94">
        <v>0</v>
      </c>
      <c r="P198" s="94">
        <v>0</v>
      </c>
      <c r="Q198" s="94">
        <v>0</v>
      </c>
      <c r="R198" s="94">
        <v>0</v>
      </c>
      <c r="S198" s="94">
        <v>0</v>
      </c>
      <c r="T198" s="156">
        <v>0</v>
      </c>
      <c r="U198" s="152">
        <v>0</v>
      </c>
      <c r="V198" s="151">
        <v>0</v>
      </c>
      <c r="W198" s="151">
        <v>0</v>
      </c>
      <c r="X198" s="151"/>
      <c r="Y198" s="8" t="s">
        <v>1001</v>
      </c>
    </row>
    <row r="199" spans="1:25" ht="30" customHeight="1">
      <c r="A199">
        <v>193</v>
      </c>
      <c r="B199" s="84" t="s">
        <v>444</v>
      </c>
      <c r="C199" s="85" t="s">
        <v>748</v>
      </c>
      <c r="D199" s="86" t="s">
        <v>123</v>
      </c>
      <c r="E199" s="86" t="s">
        <v>283</v>
      </c>
      <c r="F199" s="86" t="s">
        <v>935</v>
      </c>
      <c r="G199" s="86" t="s">
        <v>716</v>
      </c>
      <c r="H199" s="86" t="s">
        <v>292</v>
      </c>
      <c r="I199" s="86" t="s">
        <v>753</v>
      </c>
      <c r="J199" s="97">
        <v>0</v>
      </c>
      <c r="K199" s="93">
        <v>0</v>
      </c>
      <c r="L199" s="94">
        <v>0</v>
      </c>
      <c r="M199" s="94">
        <v>0</v>
      </c>
      <c r="N199" s="94">
        <v>0</v>
      </c>
      <c r="O199" s="94">
        <v>0</v>
      </c>
      <c r="P199" s="94">
        <v>0</v>
      </c>
      <c r="Q199" s="94">
        <v>0</v>
      </c>
      <c r="R199" s="94">
        <v>0</v>
      </c>
      <c r="S199" s="94">
        <v>0</v>
      </c>
      <c r="T199" s="156">
        <v>0</v>
      </c>
      <c r="U199" s="152">
        <v>0</v>
      </c>
      <c r="V199" s="151">
        <v>0</v>
      </c>
      <c r="W199" s="151">
        <v>0</v>
      </c>
      <c r="X199" s="151"/>
      <c r="Y199" s="8" t="s">
        <v>1001</v>
      </c>
    </row>
    <row r="200" spans="1:25" ht="30" customHeight="1">
      <c r="A200">
        <v>194</v>
      </c>
      <c r="B200" s="87" t="s">
        <v>445</v>
      </c>
      <c r="C200" s="85" t="s">
        <v>643</v>
      </c>
      <c r="D200" s="86" t="s">
        <v>1157</v>
      </c>
      <c r="E200" s="86" t="s">
        <v>283</v>
      </c>
      <c r="F200" s="86" t="s">
        <v>935</v>
      </c>
      <c r="G200" s="86" t="s">
        <v>716</v>
      </c>
      <c r="H200" s="86" t="s">
        <v>292</v>
      </c>
      <c r="I200" s="86" t="s">
        <v>753</v>
      </c>
      <c r="J200" s="97">
        <v>0</v>
      </c>
      <c r="K200" s="93">
        <v>0</v>
      </c>
      <c r="L200" s="94">
        <v>0</v>
      </c>
      <c r="M200" s="94">
        <v>0</v>
      </c>
      <c r="N200" s="94">
        <v>0</v>
      </c>
      <c r="O200" s="94">
        <v>0</v>
      </c>
      <c r="P200" s="94">
        <v>0</v>
      </c>
      <c r="Q200" s="94">
        <v>0</v>
      </c>
      <c r="R200" s="94">
        <v>0</v>
      </c>
      <c r="S200" s="94">
        <v>0</v>
      </c>
      <c r="T200" s="156">
        <v>0</v>
      </c>
      <c r="U200" s="152">
        <v>0</v>
      </c>
      <c r="V200" s="151">
        <v>0</v>
      </c>
      <c r="W200" s="151">
        <v>0</v>
      </c>
      <c r="X200" s="151"/>
      <c r="Y200" s="8" t="s">
        <v>1001</v>
      </c>
    </row>
    <row r="201" spans="1:25" ht="30" customHeight="1">
      <c r="A201">
        <v>195</v>
      </c>
      <c r="B201" s="87" t="s">
        <v>446</v>
      </c>
      <c r="C201" s="85" t="s">
        <v>644</v>
      </c>
      <c r="D201" s="86" t="s">
        <v>123</v>
      </c>
      <c r="E201" s="86" t="s">
        <v>283</v>
      </c>
      <c r="F201" s="86" t="s">
        <v>935</v>
      </c>
      <c r="G201" s="86" t="s">
        <v>716</v>
      </c>
      <c r="H201" s="86" t="s">
        <v>292</v>
      </c>
      <c r="I201" s="86" t="s">
        <v>753</v>
      </c>
      <c r="J201" s="97">
        <v>0</v>
      </c>
      <c r="K201" s="93">
        <v>0</v>
      </c>
      <c r="L201" s="94">
        <v>0</v>
      </c>
      <c r="M201" s="94">
        <v>0</v>
      </c>
      <c r="N201" s="94">
        <v>0</v>
      </c>
      <c r="O201" s="94">
        <v>0</v>
      </c>
      <c r="P201" s="94">
        <v>0</v>
      </c>
      <c r="Q201" s="94">
        <v>0</v>
      </c>
      <c r="R201" s="94">
        <v>0</v>
      </c>
      <c r="S201" s="94">
        <v>0</v>
      </c>
      <c r="T201" s="156">
        <v>0</v>
      </c>
      <c r="U201" s="152">
        <v>0</v>
      </c>
      <c r="V201" s="151">
        <v>0</v>
      </c>
      <c r="W201" s="151">
        <v>0</v>
      </c>
      <c r="X201" s="151"/>
      <c r="Y201" s="8" t="s">
        <v>1001</v>
      </c>
    </row>
    <row r="202" spans="1:25" ht="30" customHeight="1">
      <c r="A202">
        <v>196</v>
      </c>
      <c r="B202" s="84" t="s">
        <v>447</v>
      </c>
      <c r="C202" s="85" t="s">
        <v>645</v>
      </c>
      <c r="D202" s="86" t="s">
        <v>123</v>
      </c>
      <c r="E202" s="86" t="s">
        <v>283</v>
      </c>
      <c r="F202" s="86" t="s">
        <v>935</v>
      </c>
      <c r="G202" s="86" t="s">
        <v>716</v>
      </c>
      <c r="H202" s="86" t="s">
        <v>292</v>
      </c>
      <c r="I202" s="86" t="s">
        <v>753</v>
      </c>
      <c r="J202" s="97">
        <v>0</v>
      </c>
      <c r="K202" s="93">
        <v>0</v>
      </c>
      <c r="L202" s="94">
        <v>0</v>
      </c>
      <c r="M202" s="94">
        <v>0</v>
      </c>
      <c r="N202" s="94">
        <v>0</v>
      </c>
      <c r="O202" s="94">
        <v>0</v>
      </c>
      <c r="P202" s="94">
        <v>0</v>
      </c>
      <c r="Q202" s="94">
        <v>0</v>
      </c>
      <c r="R202" s="94">
        <v>0</v>
      </c>
      <c r="S202" s="94">
        <v>0</v>
      </c>
      <c r="T202" s="156">
        <v>0</v>
      </c>
      <c r="U202" s="152">
        <v>0</v>
      </c>
      <c r="V202" s="151">
        <v>0</v>
      </c>
      <c r="W202" s="151">
        <v>0</v>
      </c>
      <c r="X202" s="151"/>
      <c r="Y202" s="8" t="s">
        <v>1002</v>
      </c>
    </row>
    <row r="203" spans="1:25" ht="30" customHeight="1">
      <c r="A203">
        <v>197</v>
      </c>
      <c r="B203" s="87" t="s">
        <v>448</v>
      </c>
      <c r="C203" s="85" t="s">
        <v>1039</v>
      </c>
      <c r="D203" s="86" t="s">
        <v>123</v>
      </c>
      <c r="E203" s="86" t="s">
        <v>283</v>
      </c>
      <c r="F203" s="86" t="s">
        <v>935</v>
      </c>
      <c r="G203" s="86" t="s">
        <v>716</v>
      </c>
      <c r="H203" s="86" t="s">
        <v>292</v>
      </c>
      <c r="I203" s="86" t="s">
        <v>753</v>
      </c>
      <c r="J203" s="97">
        <v>0</v>
      </c>
      <c r="K203" s="93">
        <v>0</v>
      </c>
      <c r="L203" s="94">
        <v>0</v>
      </c>
      <c r="M203" s="94">
        <v>0</v>
      </c>
      <c r="N203" s="94">
        <v>0</v>
      </c>
      <c r="O203" s="94">
        <v>0</v>
      </c>
      <c r="P203" s="94">
        <v>0</v>
      </c>
      <c r="Q203" s="94">
        <v>0</v>
      </c>
      <c r="R203" s="94">
        <v>0</v>
      </c>
      <c r="S203" s="94">
        <v>0</v>
      </c>
      <c r="T203" s="156">
        <v>0</v>
      </c>
      <c r="U203" s="152">
        <v>0</v>
      </c>
      <c r="V203" s="151">
        <v>0</v>
      </c>
      <c r="W203" s="151">
        <v>0</v>
      </c>
      <c r="X203" s="151"/>
      <c r="Y203" s="8" t="s">
        <v>1001</v>
      </c>
    </row>
    <row r="204" spans="1:25" ht="30" customHeight="1">
      <c r="A204">
        <v>198</v>
      </c>
      <c r="B204" s="87" t="s">
        <v>449</v>
      </c>
      <c r="C204" s="85" t="s">
        <v>646</v>
      </c>
      <c r="D204" s="86" t="s">
        <v>123</v>
      </c>
      <c r="E204" s="86" t="s">
        <v>283</v>
      </c>
      <c r="F204" s="86" t="s">
        <v>935</v>
      </c>
      <c r="G204" s="86" t="s">
        <v>716</v>
      </c>
      <c r="H204" s="86" t="s">
        <v>292</v>
      </c>
      <c r="I204" s="86" t="s">
        <v>753</v>
      </c>
      <c r="J204" s="97">
        <v>0</v>
      </c>
      <c r="K204" s="93">
        <v>0</v>
      </c>
      <c r="L204" s="94">
        <v>0</v>
      </c>
      <c r="M204" s="94">
        <v>0</v>
      </c>
      <c r="N204" s="94">
        <v>0</v>
      </c>
      <c r="O204" s="94">
        <v>0</v>
      </c>
      <c r="P204" s="94">
        <v>0</v>
      </c>
      <c r="Q204" s="94">
        <v>0</v>
      </c>
      <c r="R204" s="94">
        <v>0</v>
      </c>
      <c r="S204" s="94">
        <v>0</v>
      </c>
      <c r="T204" s="156">
        <v>0</v>
      </c>
      <c r="U204" s="152">
        <v>0</v>
      </c>
      <c r="V204" s="151">
        <v>0</v>
      </c>
      <c r="W204" s="151">
        <v>0</v>
      </c>
      <c r="X204" s="151"/>
      <c r="Y204" s="8" t="s">
        <v>1001</v>
      </c>
    </row>
    <row r="205" spans="1:25" ht="30" customHeight="1">
      <c r="A205">
        <v>199</v>
      </c>
      <c r="B205" s="87" t="s">
        <v>450</v>
      </c>
      <c r="C205" s="85" t="s">
        <v>647</v>
      </c>
      <c r="D205" s="86" t="s">
        <v>202</v>
      </c>
      <c r="E205" s="86" t="s">
        <v>283</v>
      </c>
      <c r="F205" s="86" t="s">
        <v>935</v>
      </c>
      <c r="G205" s="86">
        <v>0</v>
      </c>
      <c r="H205" s="86" t="e">
        <v>#N/A</v>
      </c>
      <c r="I205" s="86" t="e">
        <v>#N/A</v>
      </c>
      <c r="J205" s="97">
        <v>0</v>
      </c>
      <c r="K205" s="93">
        <v>0</v>
      </c>
      <c r="L205" s="94">
        <v>0</v>
      </c>
      <c r="M205" s="94">
        <v>0</v>
      </c>
      <c r="N205" s="94">
        <v>0</v>
      </c>
      <c r="O205" s="94">
        <v>0</v>
      </c>
      <c r="P205" s="94">
        <v>0</v>
      </c>
      <c r="Q205" s="94">
        <v>0</v>
      </c>
      <c r="R205" s="94">
        <v>0</v>
      </c>
      <c r="S205" s="94">
        <v>0</v>
      </c>
      <c r="T205" s="156">
        <v>0</v>
      </c>
      <c r="U205" s="152">
        <v>0</v>
      </c>
      <c r="V205" s="151">
        <v>0</v>
      </c>
      <c r="W205" s="151">
        <v>0</v>
      </c>
      <c r="X205" s="151"/>
      <c r="Y205" s="8" t="s">
        <v>1001</v>
      </c>
    </row>
    <row r="206" spans="1:25" ht="30" customHeight="1">
      <c r="A206">
        <v>200</v>
      </c>
      <c r="B206" s="84" t="s">
        <v>451</v>
      </c>
      <c r="C206" s="85" t="s">
        <v>648</v>
      </c>
      <c r="D206" s="86" t="s">
        <v>202</v>
      </c>
      <c r="E206" s="86" t="s">
        <v>283</v>
      </c>
      <c r="F206" s="86" t="s">
        <v>935</v>
      </c>
      <c r="G206" s="86">
        <v>0</v>
      </c>
      <c r="H206" s="86" t="e">
        <v>#N/A</v>
      </c>
      <c r="I206" s="86" t="e">
        <v>#N/A</v>
      </c>
      <c r="J206" s="97">
        <v>0</v>
      </c>
      <c r="K206" s="93">
        <v>0</v>
      </c>
      <c r="L206" s="94">
        <v>0</v>
      </c>
      <c r="M206" s="94">
        <v>0</v>
      </c>
      <c r="N206" s="94">
        <v>0</v>
      </c>
      <c r="O206" s="94">
        <v>0</v>
      </c>
      <c r="P206" s="94">
        <v>0</v>
      </c>
      <c r="Q206" s="94">
        <v>0</v>
      </c>
      <c r="R206" s="94">
        <v>0</v>
      </c>
      <c r="S206" s="94">
        <v>0</v>
      </c>
      <c r="T206" s="156">
        <v>0</v>
      </c>
      <c r="U206" s="152">
        <v>0</v>
      </c>
      <c r="V206" s="151">
        <v>0</v>
      </c>
      <c r="W206" s="151">
        <v>0</v>
      </c>
      <c r="X206" s="151"/>
      <c r="Y206" s="8" t="s">
        <v>1001</v>
      </c>
    </row>
    <row r="207" spans="1:25" ht="30" customHeight="1">
      <c r="A207">
        <v>201</v>
      </c>
      <c r="B207" s="84" t="s">
        <v>452</v>
      </c>
      <c r="C207" s="85" t="s">
        <v>649</v>
      </c>
      <c r="D207" s="86" t="s">
        <v>202</v>
      </c>
      <c r="E207" s="86" t="s">
        <v>283</v>
      </c>
      <c r="F207" s="86" t="s">
        <v>935</v>
      </c>
      <c r="G207" s="86">
        <v>0</v>
      </c>
      <c r="H207" s="86" t="e">
        <v>#N/A</v>
      </c>
      <c r="I207" s="86" t="e">
        <v>#N/A</v>
      </c>
      <c r="J207" s="97">
        <v>0</v>
      </c>
      <c r="K207" s="93">
        <v>0</v>
      </c>
      <c r="L207" s="94">
        <v>0</v>
      </c>
      <c r="M207" s="94">
        <v>0</v>
      </c>
      <c r="N207" s="94">
        <v>0</v>
      </c>
      <c r="O207" s="94">
        <v>0</v>
      </c>
      <c r="P207" s="94">
        <v>0</v>
      </c>
      <c r="Q207" s="94">
        <v>0</v>
      </c>
      <c r="R207" s="94">
        <v>0</v>
      </c>
      <c r="S207" s="94">
        <v>0</v>
      </c>
      <c r="T207" s="156">
        <v>0</v>
      </c>
      <c r="U207" s="152">
        <v>0</v>
      </c>
      <c r="V207" s="151">
        <v>0</v>
      </c>
      <c r="W207" s="151">
        <v>0</v>
      </c>
      <c r="X207" s="151"/>
      <c r="Y207" s="8" t="s">
        <v>1001</v>
      </c>
    </row>
    <row r="208" spans="1:25" ht="30" customHeight="1">
      <c r="A208">
        <v>202</v>
      </c>
      <c r="B208" s="84" t="s">
        <v>453</v>
      </c>
      <c r="C208" s="85" t="s">
        <v>650</v>
      </c>
      <c r="D208" s="86" t="s">
        <v>121</v>
      </c>
      <c r="E208" s="86" t="s">
        <v>283</v>
      </c>
      <c r="F208" s="86" t="s">
        <v>935</v>
      </c>
      <c r="G208" s="86" t="s">
        <v>716</v>
      </c>
      <c r="H208" s="86" t="s">
        <v>292</v>
      </c>
      <c r="I208" s="86" t="s">
        <v>753</v>
      </c>
      <c r="J208" s="97">
        <v>0</v>
      </c>
      <c r="K208" s="93">
        <v>0</v>
      </c>
      <c r="L208" s="94">
        <v>0</v>
      </c>
      <c r="M208" s="94">
        <v>0</v>
      </c>
      <c r="N208" s="94">
        <v>0</v>
      </c>
      <c r="O208" s="94">
        <v>0</v>
      </c>
      <c r="P208" s="94">
        <v>0</v>
      </c>
      <c r="Q208" s="94">
        <v>0</v>
      </c>
      <c r="R208" s="94">
        <v>0</v>
      </c>
      <c r="S208" s="94">
        <v>0</v>
      </c>
      <c r="T208" s="156">
        <v>0</v>
      </c>
      <c r="U208" s="152">
        <v>0</v>
      </c>
      <c r="V208" s="151">
        <v>0</v>
      </c>
      <c r="W208" s="151">
        <v>0</v>
      </c>
      <c r="X208" s="151"/>
      <c r="Y208" s="8" t="s">
        <v>1001</v>
      </c>
    </row>
    <row r="209" spans="1:25" ht="30" customHeight="1">
      <c r="A209">
        <v>203</v>
      </c>
      <c r="B209" s="84" t="s">
        <v>454</v>
      </c>
      <c r="C209" s="85" t="s">
        <v>749</v>
      </c>
      <c r="D209" s="86" t="s">
        <v>728</v>
      </c>
      <c r="E209" s="86" t="s">
        <v>283</v>
      </c>
      <c r="F209" s="86" t="s">
        <v>935</v>
      </c>
      <c r="G209" s="86" t="s">
        <v>716</v>
      </c>
      <c r="H209" s="86" t="s">
        <v>292</v>
      </c>
      <c r="I209" s="86" t="s">
        <v>753</v>
      </c>
      <c r="J209" s="97">
        <v>0</v>
      </c>
      <c r="K209" s="93">
        <v>0</v>
      </c>
      <c r="L209" s="94">
        <v>0</v>
      </c>
      <c r="M209" s="94">
        <v>0</v>
      </c>
      <c r="N209" s="94">
        <v>0</v>
      </c>
      <c r="O209" s="94">
        <v>0</v>
      </c>
      <c r="P209" s="94">
        <v>0</v>
      </c>
      <c r="Q209" s="94">
        <v>0</v>
      </c>
      <c r="R209" s="94">
        <v>0</v>
      </c>
      <c r="S209" s="94">
        <v>0</v>
      </c>
      <c r="T209" s="156">
        <v>0</v>
      </c>
      <c r="U209" s="152">
        <v>0</v>
      </c>
      <c r="V209" s="151">
        <v>0</v>
      </c>
      <c r="W209" s="151">
        <v>0</v>
      </c>
      <c r="X209" s="151"/>
      <c r="Y209" s="8">
        <v>0</v>
      </c>
    </row>
    <row r="210" spans="1:25" ht="30" customHeight="1">
      <c r="A210">
        <v>204</v>
      </c>
      <c r="B210" s="84" t="s">
        <v>455</v>
      </c>
      <c r="C210" s="85" t="s">
        <v>750</v>
      </c>
      <c r="D210" s="86" t="s">
        <v>728</v>
      </c>
      <c r="E210" s="86" t="s">
        <v>283</v>
      </c>
      <c r="F210" s="86" t="s">
        <v>935</v>
      </c>
      <c r="G210" s="86" t="s">
        <v>716</v>
      </c>
      <c r="H210" s="86" t="s">
        <v>292</v>
      </c>
      <c r="I210" s="86" t="s">
        <v>753</v>
      </c>
      <c r="J210" s="97">
        <v>0</v>
      </c>
      <c r="K210" s="93">
        <v>0</v>
      </c>
      <c r="L210" s="94">
        <v>0</v>
      </c>
      <c r="M210" s="94">
        <v>0</v>
      </c>
      <c r="N210" s="94">
        <v>0</v>
      </c>
      <c r="O210" s="94">
        <v>0</v>
      </c>
      <c r="P210" s="94">
        <v>0</v>
      </c>
      <c r="Q210" s="94">
        <v>0</v>
      </c>
      <c r="R210" s="94">
        <v>0</v>
      </c>
      <c r="S210" s="94">
        <v>0</v>
      </c>
      <c r="T210" s="156">
        <v>0</v>
      </c>
      <c r="U210" s="152">
        <v>0</v>
      </c>
      <c r="V210" s="151">
        <v>0</v>
      </c>
      <c r="W210" s="151">
        <v>0</v>
      </c>
      <c r="X210" s="151"/>
      <c r="Y210" s="8">
        <v>0</v>
      </c>
    </row>
    <row r="211" spans="1:25" ht="30" customHeight="1">
      <c r="A211">
        <v>205</v>
      </c>
      <c r="B211" s="84" t="s">
        <v>456</v>
      </c>
      <c r="C211" s="85" t="s">
        <v>751</v>
      </c>
      <c r="D211" s="86" t="s">
        <v>123</v>
      </c>
      <c r="E211" s="86" t="s">
        <v>283</v>
      </c>
      <c r="F211" s="86" t="s">
        <v>935</v>
      </c>
      <c r="G211" s="86" t="s">
        <v>716</v>
      </c>
      <c r="H211" s="86" t="s">
        <v>292</v>
      </c>
      <c r="I211" s="86" t="s">
        <v>753</v>
      </c>
      <c r="J211" s="97">
        <v>0</v>
      </c>
      <c r="K211" s="93">
        <v>0</v>
      </c>
      <c r="L211" s="94">
        <v>0</v>
      </c>
      <c r="M211" s="94">
        <v>0</v>
      </c>
      <c r="N211" s="94">
        <v>0</v>
      </c>
      <c r="O211" s="94">
        <v>0</v>
      </c>
      <c r="P211" s="94">
        <v>0</v>
      </c>
      <c r="Q211" s="94">
        <v>0</v>
      </c>
      <c r="R211" s="94">
        <v>0</v>
      </c>
      <c r="S211" s="94">
        <v>0</v>
      </c>
      <c r="T211" s="156">
        <v>0</v>
      </c>
      <c r="U211" s="152">
        <v>0</v>
      </c>
      <c r="V211" s="151">
        <v>0</v>
      </c>
      <c r="W211" s="151">
        <v>0</v>
      </c>
      <c r="X211" s="151"/>
      <c r="Y211" s="8" t="s">
        <v>1001</v>
      </c>
    </row>
    <row r="212" spans="1:25" ht="30" customHeight="1">
      <c r="A212">
        <v>206</v>
      </c>
      <c r="B212" s="84" t="s">
        <v>457</v>
      </c>
      <c r="C212" s="85" t="s">
        <v>752</v>
      </c>
      <c r="D212" s="86" t="s">
        <v>123</v>
      </c>
      <c r="E212" s="86" t="s">
        <v>283</v>
      </c>
      <c r="F212" s="86" t="s">
        <v>935</v>
      </c>
      <c r="G212" s="86" t="s">
        <v>716</v>
      </c>
      <c r="H212" s="86" t="s">
        <v>292</v>
      </c>
      <c r="I212" s="86" t="s">
        <v>753</v>
      </c>
      <c r="J212" s="97">
        <v>0</v>
      </c>
      <c r="K212" s="93">
        <v>0</v>
      </c>
      <c r="L212" s="94">
        <v>0</v>
      </c>
      <c r="M212" s="94">
        <v>0</v>
      </c>
      <c r="N212" s="94">
        <v>0</v>
      </c>
      <c r="O212" s="94">
        <v>0</v>
      </c>
      <c r="P212" s="94">
        <v>0</v>
      </c>
      <c r="Q212" s="94">
        <v>0</v>
      </c>
      <c r="R212" s="94">
        <v>0</v>
      </c>
      <c r="S212" s="94">
        <v>0</v>
      </c>
      <c r="T212" s="156">
        <v>0</v>
      </c>
      <c r="U212" s="152">
        <v>0</v>
      </c>
      <c r="V212" s="151">
        <v>0</v>
      </c>
      <c r="W212" s="151">
        <v>0</v>
      </c>
      <c r="X212" s="151"/>
      <c r="Y212" s="8" t="s">
        <v>1001</v>
      </c>
    </row>
    <row r="213" spans="1:25" ht="30" customHeight="1">
      <c r="A213">
        <v>207</v>
      </c>
      <c r="B213" s="84" t="s">
        <v>458</v>
      </c>
      <c r="C213" s="85" t="s">
        <v>651</v>
      </c>
      <c r="D213" s="86" t="s">
        <v>121</v>
      </c>
      <c r="E213" s="86" t="s">
        <v>283</v>
      </c>
      <c r="F213" s="86" t="s">
        <v>935</v>
      </c>
      <c r="G213" s="86" t="s">
        <v>716</v>
      </c>
      <c r="H213" s="86" t="s">
        <v>292</v>
      </c>
      <c r="I213" s="86" t="s">
        <v>753</v>
      </c>
      <c r="J213" s="97">
        <v>0</v>
      </c>
      <c r="K213" s="93">
        <v>0</v>
      </c>
      <c r="L213" s="94">
        <v>0</v>
      </c>
      <c r="M213" s="94">
        <v>0</v>
      </c>
      <c r="N213" s="94">
        <v>0</v>
      </c>
      <c r="O213" s="94">
        <v>0</v>
      </c>
      <c r="P213" s="94">
        <v>0</v>
      </c>
      <c r="Q213" s="94">
        <v>0</v>
      </c>
      <c r="R213" s="94">
        <v>0</v>
      </c>
      <c r="S213" s="94">
        <v>0</v>
      </c>
      <c r="T213" s="156">
        <v>0</v>
      </c>
      <c r="U213" s="152">
        <v>0</v>
      </c>
      <c r="V213" s="151">
        <v>0</v>
      </c>
      <c r="W213" s="151">
        <v>0</v>
      </c>
      <c r="X213" s="151"/>
      <c r="Y213" s="8" t="s">
        <v>1001</v>
      </c>
    </row>
    <row r="214" spans="1:25" ht="30" customHeight="1">
      <c r="A214">
        <v>208</v>
      </c>
      <c r="B214" s="87" t="s">
        <v>459</v>
      </c>
      <c r="C214" s="85" t="s">
        <v>652</v>
      </c>
      <c r="D214" s="86" t="s">
        <v>121</v>
      </c>
      <c r="E214" s="86" t="s">
        <v>283</v>
      </c>
      <c r="F214" s="86" t="s">
        <v>935</v>
      </c>
      <c r="G214" s="86" t="s">
        <v>716</v>
      </c>
      <c r="H214" s="86" t="s">
        <v>292</v>
      </c>
      <c r="I214" s="86" t="s">
        <v>753</v>
      </c>
      <c r="J214" s="97">
        <v>0</v>
      </c>
      <c r="K214" s="93">
        <v>0</v>
      </c>
      <c r="L214" s="94">
        <v>0</v>
      </c>
      <c r="M214" s="94">
        <v>0</v>
      </c>
      <c r="N214" s="94">
        <v>0</v>
      </c>
      <c r="O214" s="94">
        <v>0</v>
      </c>
      <c r="P214" s="94">
        <v>0</v>
      </c>
      <c r="Q214" s="94">
        <v>0</v>
      </c>
      <c r="R214" s="94">
        <v>0</v>
      </c>
      <c r="S214" s="94">
        <v>0</v>
      </c>
      <c r="T214" s="156">
        <v>0</v>
      </c>
      <c r="U214" s="152">
        <v>0</v>
      </c>
      <c r="V214" s="151">
        <v>0</v>
      </c>
      <c r="W214" s="151">
        <v>0</v>
      </c>
      <c r="X214" s="151"/>
      <c r="Y214" s="8" t="s">
        <v>1001</v>
      </c>
    </row>
    <row r="215" spans="1:25" ht="30" customHeight="1">
      <c r="A215">
        <v>209</v>
      </c>
      <c r="B215" s="84" t="s">
        <v>460</v>
      </c>
      <c r="C215" s="85" t="s">
        <v>653</v>
      </c>
      <c r="D215" s="86" t="s">
        <v>1156</v>
      </c>
      <c r="E215" s="86" t="s">
        <v>283</v>
      </c>
      <c r="F215" s="86" t="s">
        <v>935</v>
      </c>
      <c r="G215" s="86" t="s">
        <v>716</v>
      </c>
      <c r="H215" s="86" t="s">
        <v>292</v>
      </c>
      <c r="I215" s="86" t="s">
        <v>753</v>
      </c>
      <c r="J215" s="97">
        <v>0</v>
      </c>
      <c r="K215" s="93">
        <v>0</v>
      </c>
      <c r="L215" s="94">
        <v>0</v>
      </c>
      <c r="M215" s="94">
        <v>0</v>
      </c>
      <c r="N215" s="94">
        <v>0</v>
      </c>
      <c r="O215" s="94">
        <v>0</v>
      </c>
      <c r="P215" s="94">
        <v>0</v>
      </c>
      <c r="Q215" s="94">
        <v>0</v>
      </c>
      <c r="R215" s="94">
        <v>0</v>
      </c>
      <c r="S215" s="94">
        <v>0</v>
      </c>
      <c r="T215" s="156">
        <v>0</v>
      </c>
      <c r="U215" s="152">
        <v>0</v>
      </c>
      <c r="V215" s="151">
        <v>0</v>
      </c>
      <c r="W215" s="151">
        <v>0</v>
      </c>
      <c r="X215" s="151"/>
      <c r="Y215" s="8">
        <v>0</v>
      </c>
    </row>
    <row r="216" spans="1:25" ht="30" customHeight="1">
      <c r="A216">
        <v>210</v>
      </c>
      <c r="B216" s="84" t="s">
        <v>461</v>
      </c>
      <c r="C216" s="85" t="s">
        <v>654</v>
      </c>
      <c r="D216" s="86" t="s">
        <v>119</v>
      </c>
      <c r="E216" s="86" t="s">
        <v>283</v>
      </c>
      <c r="F216" s="86" t="s">
        <v>935</v>
      </c>
      <c r="G216" s="86" t="s">
        <v>716</v>
      </c>
      <c r="H216" s="86" t="s">
        <v>292</v>
      </c>
      <c r="I216" s="86" t="s">
        <v>753</v>
      </c>
      <c r="J216" s="97">
        <v>0</v>
      </c>
      <c r="K216" s="93">
        <v>0</v>
      </c>
      <c r="L216" s="94">
        <v>0</v>
      </c>
      <c r="M216" s="94">
        <v>0</v>
      </c>
      <c r="N216" s="94">
        <v>0</v>
      </c>
      <c r="O216" s="94">
        <v>0</v>
      </c>
      <c r="P216" s="94">
        <v>0</v>
      </c>
      <c r="Q216" s="94">
        <v>0</v>
      </c>
      <c r="R216" s="94">
        <v>0</v>
      </c>
      <c r="S216" s="94">
        <v>0</v>
      </c>
      <c r="T216" s="156">
        <v>0</v>
      </c>
      <c r="U216" s="152">
        <v>0</v>
      </c>
      <c r="V216" s="151">
        <v>0</v>
      </c>
      <c r="W216" s="151">
        <v>0</v>
      </c>
      <c r="X216" s="151"/>
      <c r="Y216" s="8">
        <v>0</v>
      </c>
    </row>
    <row r="217" spans="1:25" ht="30" customHeight="1">
      <c r="A217">
        <v>211</v>
      </c>
      <c r="B217" s="84" t="s">
        <v>462</v>
      </c>
      <c r="C217" s="85" t="s">
        <v>655</v>
      </c>
      <c r="D217" s="86" t="s">
        <v>1156</v>
      </c>
      <c r="E217" s="86" t="s">
        <v>283</v>
      </c>
      <c r="F217" s="86" t="s">
        <v>935</v>
      </c>
      <c r="G217" s="86" t="s">
        <v>716</v>
      </c>
      <c r="H217" s="86" t="s">
        <v>292</v>
      </c>
      <c r="I217" s="86" t="s">
        <v>753</v>
      </c>
      <c r="J217" s="97">
        <v>0</v>
      </c>
      <c r="K217" s="93">
        <v>0</v>
      </c>
      <c r="L217" s="94">
        <v>0</v>
      </c>
      <c r="M217" s="94">
        <v>0</v>
      </c>
      <c r="N217" s="94">
        <v>0</v>
      </c>
      <c r="O217" s="94">
        <v>0</v>
      </c>
      <c r="P217" s="94">
        <v>0</v>
      </c>
      <c r="Q217" s="94">
        <v>0</v>
      </c>
      <c r="R217" s="94">
        <v>0</v>
      </c>
      <c r="S217" s="94">
        <v>0</v>
      </c>
      <c r="T217" s="156">
        <v>0</v>
      </c>
      <c r="U217" s="152">
        <v>0</v>
      </c>
      <c r="V217" s="151">
        <v>0</v>
      </c>
      <c r="W217" s="151">
        <v>0</v>
      </c>
      <c r="X217" s="151"/>
      <c r="Y217" s="8">
        <v>0</v>
      </c>
    </row>
    <row r="218" spans="1:25" ht="30" customHeight="1">
      <c r="A218">
        <v>212</v>
      </c>
      <c r="B218" s="84" t="s">
        <v>463</v>
      </c>
      <c r="C218" s="85" t="s">
        <v>656</v>
      </c>
      <c r="D218" s="86" t="s">
        <v>1160</v>
      </c>
      <c r="E218" s="86" t="s">
        <v>283</v>
      </c>
      <c r="F218" s="86" t="s">
        <v>935</v>
      </c>
      <c r="G218" s="86">
        <v>0</v>
      </c>
      <c r="H218" s="86" t="e">
        <v>#N/A</v>
      </c>
      <c r="I218" s="86" t="e">
        <v>#N/A</v>
      </c>
      <c r="J218" s="97">
        <v>0</v>
      </c>
      <c r="K218" s="93">
        <v>0</v>
      </c>
      <c r="L218" s="94">
        <v>0</v>
      </c>
      <c r="M218" s="94">
        <v>0</v>
      </c>
      <c r="N218" s="94">
        <v>0</v>
      </c>
      <c r="O218" s="94">
        <v>0</v>
      </c>
      <c r="P218" s="94">
        <v>0</v>
      </c>
      <c r="Q218" s="94">
        <v>0</v>
      </c>
      <c r="R218" s="94">
        <v>0</v>
      </c>
      <c r="S218" s="94">
        <v>0</v>
      </c>
      <c r="T218" s="156">
        <v>0</v>
      </c>
      <c r="U218" s="152">
        <v>0</v>
      </c>
      <c r="V218" s="151">
        <v>0</v>
      </c>
      <c r="W218" s="151">
        <v>0</v>
      </c>
      <c r="X218" s="151"/>
      <c r="Y218" s="8">
        <v>0</v>
      </c>
    </row>
    <row r="219" spans="1:25" ht="30" customHeight="1">
      <c r="A219">
        <v>213</v>
      </c>
      <c r="B219" s="84" t="s">
        <v>464</v>
      </c>
      <c r="C219" s="85" t="s">
        <v>657</v>
      </c>
      <c r="D219" s="86" t="s">
        <v>1156</v>
      </c>
      <c r="E219" s="86" t="s">
        <v>283</v>
      </c>
      <c r="F219" s="86" t="s">
        <v>935</v>
      </c>
      <c r="G219" s="86" t="s">
        <v>716</v>
      </c>
      <c r="H219" s="86" t="s">
        <v>292</v>
      </c>
      <c r="I219" s="86" t="s">
        <v>753</v>
      </c>
      <c r="J219" s="97">
        <v>0</v>
      </c>
      <c r="K219" s="93">
        <v>0</v>
      </c>
      <c r="L219" s="94">
        <v>0</v>
      </c>
      <c r="M219" s="94">
        <v>0</v>
      </c>
      <c r="N219" s="94">
        <v>0</v>
      </c>
      <c r="O219" s="94">
        <v>0</v>
      </c>
      <c r="P219" s="94">
        <v>0</v>
      </c>
      <c r="Q219" s="94">
        <v>0</v>
      </c>
      <c r="R219" s="94">
        <v>0</v>
      </c>
      <c r="S219" s="94">
        <v>0</v>
      </c>
      <c r="T219" s="156">
        <v>0</v>
      </c>
      <c r="U219" s="152">
        <v>0</v>
      </c>
      <c r="V219" s="151">
        <v>0</v>
      </c>
      <c r="W219" s="151">
        <v>0</v>
      </c>
      <c r="X219" s="151"/>
      <c r="Y219" s="8">
        <v>0</v>
      </c>
    </row>
    <row r="220" spans="1:25" ht="30" customHeight="1">
      <c r="A220">
        <v>214</v>
      </c>
      <c r="B220" s="84" t="s">
        <v>465</v>
      </c>
      <c r="C220" s="85" t="s">
        <v>658</v>
      </c>
      <c r="D220" s="86" t="s">
        <v>1156</v>
      </c>
      <c r="E220" s="86" t="s">
        <v>283</v>
      </c>
      <c r="F220" s="86" t="s">
        <v>935</v>
      </c>
      <c r="G220" s="86" t="s">
        <v>716</v>
      </c>
      <c r="H220" s="86" t="s">
        <v>292</v>
      </c>
      <c r="I220" s="86" t="s">
        <v>753</v>
      </c>
      <c r="J220" s="97">
        <v>0</v>
      </c>
      <c r="K220" s="93">
        <v>0</v>
      </c>
      <c r="L220" s="94">
        <v>0</v>
      </c>
      <c r="M220" s="94">
        <v>0</v>
      </c>
      <c r="N220" s="94">
        <v>0</v>
      </c>
      <c r="O220" s="94">
        <v>0</v>
      </c>
      <c r="P220" s="94">
        <v>0</v>
      </c>
      <c r="Q220" s="94">
        <v>0</v>
      </c>
      <c r="R220" s="94">
        <v>0</v>
      </c>
      <c r="S220" s="94">
        <v>0</v>
      </c>
      <c r="T220" s="156">
        <v>0</v>
      </c>
      <c r="U220" s="152">
        <v>0</v>
      </c>
      <c r="V220" s="151">
        <v>0</v>
      </c>
      <c r="W220" s="151">
        <v>0</v>
      </c>
      <c r="X220" s="151"/>
      <c r="Y220" s="8">
        <v>0</v>
      </c>
    </row>
    <row r="221" spans="1:25" ht="30" customHeight="1">
      <c r="A221">
        <v>215</v>
      </c>
      <c r="B221" s="84" t="s">
        <v>466</v>
      </c>
      <c r="C221" s="85" t="s">
        <v>659</v>
      </c>
      <c r="D221" s="86" t="s">
        <v>119</v>
      </c>
      <c r="E221" s="86" t="s">
        <v>283</v>
      </c>
      <c r="F221" s="86" t="s">
        <v>935</v>
      </c>
      <c r="G221" s="86" t="s">
        <v>714</v>
      </c>
      <c r="H221" s="86" t="s">
        <v>290</v>
      </c>
      <c r="I221" s="86" t="s">
        <v>785</v>
      </c>
      <c r="J221" s="97">
        <v>0</v>
      </c>
      <c r="K221" s="93">
        <v>0</v>
      </c>
      <c r="L221" s="94">
        <v>0</v>
      </c>
      <c r="M221" s="94">
        <v>0</v>
      </c>
      <c r="N221" s="94">
        <v>0</v>
      </c>
      <c r="O221" s="94">
        <v>0</v>
      </c>
      <c r="P221" s="94">
        <v>0</v>
      </c>
      <c r="Q221" s="94">
        <v>0</v>
      </c>
      <c r="R221" s="94">
        <v>0</v>
      </c>
      <c r="S221" s="94">
        <v>0</v>
      </c>
      <c r="T221" s="156">
        <v>672</v>
      </c>
      <c r="U221" s="152">
        <v>0</v>
      </c>
      <c r="V221" s="151">
        <v>0</v>
      </c>
      <c r="W221" s="151">
        <v>0</v>
      </c>
      <c r="X221" s="151">
        <v>672</v>
      </c>
      <c r="Y221" s="8" t="s">
        <v>1002</v>
      </c>
    </row>
    <row r="222" spans="1:25" ht="30" customHeight="1">
      <c r="A222">
        <v>216</v>
      </c>
      <c r="B222" s="84" t="s">
        <v>467</v>
      </c>
      <c r="C222" s="85" t="s">
        <v>660</v>
      </c>
      <c r="D222" s="86" t="s">
        <v>119</v>
      </c>
      <c r="E222" s="86" t="s">
        <v>283</v>
      </c>
      <c r="F222" s="86" t="s">
        <v>935</v>
      </c>
      <c r="G222" s="86" t="s">
        <v>714</v>
      </c>
      <c r="H222" s="86" t="s">
        <v>290</v>
      </c>
      <c r="I222" s="86" t="s">
        <v>785</v>
      </c>
      <c r="J222" s="97">
        <v>0</v>
      </c>
      <c r="K222" s="93">
        <v>0</v>
      </c>
      <c r="L222" s="94">
        <v>0</v>
      </c>
      <c r="M222" s="94">
        <v>0</v>
      </c>
      <c r="N222" s="94">
        <v>0</v>
      </c>
      <c r="O222" s="94">
        <v>0</v>
      </c>
      <c r="P222" s="94">
        <v>0</v>
      </c>
      <c r="Q222" s="94">
        <v>0</v>
      </c>
      <c r="R222" s="94">
        <v>0</v>
      </c>
      <c r="S222" s="94">
        <v>0</v>
      </c>
      <c r="T222" s="156">
        <v>551</v>
      </c>
      <c r="U222" s="152">
        <v>0</v>
      </c>
      <c r="V222" s="151">
        <v>0</v>
      </c>
      <c r="W222" s="151">
        <v>0</v>
      </c>
      <c r="X222" s="151">
        <v>551</v>
      </c>
      <c r="Y222" s="8" t="s">
        <v>1002</v>
      </c>
    </row>
    <row r="223" spans="1:25" ht="30" customHeight="1">
      <c r="A223">
        <v>217</v>
      </c>
      <c r="B223" s="84" t="s">
        <v>468</v>
      </c>
      <c r="C223" s="85" t="s">
        <v>1040</v>
      </c>
      <c r="D223" s="86" t="s">
        <v>202</v>
      </c>
      <c r="E223" s="86" t="s">
        <v>283</v>
      </c>
      <c r="F223" s="86" t="s">
        <v>935</v>
      </c>
      <c r="G223" s="86">
        <v>0</v>
      </c>
      <c r="H223" s="86" t="e">
        <v>#N/A</v>
      </c>
      <c r="I223" s="86" t="e">
        <v>#N/A</v>
      </c>
      <c r="J223" s="97">
        <v>0</v>
      </c>
      <c r="K223" s="93">
        <v>0</v>
      </c>
      <c r="L223" s="94">
        <v>0</v>
      </c>
      <c r="M223" s="94">
        <v>0</v>
      </c>
      <c r="N223" s="94">
        <v>0</v>
      </c>
      <c r="O223" s="94">
        <v>0</v>
      </c>
      <c r="P223" s="94">
        <v>0</v>
      </c>
      <c r="Q223" s="94">
        <v>0</v>
      </c>
      <c r="R223" s="94">
        <v>0</v>
      </c>
      <c r="S223" s="94">
        <v>0</v>
      </c>
      <c r="T223" s="156">
        <v>0</v>
      </c>
      <c r="U223" s="152">
        <v>0</v>
      </c>
      <c r="V223" s="151">
        <v>0</v>
      </c>
      <c r="W223" s="151">
        <v>0</v>
      </c>
      <c r="X223" s="151"/>
      <c r="Y223" s="8" t="s">
        <v>1001</v>
      </c>
    </row>
    <row r="224" spans="1:25" ht="30" customHeight="1">
      <c r="A224">
        <v>218</v>
      </c>
      <c r="B224" s="84" t="s">
        <v>807</v>
      </c>
      <c r="C224" s="85" t="s">
        <v>620</v>
      </c>
      <c r="D224" s="86" t="s">
        <v>127</v>
      </c>
      <c r="E224" s="86" t="s">
        <v>283</v>
      </c>
      <c r="F224" s="86" t="s">
        <v>935</v>
      </c>
      <c r="G224" s="86" t="s">
        <v>719</v>
      </c>
      <c r="H224" s="86" t="s">
        <v>712</v>
      </c>
      <c r="I224" s="86" t="s">
        <v>720</v>
      </c>
      <c r="J224" s="97">
        <v>0</v>
      </c>
      <c r="K224" s="93">
        <v>0</v>
      </c>
      <c r="L224" s="94">
        <v>0</v>
      </c>
      <c r="M224" s="94">
        <v>0</v>
      </c>
      <c r="N224" s="94">
        <v>0</v>
      </c>
      <c r="O224" s="94">
        <v>0</v>
      </c>
      <c r="P224" s="94">
        <v>0</v>
      </c>
      <c r="Q224" s="94">
        <v>0</v>
      </c>
      <c r="R224" s="94">
        <v>0</v>
      </c>
      <c r="S224" s="94">
        <v>0</v>
      </c>
      <c r="T224" s="156">
        <v>0</v>
      </c>
      <c r="U224" s="152">
        <v>0</v>
      </c>
      <c r="V224" s="151">
        <v>0</v>
      </c>
      <c r="W224" s="151">
        <v>0</v>
      </c>
      <c r="X224" s="151"/>
      <c r="Y224" s="8" t="s">
        <v>999</v>
      </c>
    </row>
    <row r="225" spans="1:25" ht="30" customHeight="1">
      <c r="A225">
        <v>219</v>
      </c>
      <c r="B225" s="84" t="s">
        <v>761</v>
      </c>
      <c r="C225" s="85" t="s">
        <v>759</v>
      </c>
      <c r="D225" s="86" t="s">
        <v>119</v>
      </c>
      <c r="E225" s="86" t="s">
        <v>283</v>
      </c>
      <c r="F225" s="86" t="s">
        <v>935</v>
      </c>
      <c r="G225" s="86">
        <v>0</v>
      </c>
      <c r="H225" s="86" t="e">
        <v>#N/A</v>
      </c>
      <c r="I225" s="86" t="e">
        <v>#N/A</v>
      </c>
      <c r="J225" s="97">
        <v>0</v>
      </c>
      <c r="K225" s="93">
        <v>0</v>
      </c>
      <c r="L225" s="94">
        <v>0</v>
      </c>
      <c r="M225" s="94">
        <v>0</v>
      </c>
      <c r="N225" s="94">
        <v>0</v>
      </c>
      <c r="O225" s="94">
        <v>0</v>
      </c>
      <c r="P225" s="94">
        <v>0</v>
      </c>
      <c r="Q225" s="94">
        <v>0</v>
      </c>
      <c r="R225" s="94">
        <v>0</v>
      </c>
      <c r="S225" s="94">
        <v>0</v>
      </c>
      <c r="T225" s="156">
        <v>0</v>
      </c>
      <c r="U225" s="152">
        <v>0</v>
      </c>
      <c r="V225" s="151">
        <v>0</v>
      </c>
      <c r="W225" s="151">
        <v>0</v>
      </c>
      <c r="X225" s="151"/>
      <c r="Y225" s="8">
        <v>0</v>
      </c>
    </row>
    <row r="226" spans="1:25" ht="30" customHeight="1">
      <c r="A226">
        <v>220</v>
      </c>
      <c r="B226" s="84" t="s">
        <v>769</v>
      </c>
      <c r="C226" s="85" t="s">
        <v>808</v>
      </c>
      <c r="D226" s="86" t="s">
        <v>127</v>
      </c>
      <c r="E226" s="86" t="s">
        <v>283</v>
      </c>
      <c r="F226" s="86" t="s">
        <v>935</v>
      </c>
      <c r="G226" s="86" t="s">
        <v>719</v>
      </c>
      <c r="H226" s="86" t="s">
        <v>712</v>
      </c>
      <c r="I226" s="86" t="s">
        <v>720</v>
      </c>
      <c r="J226" s="97">
        <v>0</v>
      </c>
      <c r="K226" s="93">
        <v>0</v>
      </c>
      <c r="L226" s="94">
        <v>0</v>
      </c>
      <c r="M226" s="94">
        <v>0</v>
      </c>
      <c r="N226" s="94">
        <v>0</v>
      </c>
      <c r="O226" s="94">
        <v>0</v>
      </c>
      <c r="P226" s="94">
        <v>0</v>
      </c>
      <c r="Q226" s="94">
        <v>0</v>
      </c>
      <c r="R226" s="94">
        <v>0</v>
      </c>
      <c r="S226" s="94">
        <v>0</v>
      </c>
      <c r="T226" s="156">
        <v>0</v>
      </c>
      <c r="U226" s="152">
        <v>0</v>
      </c>
      <c r="V226" s="151">
        <v>0</v>
      </c>
      <c r="W226" s="151">
        <v>0</v>
      </c>
      <c r="X226" s="151"/>
      <c r="Y226" s="8" t="s">
        <v>999</v>
      </c>
    </row>
    <row r="227" spans="1:25" ht="30" customHeight="1">
      <c r="A227">
        <v>221</v>
      </c>
      <c r="B227" s="84" t="s">
        <v>852</v>
      </c>
      <c r="C227" s="85" t="s">
        <v>1041</v>
      </c>
      <c r="D227" s="86" t="s">
        <v>127</v>
      </c>
      <c r="E227" s="86" t="s">
        <v>283</v>
      </c>
      <c r="F227" s="86" t="s">
        <v>935</v>
      </c>
      <c r="G227" s="86" t="s">
        <v>715</v>
      </c>
      <c r="H227" s="86" t="s">
        <v>291</v>
      </c>
      <c r="I227" s="86" t="s">
        <v>755</v>
      </c>
      <c r="J227" s="97">
        <v>0</v>
      </c>
      <c r="K227" s="93">
        <v>0</v>
      </c>
      <c r="L227" s="94">
        <v>0</v>
      </c>
      <c r="M227" s="94">
        <v>0</v>
      </c>
      <c r="N227" s="94">
        <v>0</v>
      </c>
      <c r="O227" s="94">
        <v>0</v>
      </c>
      <c r="P227" s="94">
        <v>0</v>
      </c>
      <c r="Q227" s="94">
        <v>0</v>
      </c>
      <c r="R227" s="94">
        <v>0</v>
      </c>
      <c r="S227" s="94">
        <v>0</v>
      </c>
      <c r="T227" s="156">
        <v>0</v>
      </c>
      <c r="U227" s="152">
        <v>0</v>
      </c>
      <c r="V227" s="151">
        <v>0</v>
      </c>
      <c r="W227" s="151">
        <v>0</v>
      </c>
      <c r="X227" s="151"/>
      <c r="Y227" s="8" t="s">
        <v>1001</v>
      </c>
    </row>
    <row r="228" spans="1:25" ht="30" customHeight="1">
      <c r="A228">
        <v>222</v>
      </c>
      <c r="B228" s="84" t="s">
        <v>853</v>
      </c>
      <c r="C228" s="85" t="s">
        <v>836</v>
      </c>
      <c r="D228" s="86" t="s">
        <v>119</v>
      </c>
      <c r="E228" s="86" t="s">
        <v>283</v>
      </c>
      <c r="F228" s="86" t="s">
        <v>935</v>
      </c>
      <c r="G228" s="86" t="s">
        <v>716</v>
      </c>
      <c r="H228" s="86" t="s">
        <v>292</v>
      </c>
      <c r="I228" s="86" t="s">
        <v>753</v>
      </c>
      <c r="J228" s="97">
        <v>0</v>
      </c>
      <c r="K228" s="93">
        <v>0</v>
      </c>
      <c r="L228" s="94">
        <v>0</v>
      </c>
      <c r="M228" s="94">
        <v>0</v>
      </c>
      <c r="N228" s="94">
        <v>0</v>
      </c>
      <c r="O228" s="94">
        <v>0</v>
      </c>
      <c r="P228" s="94">
        <v>0</v>
      </c>
      <c r="Q228" s="94">
        <v>0</v>
      </c>
      <c r="R228" s="94">
        <v>0</v>
      </c>
      <c r="S228" s="94">
        <v>0</v>
      </c>
      <c r="T228" s="156">
        <v>0</v>
      </c>
      <c r="U228" s="152">
        <v>0</v>
      </c>
      <c r="V228" s="151">
        <v>0</v>
      </c>
      <c r="W228" s="151">
        <v>0</v>
      </c>
      <c r="X228" s="151"/>
      <c r="Y228" s="8" t="s">
        <v>1001</v>
      </c>
    </row>
    <row r="229" spans="1:25" ht="30" customHeight="1">
      <c r="A229">
        <v>223</v>
      </c>
      <c r="B229" s="84" t="s">
        <v>854</v>
      </c>
      <c r="C229" s="85" t="s">
        <v>837</v>
      </c>
      <c r="D229" s="86" t="s">
        <v>119</v>
      </c>
      <c r="E229" s="86" t="s">
        <v>283</v>
      </c>
      <c r="F229" s="86" t="s">
        <v>935</v>
      </c>
      <c r="G229" s="86" t="s">
        <v>716</v>
      </c>
      <c r="H229" s="86" t="s">
        <v>292</v>
      </c>
      <c r="I229" s="86" t="s">
        <v>753</v>
      </c>
      <c r="J229" s="97">
        <v>0</v>
      </c>
      <c r="K229" s="93">
        <v>0</v>
      </c>
      <c r="L229" s="94">
        <v>0</v>
      </c>
      <c r="M229" s="94">
        <v>0</v>
      </c>
      <c r="N229" s="94">
        <v>0</v>
      </c>
      <c r="O229" s="94">
        <v>0</v>
      </c>
      <c r="P229" s="94">
        <v>0</v>
      </c>
      <c r="Q229" s="94">
        <v>0</v>
      </c>
      <c r="R229" s="94">
        <v>0</v>
      </c>
      <c r="S229" s="94">
        <v>0</v>
      </c>
      <c r="T229" s="156">
        <v>0</v>
      </c>
      <c r="U229" s="152">
        <v>0</v>
      </c>
      <c r="V229" s="151">
        <v>0</v>
      </c>
      <c r="W229" s="151">
        <v>0</v>
      </c>
      <c r="X229" s="151"/>
      <c r="Y229" s="8" t="s">
        <v>1001</v>
      </c>
    </row>
    <row r="230" spans="1:25" ht="30" customHeight="1">
      <c r="A230">
        <v>224</v>
      </c>
      <c r="B230" s="84" t="s">
        <v>855</v>
      </c>
      <c r="C230" s="85" t="s">
        <v>838</v>
      </c>
      <c r="D230" s="86" t="s">
        <v>119</v>
      </c>
      <c r="E230" s="86" t="s">
        <v>283</v>
      </c>
      <c r="F230" s="86" t="s">
        <v>935</v>
      </c>
      <c r="G230" s="86" t="s">
        <v>716</v>
      </c>
      <c r="H230" s="86" t="s">
        <v>292</v>
      </c>
      <c r="I230" s="86" t="s">
        <v>753</v>
      </c>
      <c r="J230" s="97">
        <v>0</v>
      </c>
      <c r="K230" s="93">
        <v>0</v>
      </c>
      <c r="L230" s="94">
        <v>0</v>
      </c>
      <c r="M230" s="94">
        <v>0</v>
      </c>
      <c r="N230" s="94">
        <v>0</v>
      </c>
      <c r="O230" s="94">
        <v>0</v>
      </c>
      <c r="P230" s="94">
        <v>0</v>
      </c>
      <c r="Q230" s="94">
        <v>0</v>
      </c>
      <c r="R230" s="94">
        <v>0</v>
      </c>
      <c r="S230" s="94">
        <v>0</v>
      </c>
      <c r="T230" s="156">
        <v>0</v>
      </c>
      <c r="U230" s="152">
        <v>0</v>
      </c>
      <c r="V230" s="151">
        <v>0</v>
      </c>
      <c r="W230" s="151">
        <v>0</v>
      </c>
      <c r="X230" s="151"/>
      <c r="Y230" s="8" t="s">
        <v>1001</v>
      </c>
    </row>
    <row r="231" spans="1:25" ht="30" customHeight="1">
      <c r="A231">
        <v>225</v>
      </c>
      <c r="B231" s="84" t="s">
        <v>856</v>
      </c>
      <c r="C231" s="85" t="s">
        <v>839</v>
      </c>
      <c r="D231" s="86" t="s">
        <v>119</v>
      </c>
      <c r="E231" s="86" t="s">
        <v>283</v>
      </c>
      <c r="F231" s="86" t="s">
        <v>935</v>
      </c>
      <c r="G231" s="86" t="s">
        <v>716</v>
      </c>
      <c r="H231" s="86" t="s">
        <v>292</v>
      </c>
      <c r="I231" s="86" t="s">
        <v>753</v>
      </c>
      <c r="J231" s="97">
        <v>0</v>
      </c>
      <c r="K231" s="93">
        <v>0</v>
      </c>
      <c r="L231" s="94">
        <v>0</v>
      </c>
      <c r="M231" s="94">
        <v>0</v>
      </c>
      <c r="N231" s="94">
        <v>0</v>
      </c>
      <c r="O231" s="94">
        <v>0</v>
      </c>
      <c r="P231" s="94">
        <v>0</v>
      </c>
      <c r="Q231" s="94">
        <v>0</v>
      </c>
      <c r="R231" s="94">
        <v>0</v>
      </c>
      <c r="S231" s="94">
        <v>0</v>
      </c>
      <c r="T231" s="156">
        <v>0</v>
      </c>
      <c r="U231" s="152">
        <v>0</v>
      </c>
      <c r="V231" s="151">
        <v>0</v>
      </c>
      <c r="W231" s="151">
        <v>0</v>
      </c>
      <c r="X231" s="151"/>
      <c r="Y231" s="8" t="s">
        <v>1001</v>
      </c>
    </row>
    <row r="232" spans="1:25" ht="30" customHeight="1">
      <c r="A232">
        <v>226</v>
      </c>
      <c r="B232" s="84" t="s">
        <v>857</v>
      </c>
      <c r="C232" s="85" t="s">
        <v>840</v>
      </c>
      <c r="D232" s="86" t="s">
        <v>728</v>
      </c>
      <c r="E232" s="86" t="s">
        <v>283</v>
      </c>
      <c r="F232" s="86" t="s">
        <v>935</v>
      </c>
      <c r="G232" s="86" t="s">
        <v>716</v>
      </c>
      <c r="H232" s="86" t="s">
        <v>292</v>
      </c>
      <c r="I232" s="86" t="s">
        <v>753</v>
      </c>
      <c r="J232" s="97">
        <v>0</v>
      </c>
      <c r="K232" s="93">
        <v>0</v>
      </c>
      <c r="L232" s="94">
        <v>0</v>
      </c>
      <c r="M232" s="94">
        <v>0</v>
      </c>
      <c r="N232" s="94">
        <v>0</v>
      </c>
      <c r="O232" s="94">
        <v>0</v>
      </c>
      <c r="P232" s="94">
        <v>0</v>
      </c>
      <c r="Q232" s="94">
        <v>0</v>
      </c>
      <c r="R232" s="94">
        <v>0</v>
      </c>
      <c r="S232" s="94">
        <v>0</v>
      </c>
      <c r="T232" s="156">
        <v>0</v>
      </c>
      <c r="U232" s="152">
        <v>0</v>
      </c>
      <c r="V232" s="151">
        <v>0</v>
      </c>
      <c r="W232" s="151">
        <v>0</v>
      </c>
      <c r="X232" s="151"/>
      <c r="Y232" s="8">
        <v>0</v>
      </c>
    </row>
    <row r="233" spans="1:25" ht="30" customHeight="1">
      <c r="A233">
        <v>227</v>
      </c>
      <c r="B233" s="84" t="s">
        <v>858</v>
      </c>
      <c r="C233" s="85" t="s">
        <v>1042</v>
      </c>
      <c r="D233" s="86" t="s">
        <v>127</v>
      </c>
      <c r="E233" s="86" t="s">
        <v>283</v>
      </c>
      <c r="F233" s="86" t="s">
        <v>935</v>
      </c>
      <c r="G233" s="86" t="s">
        <v>716</v>
      </c>
      <c r="H233" s="86" t="s">
        <v>292</v>
      </c>
      <c r="I233" s="86" t="s">
        <v>753</v>
      </c>
      <c r="J233" s="97">
        <v>0</v>
      </c>
      <c r="K233" s="93">
        <v>0</v>
      </c>
      <c r="L233" s="94">
        <v>0</v>
      </c>
      <c r="M233" s="94">
        <v>0</v>
      </c>
      <c r="N233" s="94">
        <v>0</v>
      </c>
      <c r="O233" s="94">
        <v>0</v>
      </c>
      <c r="P233" s="94">
        <v>0</v>
      </c>
      <c r="Q233" s="94">
        <v>0</v>
      </c>
      <c r="R233" s="94">
        <v>0</v>
      </c>
      <c r="S233" s="94">
        <v>0</v>
      </c>
      <c r="T233" s="156">
        <v>0</v>
      </c>
      <c r="U233" s="152">
        <v>0</v>
      </c>
      <c r="V233" s="151">
        <v>0</v>
      </c>
      <c r="W233" s="151">
        <v>0</v>
      </c>
      <c r="X233" s="151"/>
      <c r="Y233" s="8" t="s">
        <v>1001</v>
      </c>
    </row>
    <row r="234" spans="1:25" ht="30" customHeight="1">
      <c r="A234">
        <v>228</v>
      </c>
      <c r="B234" s="87" t="s">
        <v>859</v>
      </c>
      <c r="C234" s="85" t="s">
        <v>1043</v>
      </c>
      <c r="D234" s="86" t="s">
        <v>119</v>
      </c>
      <c r="E234" s="86" t="s">
        <v>283</v>
      </c>
      <c r="F234" s="86" t="s">
        <v>935</v>
      </c>
      <c r="G234" s="86" t="s">
        <v>716</v>
      </c>
      <c r="H234" s="86" t="s">
        <v>292</v>
      </c>
      <c r="I234" s="86" t="s">
        <v>753</v>
      </c>
      <c r="J234" s="97">
        <v>0</v>
      </c>
      <c r="K234" s="93">
        <v>0</v>
      </c>
      <c r="L234" s="94">
        <v>0</v>
      </c>
      <c r="M234" s="94">
        <v>0</v>
      </c>
      <c r="N234" s="94">
        <v>0</v>
      </c>
      <c r="O234" s="94">
        <v>0</v>
      </c>
      <c r="P234" s="94">
        <v>0</v>
      </c>
      <c r="Q234" s="94">
        <v>0</v>
      </c>
      <c r="R234" s="94">
        <v>0</v>
      </c>
      <c r="S234" s="94">
        <v>0</v>
      </c>
      <c r="T234" s="156">
        <v>0</v>
      </c>
      <c r="U234" s="152">
        <v>0</v>
      </c>
      <c r="V234" s="151">
        <v>0</v>
      </c>
      <c r="W234" s="151">
        <v>0</v>
      </c>
      <c r="X234" s="151"/>
      <c r="Y234" s="8" t="s">
        <v>1001</v>
      </c>
    </row>
    <row r="235" spans="1:25" ht="30" customHeight="1">
      <c r="A235">
        <v>229</v>
      </c>
      <c r="B235" s="87" t="s">
        <v>860</v>
      </c>
      <c r="C235" s="85" t="s">
        <v>1044</v>
      </c>
      <c r="D235" s="86" t="s">
        <v>127</v>
      </c>
      <c r="E235" s="86" t="s">
        <v>283</v>
      </c>
      <c r="F235" s="86" t="s">
        <v>935</v>
      </c>
      <c r="G235" s="86" t="s">
        <v>716</v>
      </c>
      <c r="H235" s="86" t="s">
        <v>292</v>
      </c>
      <c r="I235" s="86" t="s">
        <v>753</v>
      </c>
      <c r="J235" s="97">
        <v>0</v>
      </c>
      <c r="K235" s="93">
        <v>0</v>
      </c>
      <c r="L235" s="94">
        <v>0</v>
      </c>
      <c r="M235" s="94">
        <v>0</v>
      </c>
      <c r="N235" s="94">
        <v>0</v>
      </c>
      <c r="O235" s="94">
        <v>0</v>
      </c>
      <c r="P235" s="94">
        <v>0</v>
      </c>
      <c r="Q235" s="94">
        <v>0</v>
      </c>
      <c r="R235" s="94">
        <v>0</v>
      </c>
      <c r="S235" s="94">
        <v>0</v>
      </c>
      <c r="T235" s="156">
        <v>0</v>
      </c>
      <c r="U235" s="152">
        <v>0</v>
      </c>
      <c r="V235" s="151">
        <v>0</v>
      </c>
      <c r="W235" s="151">
        <v>0</v>
      </c>
      <c r="X235" s="151"/>
      <c r="Y235" s="8" t="s">
        <v>1001</v>
      </c>
    </row>
    <row r="236" spans="1:25" ht="30" customHeight="1">
      <c r="A236">
        <v>230</v>
      </c>
      <c r="B236" s="87" t="s">
        <v>861</v>
      </c>
      <c r="C236" s="85" t="s">
        <v>1045</v>
      </c>
      <c r="D236" s="86" t="s">
        <v>119</v>
      </c>
      <c r="E236" s="86" t="s">
        <v>283</v>
      </c>
      <c r="F236" s="86" t="s">
        <v>935</v>
      </c>
      <c r="G236" s="86" t="s">
        <v>716</v>
      </c>
      <c r="H236" s="86" t="s">
        <v>292</v>
      </c>
      <c r="I236" s="86" t="s">
        <v>753</v>
      </c>
      <c r="J236" s="97">
        <v>0</v>
      </c>
      <c r="K236" s="93">
        <v>0</v>
      </c>
      <c r="L236" s="94">
        <v>0</v>
      </c>
      <c r="M236" s="94">
        <v>0</v>
      </c>
      <c r="N236" s="94">
        <v>0</v>
      </c>
      <c r="O236" s="94">
        <v>0</v>
      </c>
      <c r="P236" s="94">
        <v>0</v>
      </c>
      <c r="Q236" s="94">
        <v>0</v>
      </c>
      <c r="R236" s="94">
        <v>0</v>
      </c>
      <c r="S236" s="94">
        <v>0</v>
      </c>
      <c r="T236" s="156">
        <v>0</v>
      </c>
      <c r="U236" s="152">
        <v>0</v>
      </c>
      <c r="V236" s="151">
        <v>0</v>
      </c>
      <c r="W236" s="151">
        <v>0</v>
      </c>
      <c r="X236" s="151"/>
      <c r="Y236" s="8" t="s">
        <v>1001</v>
      </c>
    </row>
    <row r="237" spans="1:25" ht="30" customHeight="1">
      <c r="A237">
        <v>231</v>
      </c>
      <c r="B237" s="87" t="s">
        <v>864</v>
      </c>
      <c r="C237" s="85" t="s">
        <v>1046</v>
      </c>
      <c r="D237" s="86" t="s">
        <v>127</v>
      </c>
      <c r="E237" s="86" t="s">
        <v>283</v>
      </c>
      <c r="F237" s="86" t="s">
        <v>935</v>
      </c>
      <c r="G237" s="86">
        <v>0</v>
      </c>
      <c r="H237" s="86" t="e">
        <v>#N/A</v>
      </c>
      <c r="I237" s="86" t="e">
        <v>#N/A</v>
      </c>
      <c r="J237" s="97">
        <v>0</v>
      </c>
      <c r="K237" s="93">
        <v>0</v>
      </c>
      <c r="L237" s="94">
        <v>0</v>
      </c>
      <c r="M237" s="94">
        <v>0</v>
      </c>
      <c r="N237" s="94">
        <v>0</v>
      </c>
      <c r="O237" s="94">
        <v>0</v>
      </c>
      <c r="P237" s="94">
        <v>0</v>
      </c>
      <c r="Q237" s="94">
        <v>0</v>
      </c>
      <c r="R237" s="94">
        <v>0</v>
      </c>
      <c r="S237" s="94">
        <v>0</v>
      </c>
      <c r="T237" s="156">
        <v>0</v>
      </c>
      <c r="U237" s="152">
        <v>0</v>
      </c>
      <c r="V237" s="151">
        <v>0</v>
      </c>
      <c r="W237" s="151">
        <v>0</v>
      </c>
      <c r="X237" s="151"/>
      <c r="Y237" s="8" t="s">
        <v>999</v>
      </c>
    </row>
    <row r="238" spans="1:25" ht="30" customHeight="1">
      <c r="A238">
        <v>232</v>
      </c>
      <c r="B238" s="87" t="s">
        <v>916</v>
      </c>
      <c r="C238" s="85" t="s">
        <v>917</v>
      </c>
      <c r="D238" s="86" t="s">
        <v>127</v>
      </c>
      <c r="E238" s="86" t="s">
        <v>283</v>
      </c>
      <c r="F238" s="86" t="s">
        <v>935</v>
      </c>
      <c r="G238" s="86">
        <v>0</v>
      </c>
      <c r="H238" s="86" t="e">
        <v>#N/A</v>
      </c>
      <c r="I238" s="86" t="e">
        <v>#N/A</v>
      </c>
      <c r="J238" s="97">
        <v>0</v>
      </c>
      <c r="K238" s="93">
        <v>0</v>
      </c>
      <c r="L238" s="94">
        <v>0</v>
      </c>
      <c r="M238" s="94">
        <v>0</v>
      </c>
      <c r="N238" s="94">
        <v>0</v>
      </c>
      <c r="O238" s="94">
        <v>0</v>
      </c>
      <c r="P238" s="94">
        <v>0</v>
      </c>
      <c r="Q238" s="94">
        <v>0</v>
      </c>
      <c r="R238" s="94">
        <v>0</v>
      </c>
      <c r="S238" s="94">
        <v>0</v>
      </c>
      <c r="T238" s="156">
        <v>0</v>
      </c>
      <c r="U238" s="152">
        <v>0</v>
      </c>
      <c r="V238" s="151">
        <v>0</v>
      </c>
      <c r="W238" s="151">
        <v>0</v>
      </c>
      <c r="X238" s="151"/>
      <c r="Y238" s="8" t="s">
        <v>1001</v>
      </c>
    </row>
    <row r="239" spans="1:25" ht="30" customHeight="1">
      <c r="A239">
        <v>233</v>
      </c>
      <c r="B239" s="87" t="s">
        <v>931</v>
      </c>
      <c r="C239" s="85" t="s">
        <v>1047</v>
      </c>
      <c r="D239" s="86" t="s">
        <v>127</v>
      </c>
      <c r="E239" s="86" t="s">
        <v>283</v>
      </c>
      <c r="F239" s="86" t="s">
        <v>935</v>
      </c>
      <c r="G239" s="86">
        <v>0</v>
      </c>
      <c r="H239" s="86" t="e">
        <v>#N/A</v>
      </c>
      <c r="I239" s="86" t="e">
        <v>#N/A</v>
      </c>
      <c r="J239" s="97">
        <v>0</v>
      </c>
      <c r="K239" s="93">
        <v>0</v>
      </c>
      <c r="L239" s="94">
        <v>0</v>
      </c>
      <c r="M239" s="94">
        <v>0</v>
      </c>
      <c r="N239" s="94">
        <v>0</v>
      </c>
      <c r="O239" s="94">
        <v>0</v>
      </c>
      <c r="P239" s="94">
        <v>0</v>
      </c>
      <c r="Q239" s="94">
        <v>0</v>
      </c>
      <c r="R239" s="94">
        <v>0</v>
      </c>
      <c r="S239" s="94">
        <v>0</v>
      </c>
      <c r="T239" s="156">
        <v>0</v>
      </c>
      <c r="U239" s="152">
        <v>0</v>
      </c>
      <c r="V239" s="151">
        <v>0</v>
      </c>
      <c r="W239" s="151">
        <v>0</v>
      </c>
      <c r="X239" s="151"/>
      <c r="Y239" s="8" t="s">
        <v>1001</v>
      </c>
    </row>
    <row r="240" spans="1:25" ht="30" customHeight="1">
      <c r="A240">
        <v>234</v>
      </c>
      <c r="B240" s="87" t="s">
        <v>932</v>
      </c>
      <c r="C240" s="85" t="s">
        <v>1048</v>
      </c>
      <c r="D240" s="86" t="s">
        <v>119</v>
      </c>
      <c r="E240" s="86" t="s">
        <v>283</v>
      </c>
      <c r="F240" s="86" t="s">
        <v>935</v>
      </c>
      <c r="G240" s="86">
        <v>0</v>
      </c>
      <c r="H240" s="86" t="e">
        <v>#N/A</v>
      </c>
      <c r="I240" s="86" t="e">
        <v>#N/A</v>
      </c>
      <c r="J240" s="97">
        <v>0</v>
      </c>
      <c r="K240" s="93">
        <v>0</v>
      </c>
      <c r="L240" s="94">
        <v>0</v>
      </c>
      <c r="M240" s="94">
        <v>0</v>
      </c>
      <c r="N240" s="94">
        <v>0</v>
      </c>
      <c r="O240" s="94">
        <v>0</v>
      </c>
      <c r="P240" s="94">
        <v>0</v>
      </c>
      <c r="Q240" s="94">
        <v>0</v>
      </c>
      <c r="R240" s="94">
        <v>0</v>
      </c>
      <c r="S240" s="94">
        <v>0</v>
      </c>
      <c r="T240" s="156">
        <v>0</v>
      </c>
      <c r="U240" s="152">
        <v>0</v>
      </c>
      <c r="V240" s="151">
        <v>0</v>
      </c>
      <c r="W240" s="151">
        <v>0</v>
      </c>
      <c r="X240" s="151"/>
      <c r="Y240" s="8" t="s">
        <v>1001</v>
      </c>
    </row>
    <row r="241" spans="1:25" ht="30" customHeight="1">
      <c r="A241">
        <v>235</v>
      </c>
      <c r="B241" s="87" t="s">
        <v>933</v>
      </c>
      <c r="C241" s="85" t="s">
        <v>1049</v>
      </c>
      <c r="D241" s="86" t="s">
        <v>127</v>
      </c>
      <c r="E241" s="86" t="s">
        <v>283</v>
      </c>
      <c r="F241" s="86" t="s">
        <v>935</v>
      </c>
      <c r="G241" s="86">
        <v>0</v>
      </c>
      <c r="H241" s="86" t="e">
        <v>#N/A</v>
      </c>
      <c r="I241" s="86" t="e">
        <v>#N/A</v>
      </c>
      <c r="J241" s="97">
        <v>0</v>
      </c>
      <c r="K241" s="93">
        <v>0</v>
      </c>
      <c r="L241" s="94">
        <v>0</v>
      </c>
      <c r="M241" s="94">
        <v>0</v>
      </c>
      <c r="N241" s="94">
        <v>0</v>
      </c>
      <c r="O241" s="94">
        <v>0</v>
      </c>
      <c r="P241" s="94">
        <v>0</v>
      </c>
      <c r="Q241" s="94">
        <v>0</v>
      </c>
      <c r="R241" s="94">
        <v>0</v>
      </c>
      <c r="S241" s="94">
        <v>0</v>
      </c>
      <c r="T241" s="156">
        <v>0</v>
      </c>
      <c r="U241" s="152">
        <v>0</v>
      </c>
      <c r="V241" s="151">
        <v>0</v>
      </c>
      <c r="W241" s="151">
        <v>0</v>
      </c>
      <c r="X241" s="151"/>
      <c r="Y241" s="8" t="s">
        <v>1001</v>
      </c>
    </row>
    <row r="242" spans="1:25" ht="30" customHeight="1">
      <c r="A242">
        <v>236</v>
      </c>
      <c r="B242" s="87" t="s">
        <v>934</v>
      </c>
      <c r="C242" s="85" t="s">
        <v>1050</v>
      </c>
      <c r="D242" s="86" t="s">
        <v>119</v>
      </c>
      <c r="E242" s="86" t="s">
        <v>283</v>
      </c>
      <c r="F242" s="86" t="s">
        <v>935</v>
      </c>
      <c r="G242" s="86">
        <v>0</v>
      </c>
      <c r="H242" s="86" t="e">
        <v>#N/A</v>
      </c>
      <c r="I242" s="86" t="e">
        <v>#N/A</v>
      </c>
      <c r="J242" s="97">
        <v>0</v>
      </c>
      <c r="K242" s="93">
        <v>0</v>
      </c>
      <c r="L242" s="94">
        <v>0</v>
      </c>
      <c r="M242" s="94">
        <v>0</v>
      </c>
      <c r="N242" s="94">
        <v>0</v>
      </c>
      <c r="O242" s="94">
        <v>0</v>
      </c>
      <c r="P242" s="94">
        <v>0</v>
      </c>
      <c r="Q242" s="94">
        <v>0</v>
      </c>
      <c r="R242" s="94">
        <v>0</v>
      </c>
      <c r="S242" s="94">
        <v>0</v>
      </c>
      <c r="T242" s="156">
        <v>0</v>
      </c>
      <c r="U242" s="152">
        <v>0</v>
      </c>
      <c r="V242" s="151">
        <v>0</v>
      </c>
      <c r="W242" s="151">
        <v>0</v>
      </c>
      <c r="X242" s="151"/>
      <c r="Y242" s="8" t="s">
        <v>1001</v>
      </c>
    </row>
    <row r="243" spans="1:25" ht="30" customHeight="1">
      <c r="A243">
        <v>237</v>
      </c>
      <c r="B243" s="87" t="s">
        <v>967</v>
      </c>
      <c r="C243" s="85" t="s">
        <v>968</v>
      </c>
      <c r="D243" s="86" t="s">
        <v>127</v>
      </c>
      <c r="E243" s="86" t="s">
        <v>283</v>
      </c>
      <c r="F243" s="86" t="s">
        <v>935</v>
      </c>
      <c r="G243" s="86">
        <v>0</v>
      </c>
      <c r="H243" s="86" t="e">
        <v>#N/A</v>
      </c>
      <c r="I243" s="86" t="e">
        <v>#N/A</v>
      </c>
      <c r="J243" s="97">
        <v>0</v>
      </c>
      <c r="K243" s="93">
        <v>0</v>
      </c>
      <c r="L243" s="94">
        <v>0</v>
      </c>
      <c r="M243" s="94">
        <v>0</v>
      </c>
      <c r="N243" s="94">
        <v>0</v>
      </c>
      <c r="O243" s="94">
        <v>0</v>
      </c>
      <c r="P243" s="94">
        <v>0</v>
      </c>
      <c r="Q243" s="94">
        <v>0</v>
      </c>
      <c r="R243" s="94">
        <v>0</v>
      </c>
      <c r="S243" s="94">
        <v>0</v>
      </c>
      <c r="T243" s="156">
        <v>0</v>
      </c>
      <c r="U243" s="152">
        <v>0</v>
      </c>
      <c r="V243" s="151">
        <v>0</v>
      </c>
      <c r="W243" s="151">
        <v>0</v>
      </c>
      <c r="X243" s="151"/>
      <c r="Y243" s="8" t="s">
        <v>1001</v>
      </c>
    </row>
    <row r="244" spans="1:25" ht="30" customHeight="1">
      <c r="A244">
        <v>238</v>
      </c>
      <c r="B244" s="87" t="s">
        <v>969</v>
      </c>
      <c r="C244" s="85" t="s">
        <v>1051</v>
      </c>
      <c r="D244" s="86" t="s">
        <v>1156</v>
      </c>
      <c r="E244" s="86" t="s">
        <v>283</v>
      </c>
      <c r="F244" s="86" t="s">
        <v>935</v>
      </c>
      <c r="G244" s="86">
        <v>0</v>
      </c>
      <c r="H244" s="86" t="e">
        <v>#N/A</v>
      </c>
      <c r="I244" s="86" t="e">
        <v>#N/A</v>
      </c>
      <c r="J244" s="97">
        <v>0</v>
      </c>
      <c r="K244" s="93">
        <v>0</v>
      </c>
      <c r="L244" s="94">
        <v>0</v>
      </c>
      <c r="M244" s="94">
        <v>0</v>
      </c>
      <c r="N244" s="94">
        <v>0</v>
      </c>
      <c r="O244" s="94">
        <v>0</v>
      </c>
      <c r="P244" s="94">
        <v>0</v>
      </c>
      <c r="Q244" s="94">
        <v>0</v>
      </c>
      <c r="R244" s="94">
        <v>0</v>
      </c>
      <c r="S244" s="94">
        <v>0</v>
      </c>
      <c r="T244" s="156">
        <v>0</v>
      </c>
      <c r="U244" s="152">
        <v>0</v>
      </c>
      <c r="V244" s="151">
        <v>0</v>
      </c>
      <c r="W244" s="151">
        <v>0</v>
      </c>
      <c r="X244" s="151"/>
      <c r="Y244" s="8" t="s">
        <v>1001</v>
      </c>
    </row>
    <row r="245" spans="1:25" ht="30" customHeight="1">
      <c r="A245">
        <v>239</v>
      </c>
      <c r="B245" s="87" t="s">
        <v>971</v>
      </c>
      <c r="C245" s="85" t="s">
        <v>972</v>
      </c>
      <c r="D245" s="86" t="s">
        <v>123</v>
      </c>
      <c r="E245" s="86" t="s">
        <v>283</v>
      </c>
      <c r="F245" s="86" t="s">
        <v>935</v>
      </c>
      <c r="G245" s="86">
        <v>0</v>
      </c>
      <c r="H245" s="86" t="e">
        <v>#N/A</v>
      </c>
      <c r="I245" s="86" t="e">
        <v>#N/A</v>
      </c>
      <c r="J245" s="97">
        <v>0</v>
      </c>
      <c r="K245" s="93">
        <v>0</v>
      </c>
      <c r="L245" s="94">
        <v>0</v>
      </c>
      <c r="M245" s="94">
        <v>0</v>
      </c>
      <c r="N245" s="94">
        <v>0</v>
      </c>
      <c r="O245" s="94">
        <v>0</v>
      </c>
      <c r="P245" s="94">
        <v>0</v>
      </c>
      <c r="Q245" s="94">
        <v>0</v>
      </c>
      <c r="R245" s="94">
        <v>0</v>
      </c>
      <c r="S245" s="94">
        <v>0</v>
      </c>
      <c r="T245" s="156">
        <v>0</v>
      </c>
      <c r="U245" s="152">
        <v>0</v>
      </c>
      <c r="V245" s="151">
        <v>0</v>
      </c>
      <c r="W245" s="151">
        <v>0</v>
      </c>
      <c r="X245" s="151"/>
      <c r="Y245" s="8" t="s">
        <v>999</v>
      </c>
    </row>
    <row r="246" spans="1:25" ht="30" customHeight="1">
      <c r="A246">
        <v>240</v>
      </c>
      <c r="B246" s="87" t="s">
        <v>986</v>
      </c>
      <c r="C246" s="85" t="s">
        <v>1052</v>
      </c>
      <c r="D246" s="86" t="s">
        <v>127</v>
      </c>
      <c r="E246" s="86" t="s">
        <v>283</v>
      </c>
      <c r="F246" s="86" t="s">
        <v>935</v>
      </c>
      <c r="G246" s="86">
        <v>0</v>
      </c>
      <c r="H246" s="86" t="e">
        <v>#N/A</v>
      </c>
      <c r="I246" s="86" t="e">
        <v>#N/A</v>
      </c>
      <c r="J246" s="97">
        <v>0</v>
      </c>
      <c r="K246" s="93">
        <v>0</v>
      </c>
      <c r="L246" s="94">
        <v>0</v>
      </c>
      <c r="M246" s="94">
        <v>0</v>
      </c>
      <c r="N246" s="94">
        <v>0</v>
      </c>
      <c r="O246" s="94">
        <v>0</v>
      </c>
      <c r="P246" s="94">
        <v>0</v>
      </c>
      <c r="Q246" s="94">
        <v>0</v>
      </c>
      <c r="R246" s="94">
        <v>0</v>
      </c>
      <c r="S246" s="94">
        <v>0</v>
      </c>
      <c r="T246" s="156">
        <v>0</v>
      </c>
      <c r="U246" s="152">
        <v>0</v>
      </c>
      <c r="V246" s="151">
        <v>0</v>
      </c>
      <c r="W246" s="151">
        <v>0</v>
      </c>
      <c r="X246" s="151"/>
      <c r="Y246" s="8" t="s">
        <v>1001</v>
      </c>
    </row>
    <row r="247" spans="1:25" ht="30" customHeight="1">
      <c r="A247">
        <v>241</v>
      </c>
      <c r="B247" s="84" t="s">
        <v>1064</v>
      </c>
      <c r="C247" s="85" t="s">
        <v>1071</v>
      </c>
      <c r="D247" s="86" t="s">
        <v>123</v>
      </c>
      <c r="E247" s="86" t="s">
        <v>283</v>
      </c>
      <c r="F247" s="86" t="s">
        <v>935</v>
      </c>
      <c r="G247" s="86">
        <v>0</v>
      </c>
      <c r="H247" s="86" t="e">
        <v>#N/A</v>
      </c>
      <c r="I247" s="86" t="e">
        <v>#N/A</v>
      </c>
      <c r="J247" s="97">
        <v>0</v>
      </c>
      <c r="K247" s="93">
        <v>0</v>
      </c>
      <c r="L247" s="94">
        <v>0</v>
      </c>
      <c r="M247" s="94">
        <v>0</v>
      </c>
      <c r="N247" s="94">
        <v>0</v>
      </c>
      <c r="O247" s="94">
        <v>0</v>
      </c>
      <c r="P247" s="94">
        <v>0</v>
      </c>
      <c r="Q247" s="94">
        <v>0</v>
      </c>
      <c r="R247" s="94">
        <v>0</v>
      </c>
      <c r="S247" s="94">
        <v>0</v>
      </c>
      <c r="T247" s="156">
        <v>0</v>
      </c>
      <c r="U247" s="152">
        <v>0</v>
      </c>
      <c r="V247" s="151">
        <v>0</v>
      </c>
      <c r="W247" s="151">
        <v>0</v>
      </c>
      <c r="X247" s="151"/>
      <c r="Y247" s="144"/>
    </row>
    <row r="248" spans="1:25" ht="30" customHeight="1">
      <c r="A248">
        <v>242</v>
      </c>
      <c r="B248" s="84" t="s">
        <v>1088</v>
      </c>
      <c r="C248" s="85" t="s">
        <v>1089</v>
      </c>
      <c r="D248" s="86" t="s">
        <v>119</v>
      </c>
      <c r="E248" s="86" t="s">
        <v>283</v>
      </c>
      <c r="F248" s="86" t="s">
        <v>935</v>
      </c>
      <c r="G248" s="86">
        <v>0</v>
      </c>
      <c r="H248" s="86" t="e">
        <v>#N/A</v>
      </c>
      <c r="I248" s="86" t="e">
        <v>#N/A</v>
      </c>
      <c r="J248" s="97">
        <v>0</v>
      </c>
      <c r="K248" s="93">
        <v>0</v>
      </c>
      <c r="L248" s="94">
        <v>0</v>
      </c>
      <c r="M248" s="94">
        <v>0</v>
      </c>
      <c r="N248" s="94">
        <v>0</v>
      </c>
      <c r="O248" s="94">
        <v>0</v>
      </c>
      <c r="P248" s="94">
        <v>0</v>
      </c>
      <c r="Q248" s="94">
        <v>0</v>
      </c>
      <c r="R248" s="94">
        <v>0</v>
      </c>
      <c r="S248" s="94">
        <v>0</v>
      </c>
      <c r="T248" s="156">
        <v>0</v>
      </c>
      <c r="U248" s="152">
        <v>0</v>
      </c>
      <c r="V248" s="151">
        <v>0</v>
      </c>
      <c r="W248" s="151">
        <v>0</v>
      </c>
      <c r="X248" s="151"/>
      <c r="Y248" s="144"/>
    </row>
    <row r="249" spans="1:25" ht="30" customHeight="1">
      <c r="A249">
        <v>243</v>
      </c>
      <c r="B249" s="84" t="s">
        <v>1090</v>
      </c>
      <c r="C249" s="85" t="s">
        <v>1091</v>
      </c>
      <c r="D249" s="86" t="s">
        <v>119</v>
      </c>
      <c r="E249" s="86" t="s">
        <v>283</v>
      </c>
      <c r="F249" s="86" t="s">
        <v>935</v>
      </c>
      <c r="G249" s="86">
        <v>0</v>
      </c>
      <c r="H249" s="86" t="e">
        <v>#N/A</v>
      </c>
      <c r="I249" s="86" t="e">
        <v>#N/A</v>
      </c>
      <c r="J249" s="97">
        <v>0</v>
      </c>
      <c r="K249" s="93">
        <v>0</v>
      </c>
      <c r="L249" s="94">
        <v>0</v>
      </c>
      <c r="M249" s="94">
        <v>0</v>
      </c>
      <c r="N249" s="94">
        <v>0</v>
      </c>
      <c r="O249" s="94">
        <v>0</v>
      </c>
      <c r="P249" s="94">
        <v>0</v>
      </c>
      <c r="Q249" s="94">
        <v>0</v>
      </c>
      <c r="R249" s="94">
        <v>0</v>
      </c>
      <c r="S249" s="94">
        <v>0</v>
      </c>
      <c r="T249" s="156">
        <v>0</v>
      </c>
      <c r="U249" s="152">
        <v>0</v>
      </c>
      <c r="V249" s="151">
        <v>0</v>
      </c>
      <c r="W249" s="151">
        <v>0</v>
      </c>
      <c r="X249" s="151"/>
      <c r="Y249" s="144"/>
    </row>
    <row r="250" spans="1:25" ht="30" customHeight="1">
      <c r="A250">
        <v>244</v>
      </c>
      <c r="B250" s="84" t="s">
        <v>1092</v>
      </c>
      <c r="C250" s="85" t="s">
        <v>1093</v>
      </c>
      <c r="D250" s="86" t="s">
        <v>119</v>
      </c>
      <c r="E250" s="86" t="s">
        <v>283</v>
      </c>
      <c r="F250" s="86" t="s">
        <v>935</v>
      </c>
      <c r="G250" s="86">
        <v>0</v>
      </c>
      <c r="H250" s="86" t="e">
        <v>#N/A</v>
      </c>
      <c r="I250" s="86" t="e">
        <v>#N/A</v>
      </c>
      <c r="J250" s="97">
        <v>0</v>
      </c>
      <c r="K250" s="93">
        <v>0</v>
      </c>
      <c r="L250" s="94">
        <v>0</v>
      </c>
      <c r="M250" s="94">
        <v>0</v>
      </c>
      <c r="N250" s="94">
        <v>0</v>
      </c>
      <c r="O250" s="94">
        <v>0</v>
      </c>
      <c r="P250" s="94">
        <v>0</v>
      </c>
      <c r="Q250" s="94">
        <v>0</v>
      </c>
      <c r="R250" s="94">
        <v>0</v>
      </c>
      <c r="S250" s="94">
        <v>0</v>
      </c>
      <c r="T250" s="156">
        <v>0</v>
      </c>
      <c r="U250" s="152">
        <v>0</v>
      </c>
      <c r="V250" s="151">
        <v>0</v>
      </c>
      <c r="W250" s="151">
        <v>0</v>
      </c>
      <c r="X250" s="151"/>
      <c r="Y250" s="144"/>
    </row>
    <row r="251" spans="1:25" ht="30" customHeight="1">
      <c r="A251">
        <v>245</v>
      </c>
      <c r="B251" s="84" t="s">
        <v>1145</v>
      </c>
      <c r="C251" s="85" t="s">
        <v>1146</v>
      </c>
      <c r="D251" s="86" t="s">
        <v>202</v>
      </c>
      <c r="E251" s="86" t="s">
        <v>283</v>
      </c>
      <c r="F251" s="86" t="s">
        <v>935</v>
      </c>
      <c r="G251" s="86">
        <v>0</v>
      </c>
      <c r="H251" s="86" t="e">
        <v>#N/A</v>
      </c>
      <c r="I251" s="86" t="e">
        <v>#N/A</v>
      </c>
      <c r="J251" s="97">
        <v>0</v>
      </c>
      <c r="K251" s="93">
        <v>0</v>
      </c>
      <c r="L251" s="94">
        <v>0</v>
      </c>
      <c r="M251" s="94">
        <v>0</v>
      </c>
      <c r="N251" s="94">
        <v>0</v>
      </c>
      <c r="O251" s="94">
        <v>0</v>
      </c>
      <c r="P251" s="94">
        <v>0</v>
      </c>
      <c r="Q251" s="94">
        <v>0</v>
      </c>
      <c r="R251" s="94">
        <v>0</v>
      </c>
      <c r="S251" s="94">
        <v>0</v>
      </c>
      <c r="T251" s="156">
        <v>0</v>
      </c>
      <c r="U251" s="152">
        <v>0</v>
      </c>
      <c r="V251" s="151">
        <v>0</v>
      </c>
      <c r="W251" s="151">
        <v>0</v>
      </c>
      <c r="X251" s="151"/>
      <c r="Y251" s="144"/>
    </row>
    <row r="252" spans="1:25" ht="30" customHeight="1">
      <c r="A252">
        <v>246</v>
      </c>
      <c r="B252" s="87" t="s">
        <v>469</v>
      </c>
      <c r="C252" s="85" t="s">
        <v>841</v>
      </c>
      <c r="D252" s="86" t="s">
        <v>123</v>
      </c>
      <c r="E252" s="86" t="s">
        <v>283</v>
      </c>
      <c r="F252" s="86" t="s">
        <v>935</v>
      </c>
      <c r="G252" s="86" t="s">
        <v>714</v>
      </c>
      <c r="H252" s="86" t="s">
        <v>290</v>
      </c>
      <c r="I252" s="86" t="s">
        <v>785</v>
      </c>
      <c r="J252" s="97">
        <v>0</v>
      </c>
      <c r="K252" s="93">
        <v>0</v>
      </c>
      <c r="L252" s="94">
        <v>0</v>
      </c>
      <c r="M252" s="94">
        <v>0</v>
      </c>
      <c r="N252" s="94">
        <v>0</v>
      </c>
      <c r="O252" s="94">
        <v>0</v>
      </c>
      <c r="P252" s="94">
        <v>0</v>
      </c>
      <c r="Q252" s="94">
        <v>0</v>
      </c>
      <c r="R252" s="94">
        <v>0</v>
      </c>
      <c r="S252" s="94">
        <v>0</v>
      </c>
      <c r="T252" s="156">
        <v>0</v>
      </c>
      <c r="U252" s="152">
        <v>0</v>
      </c>
      <c r="V252" s="151">
        <v>0</v>
      </c>
      <c r="W252" s="151">
        <v>0</v>
      </c>
      <c r="X252" s="151"/>
      <c r="Y252" s="8" t="s">
        <v>1002</v>
      </c>
    </row>
    <row r="253" spans="1:25" ht="30" customHeight="1">
      <c r="A253">
        <v>247</v>
      </c>
      <c r="B253" s="87" t="s">
        <v>470</v>
      </c>
      <c r="C253" s="85" t="s">
        <v>809</v>
      </c>
      <c r="D253" s="86" t="s">
        <v>121</v>
      </c>
      <c r="E253" s="86" t="s">
        <v>283</v>
      </c>
      <c r="F253" s="86" t="s">
        <v>935</v>
      </c>
      <c r="G253" s="86">
        <v>0</v>
      </c>
      <c r="H253" s="86" t="e">
        <v>#N/A</v>
      </c>
      <c r="I253" s="86" t="e">
        <v>#N/A</v>
      </c>
      <c r="J253" s="97">
        <v>0</v>
      </c>
      <c r="K253" s="93">
        <v>0</v>
      </c>
      <c r="L253" s="94">
        <v>0</v>
      </c>
      <c r="M253" s="94">
        <v>0</v>
      </c>
      <c r="N253" s="94">
        <v>0</v>
      </c>
      <c r="O253" s="94">
        <v>0</v>
      </c>
      <c r="P253" s="94">
        <v>0</v>
      </c>
      <c r="Q253" s="94">
        <v>0</v>
      </c>
      <c r="R253" s="94">
        <v>0</v>
      </c>
      <c r="S253" s="94">
        <v>0</v>
      </c>
      <c r="T253" s="156">
        <v>0</v>
      </c>
      <c r="U253" s="152">
        <v>0</v>
      </c>
      <c r="V253" s="151">
        <v>0</v>
      </c>
      <c r="W253" s="151">
        <v>0</v>
      </c>
      <c r="X253" s="151"/>
      <c r="Y253" s="8" t="s">
        <v>1003</v>
      </c>
    </row>
    <row r="254" spans="1:25" ht="30" customHeight="1">
      <c r="A254">
        <v>248</v>
      </c>
      <c r="B254" s="84" t="s">
        <v>471</v>
      </c>
      <c r="C254" s="85" t="s">
        <v>661</v>
      </c>
      <c r="D254" s="86" t="s">
        <v>123</v>
      </c>
      <c r="E254" s="86" t="s">
        <v>283</v>
      </c>
      <c r="F254" s="86" t="s">
        <v>935</v>
      </c>
      <c r="G254" s="86">
        <v>0</v>
      </c>
      <c r="H254" s="86" t="e">
        <v>#N/A</v>
      </c>
      <c r="I254" s="86" t="e">
        <v>#N/A</v>
      </c>
      <c r="J254" s="97">
        <v>0</v>
      </c>
      <c r="K254" s="93">
        <v>0</v>
      </c>
      <c r="L254" s="94">
        <v>0</v>
      </c>
      <c r="M254" s="94">
        <v>0</v>
      </c>
      <c r="N254" s="94">
        <v>0</v>
      </c>
      <c r="O254" s="94">
        <v>0</v>
      </c>
      <c r="P254" s="94">
        <v>0</v>
      </c>
      <c r="Q254" s="94">
        <v>0</v>
      </c>
      <c r="R254" s="94">
        <v>0</v>
      </c>
      <c r="S254" s="94">
        <v>0</v>
      </c>
      <c r="T254" s="156">
        <v>0</v>
      </c>
      <c r="U254" s="152">
        <v>0</v>
      </c>
      <c r="V254" s="151">
        <v>0</v>
      </c>
      <c r="W254" s="151">
        <v>0</v>
      </c>
      <c r="X254" s="151"/>
      <c r="Y254" s="8" t="s">
        <v>1001</v>
      </c>
    </row>
    <row r="255" spans="1:25" ht="30" customHeight="1">
      <c r="A255">
        <v>249</v>
      </c>
      <c r="B255" s="84" t="s">
        <v>472</v>
      </c>
      <c r="C255" s="85" t="s">
        <v>662</v>
      </c>
      <c r="D255" s="86" t="s">
        <v>123</v>
      </c>
      <c r="E255" s="86" t="s">
        <v>283</v>
      </c>
      <c r="F255" s="86" t="s">
        <v>935</v>
      </c>
      <c r="G255" s="86">
        <v>0</v>
      </c>
      <c r="H255" s="86" t="e">
        <v>#N/A</v>
      </c>
      <c r="I255" s="86" t="e">
        <v>#N/A</v>
      </c>
      <c r="J255" s="97">
        <v>0</v>
      </c>
      <c r="K255" s="93">
        <v>0</v>
      </c>
      <c r="L255" s="94">
        <v>0</v>
      </c>
      <c r="M255" s="94">
        <v>0</v>
      </c>
      <c r="N255" s="94">
        <v>0</v>
      </c>
      <c r="O255" s="94">
        <v>0</v>
      </c>
      <c r="P255" s="94">
        <v>0</v>
      </c>
      <c r="Q255" s="94">
        <v>0</v>
      </c>
      <c r="R255" s="94">
        <v>0</v>
      </c>
      <c r="S255" s="94">
        <v>0</v>
      </c>
      <c r="T255" s="156">
        <v>0</v>
      </c>
      <c r="U255" s="152">
        <v>0</v>
      </c>
      <c r="V255" s="151">
        <v>0</v>
      </c>
      <c r="W255" s="151">
        <v>0</v>
      </c>
      <c r="X255" s="151"/>
      <c r="Y255" s="8" t="s">
        <v>1001</v>
      </c>
    </row>
    <row r="256" spans="1:25" ht="30" customHeight="1">
      <c r="A256">
        <v>250</v>
      </c>
      <c r="B256" s="84" t="s">
        <v>473</v>
      </c>
      <c r="C256" s="85" t="s">
        <v>663</v>
      </c>
      <c r="D256" s="86" t="s">
        <v>121</v>
      </c>
      <c r="E256" s="86" t="s">
        <v>283</v>
      </c>
      <c r="F256" s="86" t="s">
        <v>935</v>
      </c>
      <c r="G256" s="86">
        <v>0</v>
      </c>
      <c r="H256" s="86" t="e">
        <v>#N/A</v>
      </c>
      <c r="I256" s="86" t="e">
        <v>#N/A</v>
      </c>
      <c r="J256" s="97">
        <v>0</v>
      </c>
      <c r="K256" s="93">
        <v>0</v>
      </c>
      <c r="L256" s="94">
        <v>0</v>
      </c>
      <c r="M256" s="94">
        <v>0</v>
      </c>
      <c r="N256" s="94">
        <v>0</v>
      </c>
      <c r="O256" s="94">
        <v>0</v>
      </c>
      <c r="P256" s="94">
        <v>0</v>
      </c>
      <c r="Q256" s="94">
        <v>0</v>
      </c>
      <c r="R256" s="94">
        <v>0</v>
      </c>
      <c r="S256" s="94">
        <v>0</v>
      </c>
      <c r="T256" s="156">
        <v>0</v>
      </c>
      <c r="U256" s="152">
        <v>0</v>
      </c>
      <c r="V256" s="151">
        <v>0</v>
      </c>
      <c r="W256" s="151">
        <v>0</v>
      </c>
      <c r="X256" s="151"/>
      <c r="Y256" s="8" t="s">
        <v>999</v>
      </c>
    </row>
    <row r="257" spans="1:25" ht="30" customHeight="1">
      <c r="A257">
        <v>251</v>
      </c>
      <c r="B257" s="84" t="s">
        <v>474</v>
      </c>
      <c r="C257" s="85" t="s">
        <v>664</v>
      </c>
      <c r="D257" s="86" t="s">
        <v>728</v>
      </c>
      <c r="E257" s="86" t="s">
        <v>283</v>
      </c>
      <c r="F257" s="86" t="s">
        <v>935</v>
      </c>
      <c r="G257" s="86">
        <v>0</v>
      </c>
      <c r="H257" s="86" t="e">
        <v>#N/A</v>
      </c>
      <c r="I257" s="86" t="e">
        <v>#N/A</v>
      </c>
      <c r="J257" s="97">
        <v>0</v>
      </c>
      <c r="K257" s="93">
        <v>0</v>
      </c>
      <c r="L257" s="94">
        <v>0</v>
      </c>
      <c r="M257" s="94">
        <v>0</v>
      </c>
      <c r="N257" s="94">
        <v>0</v>
      </c>
      <c r="O257" s="94">
        <v>0</v>
      </c>
      <c r="P257" s="94">
        <v>0</v>
      </c>
      <c r="Q257" s="94">
        <v>0</v>
      </c>
      <c r="R257" s="94">
        <v>0</v>
      </c>
      <c r="S257" s="94">
        <v>0</v>
      </c>
      <c r="T257" s="156">
        <v>0</v>
      </c>
      <c r="U257" s="152">
        <v>0</v>
      </c>
      <c r="V257" s="151">
        <v>0</v>
      </c>
      <c r="W257" s="151">
        <v>0</v>
      </c>
      <c r="X257" s="151"/>
      <c r="Y257" s="8">
        <v>0</v>
      </c>
    </row>
    <row r="258" spans="1:25" ht="30" customHeight="1">
      <c r="A258">
        <v>252</v>
      </c>
      <c r="B258" s="84" t="s">
        <v>475</v>
      </c>
      <c r="C258" s="85" t="s">
        <v>665</v>
      </c>
      <c r="D258" s="86" t="s">
        <v>121</v>
      </c>
      <c r="E258" s="86" t="s">
        <v>283</v>
      </c>
      <c r="F258" s="86" t="s">
        <v>935</v>
      </c>
      <c r="G258" s="86">
        <v>0</v>
      </c>
      <c r="H258" s="86" t="e">
        <v>#N/A</v>
      </c>
      <c r="I258" s="86" t="e">
        <v>#N/A</v>
      </c>
      <c r="J258" s="97">
        <v>0</v>
      </c>
      <c r="K258" s="93">
        <v>0</v>
      </c>
      <c r="L258" s="94">
        <v>0</v>
      </c>
      <c r="M258" s="94">
        <v>0</v>
      </c>
      <c r="N258" s="94">
        <v>0</v>
      </c>
      <c r="O258" s="94">
        <v>0</v>
      </c>
      <c r="P258" s="94">
        <v>0</v>
      </c>
      <c r="Q258" s="94">
        <v>0</v>
      </c>
      <c r="R258" s="94">
        <v>0</v>
      </c>
      <c r="S258" s="94">
        <v>0</v>
      </c>
      <c r="T258" s="156">
        <v>0</v>
      </c>
      <c r="U258" s="152">
        <v>0</v>
      </c>
      <c r="V258" s="151">
        <v>0</v>
      </c>
      <c r="W258" s="151">
        <v>0</v>
      </c>
      <c r="X258" s="151"/>
      <c r="Y258" s="8">
        <v>0</v>
      </c>
    </row>
    <row r="259" spans="1:25" ht="30" customHeight="1">
      <c r="A259">
        <v>253</v>
      </c>
      <c r="B259" s="87" t="s">
        <v>476</v>
      </c>
      <c r="C259" s="85" t="s">
        <v>666</v>
      </c>
      <c r="D259" s="86" t="s">
        <v>121</v>
      </c>
      <c r="E259" s="86" t="s">
        <v>283</v>
      </c>
      <c r="F259" s="86" t="s">
        <v>935</v>
      </c>
      <c r="G259" s="86">
        <v>0</v>
      </c>
      <c r="H259" s="86" t="e">
        <v>#N/A</v>
      </c>
      <c r="I259" s="86" t="e">
        <v>#N/A</v>
      </c>
      <c r="J259" s="97">
        <v>0</v>
      </c>
      <c r="K259" s="93">
        <v>0</v>
      </c>
      <c r="L259" s="94">
        <v>0</v>
      </c>
      <c r="M259" s="94">
        <v>0</v>
      </c>
      <c r="N259" s="94">
        <v>0</v>
      </c>
      <c r="O259" s="94">
        <v>0</v>
      </c>
      <c r="P259" s="94">
        <v>0</v>
      </c>
      <c r="Q259" s="94">
        <v>0</v>
      </c>
      <c r="R259" s="94">
        <v>0</v>
      </c>
      <c r="S259" s="94">
        <v>0</v>
      </c>
      <c r="T259" s="156">
        <v>0</v>
      </c>
      <c r="U259" s="152">
        <v>0</v>
      </c>
      <c r="V259" s="151">
        <v>0</v>
      </c>
      <c r="W259" s="151">
        <v>0</v>
      </c>
      <c r="X259" s="151"/>
      <c r="Y259" s="8" t="s">
        <v>1002</v>
      </c>
    </row>
    <row r="260" spans="1:25" ht="30" customHeight="1">
      <c r="A260">
        <v>254</v>
      </c>
      <c r="B260" s="87" t="s">
        <v>477</v>
      </c>
      <c r="C260" s="85" t="s">
        <v>667</v>
      </c>
      <c r="D260" s="86" t="s">
        <v>728</v>
      </c>
      <c r="E260" s="86" t="s">
        <v>283</v>
      </c>
      <c r="F260" s="86" t="s">
        <v>935</v>
      </c>
      <c r="G260" s="86">
        <v>0</v>
      </c>
      <c r="H260" s="86" t="e">
        <v>#N/A</v>
      </c>
      <c r="I260" s="86" t="e">
        <v>#N/A</v>
      </c>
      <c r="J260" s="97">
        <v>0</v>
      </c>
      <c r="K260" s="93">
        <v>0</v>
      </c>
      <c r="L260" s="94">
        <v>0</v>
      </c>
      <c r="M260" s="94">
        <v>0</v>
      </c>
      <c r="N260" s="94">
        <v>0</v>
      </c>
      <c r="O260" s="94">
        <v>0</v>
      </c>
      <c r="P260" s="94">
        <v>0</v>
      </c>
      <c r="Q260" s="94">
        <v>0</v>
      </c>
      <c r="R260" s="94">
        <v>0</v>
      </c>
      <c r="S260" s="94">
        <v>0</v>
      </c>
      <c r="T260" s="156">
        <v>0</v>
      </c>
      <c r="U260" s="152">
        <v>0</v>
      </c>
      <c r="V260" s="151">
        <v>0</v>
      </c>
      <c r="W260" s="151">
        <v>0</v>
      </c>
      <c r="X260" s="151"/>
      <c r="Y260" s="8" t="s">
        <v>999</v>
      </c>
    </row>
    <row r="261" spans="1:25" ht="30" customHeight="1">
      <c r="A261">
        <v>255</v>
      </c>
      <c r="B261" s="87" t="s">
        <v>478</v>
      </c>
      <c r="C261" s="85" t="s">
        <v>668</v>
      </c>
      <c r="D261" s="86" t="s">
        <v>121</v>
      </c>
      <c r="E261" s="86" t="s">
        <v>283</v>
      </c>
      <c r="F261" s="86" t="s">
        <v>935</v>
      </c>
      <c r="G261" s="86">
        <v>0</v>
      </c>
      <c r="H261" s="86" t="e">
        <v>#N/A</v>
      </c>
      <c r="I261" s="86" t="e">
        <v>#N/A</v>
      </c>
      <c r="J261" s="97">
        <v>0</v>
      </c>
      <c r="K261" s="93">
        <v>0</v>
      </c>
      <c r="L261" s="94">
        <v>0</v>
      </c>
      <c r="M261" s="94">
        <v>0</v>
      </c>
      <c r="N261" s="94">
        <v>0</v>
      </c>
      <c r="O261" s="94">
        <v>0</v>
      </c>
      <c r="P261" s="94">
        <v>0</v>
      </c>
      <c r="Q261" s="94">
        <v>0</v>
      </c>
      <c r="R261" s="94">
        <v>0</v>
      </c>
      <c r="S261" s="94">
        <v>0</v>
      </c>
      <c r="T261" s="156">
        <v>0</v>
      </c>
      <c r="U261" s="152">
        <v>0</v>
      </c>
      <c r="V261" s="151">
        <v>0</v>
      </c>
      <c r="W261" s="151">
        <v>0</v>
      </c>
      <c r="X261" s="151"/>
      <c r="Y261" s="8" t="s">
        <v>1001</v>
      </c>
    </row>
    <row r="262" spans="1:25" ht="30" customHeight="1">
      <c r="A262">
        <v>256</v>
      </c>
      <c r="B262" s="87" t="s">
        <v>479</v>
      </c>
      <c r="C262" s="85" t="s">
        <v>669</v>
      </c>
      <c r="D262" s="86" t="s">
        <v>123</v>
      </c>
      <c r="E262" s="86" t="s">
        <v>283</v>
      </c>
      <c r="F262" s="86" t="s">
        <v>935</v>
      </c>
      <c r="G262" s="86">
        <v>0</v>
      </c>
      <c r="H262" s="86" t="e">
        <v>#N/A</v>
      </c>
      <c r="I262" s="86" t="e">
        <v>#N/A</v>
      </c>
      <c r="J262" s="97">
        <v>0</v>
      </c>
      <c r="K262" s="93">
        <v>0</v>
      </c>
      <c r="L262" s="94">
        <v>0</v>
      </c>
      <c r="M262" s="94">
        <v>0</v>
      </c>
      <c r="N262" s="94">
        <v>0</v>
      </c>
      <c r="O262" s="94">
        <v>0</v>
      </c>
      <c r="P262" s="94">
        <v>0</v>
      </c>
      <c r="Q262" s="94">
        <v>0</v>
      </c>
      <c r="R262" s="94">
        <v>0</v>
      </c>
      <c r="S262" s="94">
        <v>0</v>
      </c>
      <c r="T262" s="156">
        <v>0</v>
      </c>
      <c r="U262" s="152">
        <v>0</v>
      </c>
      <c r="V262" s="151">
        <v>0</v>
      </c>
      <c r="W262" s="151">
        <v>0</v>
      </c>
      <c r="X262" s="151"/>
      <c r="Y262" s="8" t="s">
        <v>1001</v>
      </c>
    </row>
    <row r="263" spans="1:25" ht="30" customHeight="1">
      <c r="A263">
        <v>257</v>
      </c>
      <c r="B263" s="84" t="s">
        <v>480</v>
      </c>
      <c r="C263" s="85" t="s">
        <v>670</v>
      </c>
      <c r="D263" s="86" t="s">
        <v>123</v>
      </c>
      <c r="E263" s="86" t="s">
        <v>283</v>
      </c>
      <c r="F263" s="86" t="s">
        <v>935</v>
      </c>
      <c r="G263" s="86">
        <v>0</v>
      </c>
      <c r="H263" s="86" t="e">
        <v>#N/A</v>
      </c>
      <c r="I263" s="86" t="e">
        <v>#N/A</v>
      </c>
      <c r="J263" s="97">
        <v>0</v>
      </c>
      <c r="K263" s="93">
        <v>0</v>
      </c>
      <c r="L263" s="94">
        <v>0</v>
      </c>
      <c r="M263" s="94">
        <v>0</v>
      </c>
      <c r="N263" s="94">
        <v>0</v>
      </c>
      <c r="O263" s="94">
        <v>0</v>
      </c>
      <c r="P263" s="94">
        <v>0</v>
      </c>
      <c r="Q263" s="94">
        <v>0</v>
      </c>
      <c r="R263" s="94">
        <v>0</v>
      </c>
      <c r="S263" s="94">
        <v>0</v>
      </c>
      <c r="T263" s="156">
        <v>0</v>
      </c>
      <c r="U263" s="152">
        <v>0</v>
      </c>
      <c r="V263" s="151">
        <v>0</v>
      </c>
      <c r="W263" s="151">
        <v>0</v>
      </c>
      <c r="X263" s="151"/>
      <c r="Y263" s="8" t="s">
        <v>1001</v>
      </c>
    </row>
    <row r="264" spans="1:25" ht="30" customHeight="1">
      <c r="A264">
        <v>258</v>
      </c>
      <c r="B264" s="84" t="s">
        <v>1147</v>
      </c>
      <c r="C264" s="85" t="s">
        <v>1148</v>
      </c>
      <c r="D264" s="86" t="s">
        <v>1161</v>
      </c>
      <c r="E264" s="86" t="s">
        <v>283</v>
      </c>
      <c r="F264" s="86" t="s">
        <v>935</v>
      </c>
      <c r="G264" s="86">
        <v>0</v>
      </c>
      <c r="H264" s="86" t="e">
        <v>#N/A</v>
      </c>
      <c r="I264" s="86" t="e">
        <v>#N/A</v>
      </c>
      <c r="J264" s="97">
        <v>0</v>
      </c>
      <c r="K264" s="93">
        <v>0</v>
      </c>
      <c r="L264" s="94">
        <v>0</v>
      </c>
      <c r="M264" s="94">
        <v>0</v>
      </c>
      <c r="N264" s="94">
        <v>0</v>
      </c>
      <c r="O264" s="94">
        <v>0</v>
      </c>
      <c r="P264" s="94">
        <v>0</v>
      </c>
      <c r="Q264" s="94">
        <v>0</v>
      </c>
      <c r="R264" s="94">
        <v>0</v>
      </c>
      <c r="S264" s="94">
        <v>0</v>
      </c>
      <c r="T264" s="156">
        <v>0</v>
      </c>
      <c r="U264" s="152">
        <v>0</v>
      </c>
      <c r="V264" s="151">
        <v>0</v>
      </c>
      <c r="W264" s="151">
        <v>0</v>
      </c>
      <c r="X264" s="151"/>
      <c r="Y264" s="8"/>
    </row>
    <row r="265" spans="1:25" ht="30" customHeight="1">
      <c r="A265">
        <v>259</v>
      </c>
      <c r="B265" s="84" t="s">
        <v>1149</v>
      </c>
      <c r="C265" s="85" t="s">
        <v>1150</v>
      </c>
      <c r="D265" s="86" t="s">
        <v>1161</v>
      </c>
      <c r="E265" s="86" t="s">
        <v>283</v>
      </c>
      <c r="F265" s="86" t="s">
        <v>935</v>
      </c>
      <c r="G265" s="86">
        <v>0</v>
      </c>
      <c r="H265" s="86" t="e">
        <v>#N/A</v>
      </c>
      <c r="I265" s="86" t="e">
        <v>#N/A</v>
      </c>
      <c r="J265" s="97">
        <v>0</v>
      </c>
      <c r="K265" s="93">
        <v>0</v>
      </c>
      <c r="L265" s="94">
        <v>0</v>
      </c>
      <c r="M265" s="94">
        <v>0</v>
      </c>
      <c r="N265" s="94">
        <v>0</v>
      </c>
      <c r="O265" s="94">
        <v>0</v>
      </c>
      <c r="P265" s="94">
        <v>0</v>
      </c>
      <c r="Q265" s="94">
        <v>0</v>
      </c>
      <c r="R265" s="94">
        <v>0</v>
      </c>
      <c r="S265" s="94">
        <v>0</v>
      </c>
      <c r="T265" s="156">
        <v>0</v>
      </c>
      <c r="U265" s="152">
        <v>0</v>
      </c>
      <c r="V265" s="151">
        <v>0</v>
      </c>
      <c r="W265" s="151">
        <v>0</v>
      </c>
      <c r="X265" s="151"/>
      <c r="Y265" s="8"/>
    </row>
    <row r="266" spans="1:25" ht="30" customHeight="1">
      <c r="A266">
        <v>260</v>
      </c>
      <c r="B266" s="87" t="s">
        <v>481</v>
      </c>
      <c r="C266" s="85" t="s">
        <v>1053</v>
      </c>
      <c r="D266" s="86" t="s">
        <v>118</v>
      </c>
      <c r="E266" s="86" t="s">
        <v>283</v>
      </c>
      <c r="F266" s="86" t="s">
        <v>1162</v>
      </c>
      <c r="G266" s="86" t="s">
        <v>715</v>
      </c>
      <c r="H266" s="86" t="s">
        <v>291</v>
      </c>
      <c r="I266" s="86" t="s">
        <v>755</v>
      </c>
      <c r="J266" s="97">
        <v>0</v>
      </c>
      <c r="K266" s="93">
        <v>0</v>
      </c>
      <c r="L266" s="94">
        <v>0</v>
      </c>
      <c r="M266" s="94">
        <v>0</v>
      </c>
      <c r="N266" s="94">
        <v>0</v>
      </c>
      <c r="O266" s="94">
        <v>0</v>
      </c>
      <c r="P266" s="94">
        <v>0</v>
      </c>
      <c r="Q266" s="94">
        <v>0</v>
      </c>
      <c r="R266" s="94">
        <v>0</v>
      </c>
      <c r="S266" s="94">
        <v>0</v>
      </c>
      <c r="T266" s="156">
        <v>0</v>
      </c>
      <c r="U266" s="152">
        <v>0</v>
      </c>
      <c r="V266" s="151">
        <v>0</v>
      </c>
      <c r="W266" s="151">
        <v>0</v>
      </c>
      <c r="X266" s="151"/>
      <c r="Y266" s="8" t="s">
        <v>1000</v>
      </c>
    </row>
    <row r="267" spans="1:25" ht="30" customHeight="1">
      <c r="A267">
        <v>261</v>
      </c>
      <c r="B267" s="87" t="s">
        <v>482</v>
      </c>
      <c r="C267" s="85" t="s">
        <v>671</v>
      </c>
      <c r="D267" s="86" t="s">
        <v>118</v>
      </c>
      <c r="E267" s="86" t="s">
        <v>283</v>
      </c>
      <c r="F267" s="86" t="s">
        <v>1162</v>
      </c>
      <c r="G267" s="86" t="s">
        <v>716</v>
      </c>
      <c r="H267" s="86" t="s">
        <v>292</v>
      </c>
      <c r="I267" s="86" t="s">
        <v>753</v>
      </c>
      <c r="J267" s="97">
        <v>0</v>
      </c>
      <c r="K267" s="93">
        <v>0</v>
      </c>
      <c r="L267" s="94">
        <v>0</v>
      </c>
      <c r="M267" s="94">
        <v>0</v>
      </c>
      <c r="N267" s="94">
        <v>0</v>
      </c>
      <c r="O267" s="94">
        <v>0</v>
      </c>
      <c r="P267" s="94">
        <v>0</v>
      </c>
      <c r="Q267" s="94">
        <v>0</v>
      </c>
      <c r="R267" s="94">
        <v>0</v>
      </c>
      <c r="S267" s="94">
        <v>0</v>
      </c>
      <c r="T267" s="156">
        <v>0</v>
      </c>
      <c r="U267" s="152">
        <v>0</v>
      </c>
      <c r="V267" s="151">
        <v>0</v>
      </c>
      <c r="W267" s="151">
        <v>0</v>
      </c>
      <c r="X267" s="151"/>
      <c r="Y267" s="8" t="s">
        <v>1000</v>
      </c>
    </row>
    <row r="268" spans="1:25" ht="30" customHeight="1">
      <c r="A268">
        <v>262</v>
      </c>
      <c r="B268" s="87" t="s">
        <v>483</v>
      </c>
      <c r="C268" s="85" t="s">
        <v>672</v>
      </c>
      <c r="D268" s="86" t="s">
        <v>118</v>
      </c>
      <c r="E268" s="86" t="s">
        <v>283</v>
      </c>
      <c r="F268" s="86" t="s">
        <v>1162</v>
      </c>
      <c r="G268" s="86" t="s">
        <v>716</v>
      </c>
      <c r="H268" s="86" t="s">
        <v>292</v>
      </c>
      <c r="I268" s="86" t="s">
        <v>753</v>
      </c>
      <c r="J268" s="97">
        <v>0</v>
      </c>
      <c r="K268" s="93">
        <v>0</v>
      </c>
      <c r="L268" s="94">
        <v>0</v>
      </c>
      <c r="M268" s="94">
        <v>0</v>
      </c>
      <c r="N268" s="94">
        <v>0</v>
      </c>
      <c r="O268" s="94">
        <v>0</v>
      </c>
      <c r="P268" s="94">
        <v>0</v>
      </c>
      <c r="Q268" s="94">
        <v>0</v>
      </c>
      <c r="R268" s="94">
        <v>0</v>
      </c>
      <c r="S268" s="94">
        <v>0</v>
      </c>
      <c r="T268" s="156">
        <v>0</v>
      </c>
      <c r="U268" s="152">
        <v>0</v>
      </c>
      <c r="V268" s="151">
        <v>0</v>
      </c>
      <c r="W268" s="151">
        <v>0</v>
      </c>
      <c r="X268" s="151"/>
      <c r="Y268" s="8" t="s">
        <v>1000</v>
      </c>
    </row>
    <row r="269" spans="1:25" ht="30" customHeight="1">
      <c r="A269">
        <v>263</v>
      </c>
      <c r="B269" s="87" t="s">
        <v>484</v>
      </c>
      <c r="C269" s="85" t="s">
        <v>1054</v>
      </c>
      <c r="D269" s="86" t="s">
        <v>118</v>
      </c>
      <c r="E269" s="86" t="s">
        <v>283</v>
      </c>
      <c r="F269" s="86" t="s">
        <v>1162</v>
      </c>
      <c r="G269" s="86" t="s">
        <v>714</v>
      </c>
      <c r="H269" s="86" t="s">
        <v>290</v>
      </c>
      <c r="I269" s="86" t="s">
        <v>785</v>
      </c>
      <c r="J269" s="97">
        <v>0</v>
      </c>
      <c r="K269" s="93">
        <v>0</v>
      </c>
      <c r="L269" s="94">
        <v>0</v>
      </c>
      <c r="M269" s="94">
        <v>0</v>
      </c>
      <c r="N269" s="94">
        <v>0</v>
      </c>
      <c r="O269" s="94">
        <v>0</v>
      </c>
      <c r="P269" s="94">
        <v>0</v>
      </c>
      <c r="Q269" s="94">
        <v>0</v>
      </c>
      <c r="R269" s="94">
        <v>0</v>
      </c>
      <c r="S269" s="94">
        <v>0</v>
      </c>
      <c r="T269" s="156">
        <v>40.5</v>
      </c>
      <c r="U269" s="152">
        <v>0</v>
      </c>
      <c r="V269" s="151">
        <v>0</v>
      </c>
      <c r="W269" s="151">
        <v>0</v>
      </c>
      <c r="X269" s="151">
        <v>40.5</v>
      </c>
      <c r="Y269" s="8" t="s">
        <v>1000</v>
      </c>
    </row>
    <row r="270" spans="1:25" ht="30" customHeight="1">
      <c r="A270">
        <v>264</v>
      </c>
      <c r="B270" s="87" t="s">
        <v>485</v>
      </c>
      <c r="C270" s="85" t="s">
        <v>673</v>
      </c>
      <c r="D270" s="86" t="s">
        <v>118</v>
      </c>
      <c r="E270" s="86" t="s">
        <v>283</v>
      </c>
      <c r="F270" s="86" t="s">
        <v>1162</v>
      </c>
      <c r="G270" s="86" t="s">
        <v>715</v>
      </c>
      <c r="H270" s="86" t="s">
        <v>291</v>
      </c>
      <c r="I270" s="86" t="s">
        <v>755</v>
      </c>
      <c r="J270" s="97">
        <v>0</v>
      </c>
      <c r="K270" s="93">
        <v>0</v>
      </c>
      <c r="L270" s="94">
        <v>0</v>
      </c>
      <c r="M270" s="94">
        <v>0</v>
      </c>
      <c r="N270" s="94">
        <v>0</v>
      </c>
      <c r="O270" s="94">
        <v>0</v>
      </c>
      <c r="P270" s="94">
        <v>0</v>
      </c>
      <c r="Q270" s="94">
        <v>0</v>
      </c>
      <c r="R270" s="94">
        <v>0</v>
      </c>
      <c r="S270" s="94">
        <v>0</v>
      </c>
      <c r="T270" s="156">
        <v>0</v>
      </c>
      <c r="U270" s="152">
        <v>0</v>
      </c>
      <c r="V270" s="151">
        <v>0</v>
      </c>
      <c r="W270" s="151">
        <v>0</v>
      </c>
      <c r="X270" s="151"/>
      <c r="Y270" s="8" t="s">
        <v>1000</v>
      </c>
    </row>
    <row r="271" spans="1:25" ht="30" customHeight="1">
      <c r="A271">
        <v>265</v>
      </c>
      <c r="B271" s="84" t="s">
        <v>918</v>
      </c>
      <c r="C271" s="85" t="s">
        <v>1055</v>
      </c>
      <c r="D271" s="86" t="s">
        <v>118</v>
      </c>
      <c r="E271" s="86" t="s">
        <v>283</v>
      </c>
      <c r="F271" s="86" t="s">
        <v>1162</v>
      </c>
      <c r="G271" s="86" t="s">
        <v>715</v>
      </c>
      <c r="H271" s="86" t="s">
        <v>291</v>
      </c>
      <c r="I271" s="86" t="s">
        <v>755</v>
      </c>
      <c r="J271" s="97">
        <v>0</v>
      </c>
      <c r="K271" s="93">
        <v>0</v>
      </c>
      <c r="L271" s="94">
        <v>0</v>
      </c>
      <c r="M271" s="94">
        <v>0</v>
      </c>
      <c r="N271" s="94">
        <v>0</v>
      </c>
      <c r="O271" s="94">
        <v>0</v>
      </c>
      <c r="P271" s="94">
        <v>0</v>
      </c>
      <c r="Q271" s="94">
        <v>0</v>
      </c>
      <c r="R271" s="94">
        <v>0</v>
      </c>
      <c r="S271" s="94">
        <v>0</v>
      </c>
      <c r="T271" s="156">
        <v>0</v>
      </c>
      <c r="U271" s="152">
        <v>0</v>
      </c>
      <c r="V271" s="151">
        <v>0</v>
      </c>
      <c r="W271" s="151">
        <v>0</v>
      </c>
      <c r="X271" s="151"/>
      <c r="Y271" s="8" t="s">
        <v>1000</v>
      </c>
    </row>
    <row r="272" spans="1:25" ht="30" customHeight="1">
      <c r="A272">
        <v>266</v>
      </c>
      <c r="B272" s="87" t="s">
        <v>486</v>
      </c>
      <c r="C272" s="85" t="s">
        <v>1056</v>
      </c>
      <c r="D272" s="86" t="s">
        <v>118</v>
      </c>
      <c r="E272" s="86" t="s">
        <v>283</v>
      </c>
      <c r="F272" s="86" t="s">
        <v>1162</v>
      </c>
      <c r="G272" s="86">
        <v>0</v>
      </c>
      <c r="H272" s="86" t="e">
        <v>#N/A</v>
      </c>
      <c r="I272" s="86" t="e">
        <v>#N/A</v>
      </c>
      <c r="J272" s="97">
        <v>0</v>
      </c>
      <c r="K272" s="93">
        <v>0</v>
      </c>
      <c r="L272" s="94">
        <v>0</v>
      </c>
      <c r="M272" s="94">
        <v>0</v>
      </c>
      <c r="N272" s="94">
        <v>0</v>
      </c>
      <c r="O272" s="94">
        <v>0</v>
      </c>
      <c r="P272" s="94">
        <v>0</v>
      </c>
      <c r="Q272" s="94">
        <v>0</v>
      </c>
      <c r="R272" s="94">
        <v>0</v>
      </c>
      <c r="S272" s="94">
        <v>0</v>
      </c>
      <c r="T272" s="156">
        <v>0</v>
      </c>
      <c r="U272" s="152">
        <v>0</v>
      </c>
      <c r="V272" s="151">
        <v>0</v>
      </c>
      <c r="W272" s="151">
        <v>0</v>
      </c>
      <c r="X272" s="151"/>
      <c r="Y272" s="8" t="s">
        <v>1001</v>
      </c>
    </row>
    <row r="273" spans="1:25" ht="30" customHeight="1">
      <c r="A273">
        <v>267</v>
      </c>
      <c r="B273" s="87" t="s">
        <v>487</v>
      </c>
      <c r="C273" s="85" t="s">
        <v>674</v>
      </c>
      <c r="D273" s="86" t="s">
        <v>118</v>
      </c>
      <c r="E273" s="86" t="s">
        <v>283</v>
      </c>
      <c r="F273" s="86" t="s">
        <v>1162</v>
      </c>
      <c r="G273" s="86">
        <v>0</v>
      </c>
      <c r="H273" s="86" t="e">
        <v>#N/A</v>
      </c>
      <c r="I273" s="86" t="e">
        <v>#N/A</v>
      </c>
      <c r="J273" s="97">
        <v>0</v>
      </c>
      <c r="K273" s="93">
        <v>0</v>
      </c>
      <c r="L273" s="94">
        <v>0</v>
      </c>
      <c r="M273" s="94">
        <v>0</v>
      </c>
      <c r="N273" s="94">
        <v>0</v>
      </c>
      <c r="O273" s="94">
        <v>0</v>
      </c>
      <c r="P273" s="94">
        <v>0</v>
      </c>
      <c r="Q273" s="94">
        <v>0</v>
      </c>
      <c r="R273" s="94">
        <v>0</v>
      </c>
      <c r="S273" s="94">
        <v>0</v>
      </c>
      <c r="T273" s="156">
        <v>0</v>
      </c>
      <c r="U273" s="152">
        <v>0</v>
      </c>
      <c r="V273" s="151">
        <v>0</v>
      </c>
      <c r="W273" s="151">
        <v>0</v>
      </c>
      <c r="X273" s="151"/>
      <c r="Y273" s="8" t="s">
        <v>1000</v>
      </c>
    </row>
    <row r="274" spans="1:25" ht="30" customHeight="1">
      <c r="A274">
        <v>268</v>
      </c>
      <c r="B274" s="87" t="s">
        <v>488</v>
      </c>
      <c r="C274" s="85" t="s">
        <v>1057</v>
      </c>
      <c r="D274" s="86" t="s">
        <v>120</v>
      </c>
      <c r="E274" s="86" t="s">
        <v>283</v>
      </c>
      <c r="F274" s="86" t="s">
        <v>1162</v>
      </c>
      <c r="G274" s="86" t="s">
        <v>714</v>
      </c>
      <c r="H274" s="86" t="s">
        <v>290</v>
      </c>
      <c r="I274" s="86" t="s">
        <v>785</v>
      </c>
      <c r="J274" s="97">
        <v>0</v>
      </c>
      <c r="K274" s="93">
        <v>0</v>
      </c>
      <c r="L274" s="94">
        <v>0</v>
      </c>
      <c r="M274" s="94">
        <v>0</v>
      </c>
      <c r="N274" s="94">
        <v>0</v>
      </c>
      <c r="O274" s="94">
        <v>0</v>
      </c>
      <c r="P274" s="94">
        <v>0</v>
      </c>
      <c r="Q274" s="94">
        <v>0</v>
      </c>
      <c r="R274" s="94">
        <v>0</v>
      </c>
      <c r="S274" s="94">
        <v>0</v>
      </c>
      <c r="T274" s="156">
        <v>232.5</v>
      </c>
      <c r="U274" s="152">
        <v>0</v>
      </c>
      <c r="V274" s="151">
        <v>0</v>
      </c>
      <c r="W274" s="151">
        <v>0</v>
      </c>
      <c r="X274" s="151">
        <v>232.5</v>
      </c>
      <c r="Y274" s="8" t="s">
        <v>1002</v>
      </c>
    </row>
    <row r="275" spans="1:25" ht="30" customHeight="1">
      <c r="A275">
        <v>269</v>
      </c>
      <c r="B275" s="87" t="s">
        <v>489</v>
      </c>
      <c r="C275" s="85" t="s">
        <v>1058</v>
      </c>
      <c r="D275" s="86" t="s">
        <v>120</v>
      </c>
      <c r="E275" s="86" t="s">
        <v>283</v>
      </c>
      <c r="F275" s="86" t="s">
        <v>1162</v>
      </c>
      <c r="G275" s="86" t="s">
        <v>714</v>
      </c>
      <c r="H275" s="86" t="s">
        <v>290</v>
      </c>
      <c r="I275" s="86" t="s">
        <v>785</v>
      </c>
      <c r="J275" s="97">
        <v>0</v>
      </c>
      <c r="K275" s="93">
        <v>0</v>
      </c>
      <c r="L275" s="94">
        <v>0</v>
      </c>
      <c r="M275" s="94">
        <v>0</v>
      </c>
      <c r="N275" s="94">
        <v>0</v>
      </c>
      <c r="O275" s="94">
        <v>0</v>
      </c>
      <c r="P275" s="94">
        <v>0</v>
      </c>
      <c r="Q275" s="94">
        <v>0</v>
      </c>
      <c r="R275" s="94">
        <v>0</v>
      </c>
      <c r="S275" s="94">
        <v>0</v>
      </c>
      <c r="T275" s="156">
        <v>33.5</v>
      </c>
      <c r="U275" s="152">
        <v>0</v>
      </c>
      <c r="V275" s="151">
        <v>0</v>
      </c>
      <c r="W275" s="151">
        <v>0</v>
      </c>
      <c r="X275" s="151">
        <v>33.5</v>
      </c>
      <c r="Y275" s="8" t="s">
        <v>1002</v>
      </c>
    </row>
    <row r="276" spans="1:25" ht="30" customHeight="1">
      <c r="A276">
        <v>270</v>
      </c>
      <c r="B276" s="84" t="s">
        <v>490</v>
      </c>
      <c r="C276" s="85" t="s">
        <v>1059</v>
      </c>
      <c r="D276" s="86" t="s">
        <v>120</v>
      </c>
      <c r="E276" s="86" t="s">
        <v>283</v>
      </c>
      <c r="F276" s="86" t="s">
        <v>935</v>
      </c>
      <c r="G276" s="86" t="s">
        <v>716</v>
      </c>
      <c r="H276" s="86" t="s">
        <v>292</v>
      </c>
      <c r="I276" s="86" t="s">
        <v>753</v>
      </c>
      <c r="J276" s="97">
        <v>0</v>
      </c>
      <c r="K276" s="93">
        <v>0</v>
      </c>
      <c r="L276" s="94">
        <v>0</v>
      </c>
      <c r="M276" s="94">
        <v>0</v>
      </c>
      <c r="N276" s="94">
        <v>0</v>
      </c>
      <c r="O276" s="94">
        <v>0</v>
      </c>
      <c r="P276" s="94">
        <v>0</v>
      </c>
      <c r="Q276" s="94">
        <v>0</v>
      </c>
      <c r="R276" s="94">
        <v>0</v>
      </c>
      <c r="S276" s="94">
        <v>0</v>
      </c>
      <c r="T276" s="156">
        <v>0</v>
      </c>
      <c r="U276" s="152">
        <v>0</v>
      </c>
      <c r="V276" s="151">
        <v>0</v>
      </c>
      <c r="W276" s="151">
        <v>0</v>
      </c>
      <c r="X276" s="151"/>
      <c r="Y276" s="8" t="s">
        <v>1001</v>
      </c>
    </row>
    <row r="277" spans="1:25" ht="30" customHeight="1">
      <c r="A277">
        <v>271</v>
      </c>
      <c r="B277" s="84" t="s">
        <v>491</v>
      </c>
      <c r="C277" s="85" t="s">
        <v>1060</v>
      </c>
      <c r="D277" s="86" t="s">
        <v>120</v>
      </c>
      <c r="E277" s="86" t="s">
        <v>283</v>
      </c>
      <c r="F277" s="86" t="s">
        <v>1162</v>
      </c>
      <c r="G277" s="86" t="s">
        <v>715</v>
      </c>
      <c r="H277" s="86" t="s">
        <v>291</v>
      </c>
      <c r="I277" s="86" t="s">
        <v>755</v>
      </c>
      <c r="J277" s="97">
        <v>0</v>
      </c>
      <c r="K277" s="93">
        <v>0</v>
      </c>
      <c r="L277" s="94">
        <v>0</v>
      </c>
      <c r="M277" s="94">
        <v>0</v>
      </c>
      <c r="N277" s="94">
        <v>0</v>
      </c>
      <c r="O277" s="94">
        <v>0</v>
      </c>
      <c r="P277" s="94">
        <v>0</v>
      </c>
      <c r="Q277" s="94">
        <v>0</v>
      </c>
      <c r="R277" s="94">
        <v>0</v>
      </c>
      <c r="S277" s="94">
        <v>0</v>
      </c>
      <c r="T277" s="156">
        <v>0</v>
      </c>
      <c r="U277" s="152">
        <v>0</v>
      </c>
      <c r="V277" s="151">
        <v>0</v>
      </c>
      <c r="W277" s="151">
        <v>0</v>
      </c>
      <c r="X277" s="151"/>
      <c r="Y277" s="8" t="s">
        <v>1001</v>
      </c>
    </row>
    <row r="278" spans="1:25" ht="30" customHeight="1">
      <c r="A278">
        <v>272</v>
      </c>
      <c r="B278" s="87" t="s">
        <v>492</v>
      </c>
      <c r="C278" s="85" t="s">
        <v>675</v>
      </c>
      <c r="D278" s="86" t="s">
        <v>128</v>
      </c>
      <c r="E278" s="86" t="s">
        <v>711</v>
      </c>
      <c r="F278" s="86" t="s">
        <v>935</v>
      </c>
      <c r="G278" s="86">
        <v>0</v>
      </c>
      <c r="H278" s="86" t="e">
        <v>#N/A</v>
      </c>
      <c r="I278" s="86" t="e">
        <v>#N/A</v>
      </c>
      <c r="J278" s="97">
        <v>0</v>
      </c>
      <c r="K278" s="93">
        <v>0</v>
      </c>
      <c r="L278" s="94">
        <v>0</v>
      </c>
      <c r="M278" s="94">
        <v>0</v>
      </c>
      <c r="N278" s="94">
        <v>0</v>
      </c>
      <c r="O278" s="94">
        <v>0</v>
      </c>
      <c r="P278" s="94">
        <v>0</v>
      </c>
      <c r="Q278" s="94">
        <v>0</v>
      </c>
      <c r="R278" s="94">
        <v>0</v>
      </c>
      <c r="S278" s="94">
        <v>0</v>
      </c>
      <c r="T278" s="156">
        <v>0</v>
      </c>
      <c r="U278" s="152">
        <v>0</v>
      </c>
      <c r="V278" s="151">
        <v>0</v>
      </c>
      <c r="W278" s="151">
        <v>0</v>
      </c>
      <c r="X278" s="151"/>
      <c r="Y278" s="8" t="s">
        <v>1000</v>
      </c>
    </row>
    <row r="279" spans="1:25" ht="30" customHeight="1">
      <c r="A279">
        <v>273</v>
      </c>
      <c r="B279" s="87" t="s">
        <v>493</v>
      </c>
      <c r="C279" s="85" t="s">
        <v>676</v>
      </c>
      <c r="D279" s="86" t="s">
        <v>128</v>
      </c>
      <c r="E279" s="86" t="s">
        <v>283</v>
      </c>
      <c r="F279" s="86" t="s">
        <v>935</v>
      </c>
      <c r="G279" s="86">
        <v>0</v>
      </c>
      <c r="H279" s="86" t="e">
        <v>#N/A</v>
      </c>
      <c r="I279" s="86" t="e">
        <v>#N/A</v>
      </c>
      <c r="J279" s="97">
        <v>0</v>
      </c>
      <c r="K279" s="93">
        <v>0</v>
      </c>
      <c r="L279" s="94">
        <v>0</v>
      </c>
      <c r="M279" s="94">
        <v>0</v>
      </c>
      <c r="N279" s="94">
        <v>0</v>
      </c>
      <c r="O279" s="94">
        <v>0</v>
      </c>
      <c r="P279" s="94">
        <v>0</v>
      </c>
      <c r="Q279" s="94">
        <v>0</v>
      </c>
      <c r="R279" s="94">
        <v>0</v>
      </c>
      <c r="S279" s="94">
        <v>0</v>
      </c>
      <c r="T279" s="156">
        <v>0</v>
      </c>
      <c r="U279" s="152">
        <v>0</v>
      </c>
      <c r="V279" s="151">
        <v>0</v>
      </c>
      <c r="W279" s="151">
        <v>0</v>
      </c>
      <c r="X279" s="151"/>
      <c r="Y279" s="8" t="s">
        <v>1000</v>
      </c>
    </row>
    <row r="280" spans="1:25" ht="30" customHeight="1">
      <c r="A280">
        <v>274</v>
      </c>
      <c r="B280" s="87" t="s">
        <v>494</v>
      </c>
      <c r="C280" s="85" t="s">
        <v>677</v>
      </c>
      <c r="D280" s="86" t="s">
        <v>128</v>
      </c>
      <c r="E280" s="86" t="s">
        <v>283</v>
      </c>
      <c r="F280" s="86" t="s">
        <v>935</v>
      </c>
      <c r="G280" s="86" t="s">
        <v>719</v>
      </c>
      <c r="H280" s="86" t="s">
        <v>712</v>
      </c>
      <c r="I280" s="86" t="s">
        <v>720</v>
      </c>
      <c r="J280" s="97">
        <v>0</v>
      </c>
      <c r="K280" s="93">
        <v>0</v>
      </c>
      <c r="L280" s="94">
        <v>0</v>
      </c>
      <c r="M280" s="94">
        <v>0</v>
      </c>
      <c r="N280" s="94">
        <v>0</v>
      </c>
      <c r="O280" s="94">
        <v>0</v>
      </c>
      <c r="P280" s="94">
        <v>0</v>
      </c>
      <c r="Q280" s="94">
        <v>0</v>
      </c>
      <c r="R280" s="94">
        <v>0</v>
      </c>
      <c r="S280" s="94">
        <v>0</v>
      </c>
      <c r="T280" s="156">
        <v>0</v>
      </c>
      <c r="U280" s="152">
        <v>0</v>
      </c>
      <c r="V280" s="151">
        <v>0</v>
      </c>
      <c r="W280" s="151">
        <v>0</v>
      </c>
      <c r="X280" s="151"/>
      <c r="Y280" s="8" t="s">
        <v>999</v>
      </c>
    </row>
    <row r="281" spans="1:25" ht="30" customHeight="1">
      <c r="A281">
        <v>275</v>
      </c>
      <c r="B281" s="87" t="s">
        <v>495</v>
      </c>
      <c r="C281" s="85" t="s">
        <v>678</v>
      </c>
      <c r="D281" s="86" t="s">
        <v>128</v>
      </c>
      <c r="E281" s="86" t="s">
        <v>711</v>
      </c>
      <c r="F281" s="86" t="s">
        <v>935</v>
      </c>
      <c r="G281" s="86" t="s">
        <v>719</v>
      </c>
      <c r="H281" s="86" t="s">
        <v>712</v>
      </c>
      <c r="I281" s="86" t="s">
        <v>720</v>
      </c>
      <c r="J281" s="97">
        <v>0</v>
      </c>
      <c r="K281" s="93">
        <v>0</v>
      </c>
      <c r="L281" s="94">
        <v>0</v>
      </c>
      <c r="M281" s="94">
        <v>0</v>
      </c>
      <c r="N281" s="94">
        <v>0</v>
      </c>
      <c r="O281" s="94">
        <v>0</v>
      </c>
      <c r="P281" s="94">
        <v>0</v>
      </c>
      <c r="Q281" s="94">
        <v>0</v>
      </c>
      <c r="R281" s="94">
        <v>0</v>
      </c>
      <c r="S281" s="94">
        <v>0</v>
      </c>
      <c r="T281" s="156">
        <v>0</v>
      </c>
      <c r="U281" s="152">
        <v>0</v>
      </c>
      <c r="V281" s="151">
        <v>0</v>
      </c>
      <c r="W281" s="151">
        <v>0</v>
      </c>
      <c r="X281" s="151"/>
      <c r="Y281" s="8" t="s">
        <v>1000</v>
      </c>
    </row>
    <row r="282" spans="1:25" ht="30" customHeight="1">
      <c r="A282">
        <v>276</v>
      </c>
      <c r="B282" s="87" t="s">
        <v>496</v>
      </c>
      <c r="C282" s="85" t="s">
        <v>679</v>
      </c>
      <c r="D282" s="86" t="s">
        <v>128</v>
      </c>
      <c r="E282" s="86" t="s">
        <v>283</v>
      </c>
      <c r="F282" s="86" t="s">
        <v>935</v>
      </c>
      <c r="G282" s="86" t="s">
        <v>715</v>
      </c>
      <c r="H282" s="86" t="s">
        <v>291</v>
      </c>
      <c r="I282" s="86" t="s">
        <v>755</v>
      </c>
      <c r="J282" s="97">
        <v>0</v>
      </c>
      <c r="K282" s="93">
        <v>0</v>
      </c>
      <c r="L282" s="94">
        <v>0</v>
      </c>
      <c r="M282" s="94">
        <v>0</v>
      </c>
      <c r="N282" s="94">
        <v>0</v>
      </c>
      <c r="O282" s="94">
        <v>0</v>
      </c>
      <c r="P282" s="94">
        <v>0</v>
      </c>
      <c r="Q282" s="94">
        <v>0</v>
      </c>
      <c r="R282" s="94">
        <v>0</v>
      </c>
      <c r="S282" s="94">
        <v>0</v>
      </c>
      <c r="T282" s="156">
        <v>0</v>
      </c>
      <c r="U282" s="152">
        <v>0</v>
      </c>
      <c r="V282" s="151">
        <v>0</v>
      </c>
      <c r="W282" s="151">
        <v>0</v>
      </c>
      <c r="X282" s="151"/>
      <c r="Y282" s="8" t="s">
        <v>1000</v>
      </c>
    </row>
    <row r="283" spans="1:25" ht="30" customHeight="1">
      <c r="A283">
        <v>277</v>
      </c>
      <c r="B283" s="87" t="s">
        <v>497</v>
      </c>
      <c r="C283" s="85" t="s">
        <v>680</v>
      </c>
      <c r="D283" s="86" t="s">
        <v>128</v>
      </c>
      <c r="E283" s="86" t="s">
        <v>711</v>
      </c>
      <c r="F283" s="86" t="s">
        <v>935</v>
      </c>
      <c r="G283" s="86">
        <v>0</v>
      </c>
      <c r="H283" s="86" t="e">
        <v>#N/A</v>
      </c>
      <c r="I283" s="86" t="e">
        <v>#N/A</v>
      </c>
      <c r="J283" s="97">
        <v>0</v>
      </c>
      <c r="K283" s="93">
        <v>0</v>
      </c>
      <c r="L283" s="94">
        <v>0</v>
      </c>
      <c r="M283" s="94">
        <v>0</v>
      </c>
      <c r="N283" s="94">
        <v>0</v>
      </c>
      <c r="O283" s="94">
        <v>0</v>
      </c>
      <c r="P283" s="94">
        <v>0</v>
      </c>
      <c r="Q283" s="94">
        <v>0</v>
      </c>
      <c r="R283" s="94">
        <v>0</v>
      </c>
      <c r="S283" s="94">
        <v>0</v>
      </c>
      <c r="T283" s="156">
        <v>0</v>
      </c>
      <c r="U283" s="152">
        <v>0</v>
      </c>
      <c r="V283" s="151">
        <v>0</v>
      </c>
      <c r="W283" s="151">
        <v>0</v>
      </c>
      <c r="X283" s="151"/>
      <c r="Y283" s="8" t="s">
        <v>1000</v>
      </c>
    </row>
    <row r="284" spans="1:25" ht="30" customHeight="1">
      <c r="A284">
        <v>278</v>
      </c>
      <c r="B284" s="87" t="s">
        <v>498</v>
      </c>
      <c r="C284" s="85" t="s">
        <v>681</v>
      </c>
      <c r="D284" s="86" t="s">
        <v>128</v>
      </c>
      <c r="E284" s="86" t="s">
        <v>711</v>
      </c>
      <c r="F284" s="86" t="s">
        <v>935</v>
      </c>
      <c r="G284" s="86">
        <v>0</v>
      </c>
      <c r="H284" s="86" t="e">
        <v>#N/A</v>
      </c>
      <c r="I284" s="86" t="e">
        <v>#N/A</v>
      </c>
      <c r="J284" s="97">
        <v>0</v>
      </c>
      <c r="K284" s="93">
        <v>0</v>
      </c>
      <c r="L284" s="94">
        <v>0</v>
      </c>
      <c r="M284" s="94">
        <v>0</v>
      </c>
      <c r="N284" s="94">
        <v>0</v>
      </c>
      <c r="O284" s="94">
        <v>0</v>
      </c>
      <c r="P284" s="94">
        <v>0</v>
      </c>
      <c r="Q284" s="94">
        <v>0</v>
      </c>
      <c r="R284" s="94">
        <v>0</v>
      </c>
      <c r="S284" s="94">
        <v>0</v>
      </c>
      <c r="T284" s="156">
        <v>0</v>
      </c>
      <c r="U284" s="152">
        <v>0</v>
      </c>
      <c r="V284" s="151">
        <v>0</v>
      </c>
      <c r="W284" s="151">
        <v>0</v>
      </c>
      <c r="X284" s="151"/>
      <c r="Y284" s="8" t="s">
        <v>1000</v>
      </c>
    </row>
    <row r="285" spans="1:25" ht="30" customHeight="1">
      <c r="A285">
        <v>279</v>
      </c>
      <c r="B285" s="84" t="s">
        <v>499</v>
      </c>
      <c r="C285" s="85" t="s">
        <v>682</v>
      </c>
      <c r="D285" s="86" t="s">
        <v>128</v>
      </c>
      <c r="E285" s="86" t="s">
        <v>711</v>
      </c>
      <c r="F285" s="86" t="s">
        <v>935</v>
      </c>
      <c r="G285" s="86">
        <v>0</v>
      </c>
      <c r="H285" s="86" t="e">
        <v>#N/A</v>
      </c>
      <c r="I285" s="86" t="e">
        <v>#N/A</v>
      </c>
      <c r="J285" s="97">
        <v>0</v>
      </c>
      <c r="K285" s="93">
        <v>0</v>
      </c>
      <c r="L285" s="94">
        <v>0</v>
      </c>
      <c r="M285" s="94">
        <v>0</v>
      </c>
      <c r="N285" s="94">
        <v>0</v>
      </c>
      <c r="O285" s="94">
        <v>0</v>
      </c>
      <c r="P285" s="94">
        <v>0</v>
      </c>
      <c r="Q285" s="94">
        <v>0</v>
      </c>
      <c r="R285" s="94">
        <v>0</v>
      </c>
      <c r="S285" s="94">
        <v>0</v>
      </c>
      <c r="T285" s="156">
        <v>0</v>
      </c>
      <c r="U285" s="152">
        <v>0</v>
      </c>
      <c r="V285" s="151">
        <v>0</v>
      </c>
      <c r="W285" s="151">
        <v>0</v>
      </c>
      <c r="X285" s="151"/>
      <c r="Y285" s="8" t="s">
        <v>1000</v>
      </c>
    </row>
    <row r="286" spans="1:25" ht="30" customHeight="1">
      <c r="A286">
        <v>280</v>
      </c>
      <c r="B286" s="87" t="s">
        <v>500</v>
      </c>
      <c r="C286" s="85" t="s">
        <v>683</v>
      </c>
      <c r="D286" s="86" t="s">
        <v>128</v>
      </c>
      <c r="E286" s="86" t="s">
        <v>711</v>
      </c>
      <c r="F286" s="86" t="s">
        <v>935</v>
      </c>
      <c r="G286" s="86">
        <v>0</v>
      </c>
      <c r="H286" s="86" t="e">
        <v>#N/A</v>
      </c>
      <c r="I286" s="86" t="e">
        <v>#N/A</v>
      </c>
      <c r="J286" s="97">
        <v>0</v>
      </c>
      <c r="K286" s="93">
        <v>0</v>
      </c>
      <c r="L286" s="94">
        <v>0</v>
      </c>
      <c r="M286" s="94">
        <v>0</v>
      </c>
      <c r="N286" s="94">
        <v>0</v>
      </c>
      <c r="O286" s="94">
        <v>0</v>
      </c>
      <c r="P286" s="94">
        <v>0</v>
      </c>
      <c r="Q286" s="94">
        <v>0</v>
      </c>
      <c r="R286" s="94">
        <v>0</v>
      </c>
      <c r="S286" s="94">
        <v>0</v>
      </c>
      <c r="T286" s="156">
        <v>0</v>
      </c>
      <c r="U286" s="152">
        <v>0</v>
      </c>
      <c r="V286" s="151">
        <v>0</v>
      </c>
      <c r="W286" s="151">
        <v>0</v>
      </c>
      <c r="X286" s="151"/>
      <c r="Y286" s="8" t="s">
        <v>1000</v>
      </c>
    </row>
    <row r="287" spans="1:25" ht="30" customHeight="1">
      <c r="A287">
        <v>281</v>
      </c>
      <c r="B287" s="87" t="s">
        <v>501</v>
      </c>
      <c r="C287" s="85" t="s">
        <v>684</v>
      </c>
      <c r="D287" s="86" t="s">
        <v>128</v>
      </c>
      <c r="E287" s="86" t="s">
        <v>283</v>
      </c>
      <c r="F287" s="86" t="s">
        <v>935</v>
      </c>
      <c r="G287" s="86">
        <v>0</v>
      </c>
      <c r="H287" s="86" t="e">
        <v>#N/A</v>
      </c>
      <c r="I287" s="86" t="e">
        <v>#N/A</v>
      </c>
      <c r="J287" s="97">
        <v>0</v>
      </c>
      <c r="K287" s="93">
        <v>0</v>
      </c>
      <c r="L287" s="94">
        <v>0</v>
      </c>
      <c r="M287" s="94">
        <v>0</v>
      </c>
      <c r="N287" s="94">
        <v>0</v>
      </c>
      <c r="O287" s="94">
        <v>0</v>
      </c>
      <c r="P287" s="94">
        <v>0</v>
      </c>
      <c r="Q287" s="94">
        <v>0</v>
      </c>
      <c r="R287" s="94">
        <v>0</v>
      </c>
      <c r="S287" s="94">
        <v>0</v>
      </c>
      <c r="T287" s="156">
        <v>0</v>
      </c>
      <c r="U287" s="152">
        <v>0</v>
      </c>
      <c r="V287" s="151">
        <v>0</v>
      </c>
      <c r="W287" s="151">
        <v>0</v>
      </c>
      <c r="X287" s="151"/>
      <c r="Y287" s="8" t="s">
        <v>1000</v>
      </c>
    </row>
    <row r="288" spans="1:25" ht="30" customHeight="1">
      <c r="A288">
        <v>282</v>
      </c>
      <c r="B288" s="87" t="s">
        <v>502</v>
      </c>
      <c r="C288" s="85" t="s">
        <v>685</v>
      </c>
      <c r="D288" s="86" t="s">
        <v>128</v>
      </c>
      <c r="E288" s="86" t="s">
        <v>283</v>
      </c>
      <c r="F288" s="86" t="s">
        <v>935</v>
      </c>
      <c r="G288" s="86">
        <v>0</v>
      </c>
      <c r="H288" s="86" t="e">
        <v>#N/A</v>
      </c>
      <c r="I288" s="86" t="e">
        <v>#N/A</v>
      </c>
      <c r="J288" s="97">
        <v>0</v>
      </c>
      <c r="K288" s="93">
        <v>0</v>
      </c>
      <c r="L288" s="94">
        <v>0</v>
      </c>
      <c r="M288" s="94">
        <v>0</v>
      </c>
      <c r="N288" s="94">
        <v>0</v>
      </c>
      <c r="O288" s="94">
        <v>0</v>
      </c>
      <c r="P288" s="94">
        <v>0</v>
      </c>
      <c r="Q288" s="94">
        <v>0</v>
      </c>
      <c r="R288" s="94">
        <v>0</v>
      </c>
      <c r="S288" s="94">
        <v>0</v>
      </c>
      <c r="T288" s="156">
        <v>0</v>
      </c>
      <c r="U288" s="152">
        <v>0</v>
      </c>
      <c r="V288" s="151">
        <v>0</v>
      </c>
      <c r="W288" s="151">
        <v>0</v>
      </c>
      <c r="X288" s="151"/>
      <c r="Y288" s="8" t="s">
        <v>1000</v>
      </c>
    </row>
    <row r="289" spans="1:26" ht="30" customHeight="1">
      <c r="A289">
        <v>283</v>
      </c>
      <c r="B289" s="87" t="s">
        <v>996</v>
      </c>
      <c r="C289" s="85" t="s">
        <v>842</v>
      </c>
      <c r="D289" s="86" t="s">
        <v>128</v>
      </c>
      <c r="E289" s="86" t="s">
        <v>283</v>
      </c>
      <c r="F289" s="86" t="s">
        <v>935</v>
      </c>
      <c r="G289" s="86">
        <v>0</v>
      </c>
      <c r="H289" s="86" t="e">
        <v>#N/A</v>
      </c>
      <c r="I289" s="86" t="e">
        <v>#N/A</v>
      </c>
      <c r="J289" s="97">
        <v>0</v>
      </c>
      <c r="K289" s="93">
        <v>0</v>
      </c>
      <c r="L289" s="94">
        <v>0</v>
      </c>
      <c r="M289" s="94">
        <v>0</v>
      </c>
      <c r="N289" s="94">
        <v>0</v>
      </c>
      <c r="O289" s="94">
        <v>0</v>
      </c>
      <c r="P289" s="94">
        <v>0</v>
      </c>
      <c r="Q289" s="94">
        <v>0</v>
      </c>
      <c r="R289" s="94">
        <v>0</v>
      </c>
      <c r="S289" s="94">
        <v>0</v>
      </c>
      <c r="T289" s="156">
        <v>0</v>
      </c>
      <c r="U289" s="152">
        <v>0</v>
      </c>
      <c r="V289" s="151">
        <v>0</v>
      </c>
      <c r="W289" s="151">
        <v>0</v>
      </c>
      <c r="X289" s="151"/>
      <c r="Y289" s="8" t="s">
        <v>1000</v>
      </c>
    </row>
    <row r="290" spans="1:26" ht="30" customHeight="1">
      <c r="A290">
        <v>284</v>
      </c>
      <c r="B290" s="87" t="s">
        <v>924</v>
      </c>
      <c r="C290" s="85" t="s">
        <v>1061</v>
      </c>
      <c r="D290" s="86" t="s">
        <v>128</v>
      </c>
      <c r="E290" s="86" t="s">
        <v>283</v>
      </c>
      <c r="F290" s="86" t="s">
        <v>935</v>
      </c>
      <c r="G290" s="86">
        <v>0</v>
      </c>
      <c r="H290" s="86" t="e">
        <v>#N/A</v>
      </c>
      <c r="I290" s="86" t="e">
        <v>#N/A</v>
      </c>
      <c r="J290" s="97">
        <v>0</v>
      </c>
      <c r="K290" s="93">
        <v>0</v>
      </c>
      <c r="L290" s="94">
        <v>0</v>
      </c>
      <c r="M290" s="94">
        <v>0</v>
      </c>
      <c r="N290" s="94">
        <v>0</v>
      </c>
      <c r="O290" s="94">
        <v>0</v>
      </c>
      <c r="P290" s="94">
        <v>0</v>
      </c>
      <c r="Q290" s="94">
        <v>0</v>
      </c>
      <c r="R290" s="94">
        <v>0</v>
      </c>
      <c r="S290" s="94">
        <v>0</v>
      </c>
      <c r="T290" s="156">
        <v>0</v>
      </c>
      <c r="U290" s="152">
        <v>0</v>
      </c>
      <c r="V290" s="151">
        <v>0</v>
      </c>
      <c r="W290" s="151">
        <v>0</v>
      </c>
      <c r="X290" s="151"/>
      <c r="Y290" s="8" t="s">
        <v>1000</v>
      </c>
    </row>
    <row r="291" spans="1:26" ht="30" customHeight="1">
      <c r="A291">
        <v>285</v>
      </c>
      <c r="B291" s="87" t="s">
        <v>503</v>
      </c>
      <c r="C291" s="85" t="s">
        <v>686</v>
      </c>
      <c r="D291" s="86" t="s">
        <v>725</v>
      </c>
      <c r="E291" s="86" t="s">
        <v>283</v>
      </c>
      <c r="F291" s="86" t="s">
        <v>935</v>
      </c>
      <c r="G291" s="86" t="s">
        <v>715</v>
      </c>
      <c r="H291" s="86" t="s">
        <v>291</v>
      </c>
      <c r="I291" s="86" t="s">
        <v>755</v>
      </c>
      <c r="J291" s="97">
        <v>0</v>
      </c>
      <c r="K291" s="93">
        <v>0</v>
      </c>
      <c r="L291" s="94">
        <v>0</v>
      </c>
      <c r="M291" s="94">
        <v>0</v>
      </c>
      <c r="N291" s="94">
        <v>0</v>
      </c>
      <c r="O291" s="94">
        <v>0</v>
      </c>
      <c r="P291" s="94">
        <v>0</v>
      </c>
      <c r="Q291" s="94">
        <v>0</v>
      </c>
      <c r="R291" s="94">
        <v>0</v>
      </c>
      <c r="S291" s="94">
        <v>0</v>
      </c>
      <c r="T291" s="156">
        <v>0</v>
      </c>
      <c r="U291" s="152">
        <v>0</v>
      </c>
      <c r="V291" s="151">
        <v>0</v>
      </c>
      <c r="W291" s="151">
        <v>0</v>
      </c>
      <c r="X291" s="151"/>
      <c r="Y291" s="8" t="s">
        <v>1001</v>
      </c>
    </row>
    <row r="292" spans="1:26" ht="30" customHeight="1">
      <c r="A292">
        <v>286</v>
      </c>
      <c r="B292" s="87" t="s">
        <v>504</v>
      </c>
      <c r="C292" s="85" t="s">
        <v>687</v>
      </c>
      <c r="D292" s="86" t="s">
        <v>725</v>
      </c>
      <c r="E292" s="86" t="s">
        <v>283</v>
      </c>
      <c r="F292" s="86" t="s">
        <v>935</v>
      </c>
      <c r="G292" s="86" t="s">
        <v>715</v>
      </c>
      <c r="H292" s="86" t="s">
        <v>291</v>
      </c>
      <c r="I292" s="86" t="s">
        <v>755</v>
      </c>
      <c r="J292" s="97">
        <v>0</v>
      </c>
      <c r="K292" s="93">
        <v>0</v>
      </c>
      <c r="L292" s="94">
        <v>0</v>
      </c>
      <c r="M292" s="94">
        <v>0</v>
      </c>
      <c r="N292" s="94">
        <v>0</v>
      </c>
      <c r="O292" s="94">
        <v>0</v>
      </c>
      <c r="P292" s="94">
        <v>0</v>
      </c>
      <c r="Q292" s="94">
        <v>0</v>
      </c>
      <c r="R292" s="94">
        <v>0</v>
      </c>
      <c r="S292" s="94">
        <v>0</v>
      </c>
      <c r="T292" s="156">
        <v>0</v>
      </c>
      <c r="U292" s="152">
        <v>0</v>
      </c>
      <c r="V292" s="151">
        <v>0</v>
      </c>
      <c r="W292" s="151">
        <v>0</v>
      </c>
      <c r="X292" s="151"/>
      <c r="Y292" s="8" t="s">
        <v>1001</v>
      </c>
    </row>
    <row r="293" spans="1:26" ht="30" customHeight="1">
      <c r="A293">
        <v>287</v>
      </c>
      <c r="B293" s="87" t="s">
        <v>505</v>
      </c>
      <c r="C293" s="85" t="s">
        <v>688</v>
      </c>
      <c r="D293" s="86" t="s">
        <v>127</v>
      </c>
      <c r="E293" s="86" t="s">
        <v>711</v>
      </c>
      <c r="F293" s="86" t="s">
        <v>935</v>
      </c>
      <c r="G293" s="86" t="s">
        <v>715</v>
      </c>
      <c r="H293" s="86" t="s">
        <v>291</v>
      </c>
      <c r="I293" s="86" t="s">
        <v>755</v>
      </c>
      <c r="J293" s="97">
        <v>0</v>
      </c>
      <c r="K293" s="93">
        <v>0</v>
      </c>
      <c r="L293" s="94">
        <v>0</v>
      </c>
      <c r="M293" s="94">
        <v>0</v>
      </c>
      <c r="N293" s="94">
        <v>0</v>
      </c>
      <c r="O293" s="94">
        <v>0</v>
      </c>
      <c r="P293" s="94">
        <v>0</v>
      </c>
      <c r="Q293" s="94">
        <v>0</v>
      </c>
      <c r="R293" s="94">
        <v>0</v>
      </c>
      <c r="S293" s="94">
        <v>0</v>
      </c>
      <c r="T293" s="156">
        <v>0</v>
      </c>
      <c r="U293" s="152">
        <v>0</v>
      </c>
      <c r="V293" s="151">
        <v>0</v>
      </c>
      <c r="W293" s="151">
        <v>0</v>
      </c>
      <c r="X293" s="151"/>
      <c r="Y293" s="8" t="s">
        <v>1001</v>
      </c>
    </row>
    <row r="294" spans="1:26" ht="30" customHeight="1">
      <c r="A294">
        <v>288</v>
      </c>
      <c r="B294" s="87" t="s">
        <v>506</v>
      </c>
      <c r="C294" s="85" t="s">
        <v>689</v>
      </c>
      <c r="D294" s="86" t="s">
        <v>127</v>
      </c>
      <c r="E294" s="86" t="s">
        <v>711</v>
      </c>
      <c r="F294" s="86" t="s">
        <v>935</v>
      </c>
      <c r="G294" s="86" t="s">
        <v>715</v>
      </c>
      <c r="H294" s="86" t="s">
        <v>291</v>
      </c>
      <c r="I294" s="86" t="s">
        <v>755</v>
      </c>
      <c r="J294" s="97">
        <v>0</v>
      </c>
      <c r="K294" s="93">
        <v>0</v>
      </c>
      <c r="L294" s="94">
        <v>0</v>
      </c>
      <c r="M294" s="94">
        <v>0</v>
      </c>
      <c r="N294" s="94">
        <v>0</v>
      </c>
      <c r="O294" s="94">
        <v>0</v>
      </c>
      <c r="P294" s="94">
        <v>0</v>
      </c>
      <c r="Q294" s="94">
        <v>0</v>
      </c>
      <c r="R294" s="94">
        <v>0</v>
      </c>
      <c r="S294" s="94">
        <v>0</v>
      </c>
      <c r="T294" s="156">
        <v>0</v>
      </c>
      <c r="U294" s="152">
        <v>0</v>
      </c>
      <c r="V294" s="151">
        <v>0</v>
      </c>
      <c r="W294" s="151">
        <v>0</v>
      </c>
      <c r="X294" s="151"/>
      <c r="Y294" s="8" t="s">
        <v>1001</v>
      </c>
    </row>
    <row r="295" spans="1:26" ht="30" customHeight="1">
      <c r="A295">
        <v>289</v>
      </c>
      <c r="B295" s="84" t="s">
        <v>507</v>
      </c>
      <c r="C295" s="85" t="s">
        <v>690</v>
      </c>
      <c r="D295" s="86" t="s">
        <v>127</v>
      </c>
      <c r="E295" s="86" t="s">
        <v>283</v>
      </c>
      <c r="F295" s="86" t="s">
        <v>935</v>
      </c>
      <c r="G295" s="86" t="s">
        <v>715</v>
      </c>
      <c r="H295" s="86" t="s">
        <v>291</v>
      </c>
      <c r="I295" s="86" t="s">
        <v>755</v>
      </c>
      <c r="J295" s="97">
        <v>0</v>
      </c>
      <c r="K295" s="93">
        <v>0</v>
      </c>
      <c r="L295" s="94">
        <v>0</v>
      </c>
      <c r="M295" s="94">
        <v>0</v>
      </c>
      <c r="N295" s="94">
        <v>0</v>
      </c>
      <c r="O295" s="94">
        <v>0</v>
      </c>
      <c r="P295" s="94">
        <v>0</v>
      </c>
      <c r="Q295" s="94">
        <v>0</v>
      </c>
      <c r="R295" s="94">
        <v>0</v>
      </c>
      <c r="S295" s="94">
        <v>0</v>
      </c>
      <c r="T295" s="156">
        <v>0</v>
      </c>
      <c r="U295" s="152">
        <v>0</v>
      </c>
      <c r="V295" s="151">
        <v>0</v>
      </c>
      <c r="W295" s="151">
        <v>0</v>
      </c>
      <c r="X295" s="151"/>
      <c r="Y295" s="8" t="s">
        <v>1001</v>
      </c>
      <c r="Z295" s="154"/>
    </row>
    <row r="296" spans="1:26" ht="30" customHeight="1">
      <c r="A296">
        <v>290</v>
      </c>
      <c r="B296" s="84" t="s">
        <v>508</v>
      </c>
      <c r="C296" s="85" t="s">
        <v>691</v>
      </c>
      <c r="D296" s="86" t="s">
        <v>127</v>
      </c>
      <c r="E296" s="86" t="s">
        <v>283</v>
      </c>
      <c r="F296" s="86" t="s">
        <v>935</v>
      </c>
      <c r="G296" s="86" t="s">
        <v>715</v>
      </c>
      <c r="H296" s="86" t="s">
        <v>291</v>
      </c>
      <c r="I296" s="86" t="s">
        <v>755</v>
      </c>
      <c r="J296" s="97">
        <v>0</v>
      </c>
      <c r="K296" s="93">
        <v>0</v>
      </c>
      <c r="L296" s="94">
        <v>0</v>
      </c>
      <c r="M296" s="94">
        <v>0</v>
      </c>
      <c r="N296" s="94">
        <v>0</v>
      </c>
      <c r="O296" s="94">
        <v>0</v>
      </c>
      <c r="P296" s="94">
        <v>0</v>
      </c>
      <c r="Q296" s="94">
        <v>0</v>
      </c>
      <c r="R296" s="94">
        <v>0</v>
      </c>
      <c r="S296" s="94">
        <v>0</v>
      </c>
      <c r="T296" s="156">
        <v>0</v>
      </c>
      <c r="U296" s="152">
        <v>0</v>
      </c>
      <c r="V296" s="151">
        <v>0</v>
      </c>
      <c r="W296" s="151">
        <v>0</v>
      </c>
      <c r="X296" s="151"/>
      <c r="Y296" s="8" t="s">
        <v>1001</v>
      </c>
      <c r="Z296" s="154"/>
    </row>
    <row r="297" spans="1:26" ht="30" customHeight="1">
      <c r="A297">
        <v>291</v>
      </c>
      <c r="B297" s="84" t="s">
        <v>509</v>
      </c>
      <c r="C297" s="85" t="s">
        <v>692</v>
      </c>
      <c r="D297" s="86" t="s">
        <v>127</v>
      </c>
      <c r="E297" s="86" t="s">
        <v>283</v>
      </c>
      <c r="F297" s="86" t="s">
        <v>935</v>
      </c>
      <c r="G297" s="86" t="s">
        <v>715</v>
      </c>
      <c r="H297" s="86" t="s">
        <v>291</v>
      </c>
      <c r="I297" s="86" t="s">
        <v>755</v>
      </c>
      <c r="J297" s="97">
        <v>0</v>
      </c>
      <c r="K297" s="93">
        <v>0</v>
      </c>
      <c r="L297" s="94">
        <v>0</v>
      </c>
      <c r="M297" s="94">
        <v>0</v>
      </c>
      <c r="N297" s="94">
        <v>0</v>
      </c>
      <c r="O297" s="94">
        <v>0</v>
      </c>
      <c r="P297" s="94">
        <v>0</v>
      </c>
      <c r="Q297" s="94">
        <v>0</v>
      </c>
      <c r="R297" s="94">
        <v>0</v>
      </c>
      <c r="S297" s="94">
        <v>0</v>
      </c>
      <c r="T297" s="156">
        <v>0</v>
      </c>
      <c r="U297" s="152">
        <v>0</v>
      </c>
      <c r="V297" s="151">
        <v>0</v>
      </c>
      <c r="W297" s="151">
        <v>0</v>
      </c>
      <c r="X297" s="151"/>
      <c r="Y297" s="8" t="s">
        <v>1001</v>
      </c>
      <c r="Z297" s="154"/>
    </row>
    <row r="298" spans="1:26" ht="30" customHeight="1">
      <c r="A298">
        <v>292</v>
      </c>
      <c r="B298" s="84" t="s">
        <v>1107</v>
      </c>
      <c r="C298" s="85" t="s">
        <v>1113</v>
      </c>
      <c r="D298" s="86" t="s">
        <v>123</v>
      </c>
      <c r="E298" s="86" t="s">
        <v>283</v>
      </c>
      <c r="F298" s="86" t="s">
        <v>935</v>
      </c>
      <c r="G298" s="86">
        <v>0</v>
      </c>
      <c r="H298" s="86" t="e">
        <v>#N/A</v>
      </c>
      <c r="I298" s="86" t="e">
        <v>#N/A</v>
      </c>
      <c r="J298" s="97">
        <v>0</v>
      </c>
      <c r="K298" s="93">
        <v>0</v>
      </c>
      <c r="L298" s="94">
        <v>0</v>
      </c>
      <c r="M298" s="94">
        <v>0</v>
      </c>
      <c r="N298" s="94">
        <v>0</v>
      </c>
      <c r="O298" s="94">
        <v>0</v>
      </c>
      <c r="P298" s="94">
        <v>0</v>
      </c>
      <c r="Q298" s="94">
        <v>0</v>
      </c>
      <c r="R298" s="94">
        <v>0</v>
      </c>
      <c r="S298" s="94">
        <v>0</v>
      </c>
      <c r="T298" s="156">
        <v>0</v>
      </c>
      <c r="U298" s="152">
        <v>0</v>
      </c>
      <c r="V298" s="151">
        <v>0</v>
      </c>
      <c r="W298" s="151">
        <v>0</v>
      </c>
      <c r="X298" s="151"/>
      <c r="Y298" s="8"/>
    </row>
    <row r="299" spans="1:26" ht="30" customHeight="1">
      <c r="A299">
        <v>293</v>
      </c>
      <c r="B299" s="84" t="s">
        <v>1109</v>
      </c>
      <c r="C299" s="85" t="s">
        <v>1114</v>
      </c>
      <c r="D299" s="86" t="s">
        <v>123</v>
      </c>
      <c r="E299" s="86" t="s">
        <v>283</v>
      </c>
      <c r="F299" s="86" t="s">
        <v>935</v>
      </c>
      <c r="G299" s="86">
        <v>0</v>
      </c>
      <c r="H299" s="86" t="e">
        <v>#N/A</v>
      </c>
      <c r="I299" s="86" t="e">
        <v>#N/A</v>
      </c>
      <c r="J299" s="97">
        <v>0</v>
      </c>
      <c r="K299" s="93">
        <v>0</v>
      </c>
      <c r="L299" s="94">
        <v>0</v>
      </c>
      <c r="M299" s="94">
        <v>0</v>
      </c>
      <c r="N299" s="94">
        <v>0</v>
      </c>
      <c r="O299" s="94">
        <v>0</v>
      </c>
      <c r="P299" s="94">
        <v>0</v>
      </c>
      <c r="Q299" s="94">
        <v>0</v>
      </c>
      <c r="R299" s="94">
        <v>0</v>
      </c>
      <c r="S299" s="94">
        <v>0</v>
      </c>
      <c r="T299" s="156">
        <v>0</v>
      </c>
      <c r="U299" s="152">
        <v>0</v>
      </c>
      <c r="V299" s="151">
        <v>0</v>
      </c>
      <c r="W299" s="151">
        <v>0</v>
      </c>
      <c r="X299" s="151"/>
      <c r="Y299" s="8"/>
    </row>
    <row r="300" spans="1:26" ht="30" customHeight="1">
      <c r="A300">
        <v>294</v>
      </c>
      <c r="B300" s="84" t="s">
        <v>510</v>
      </c>
      <c r="C300" s="85" t="s">
        <v>693</v>
      </c>
      <c r="D300" s="86" t="s">
        <v>729</v>
      </c>
      <c r="E300" s="86" t="s">
        <v>283</v>
      </c>
      <c r="F300" s="86" t="s">
        <v>935</v>
      </c>
      <c r="G300" s="86" t="s">
        <v>715</v>
      </c>
      <c r="H300" s="86" t="s">
        <v>291</v>
      </c>
      <c r="I300" s="86" t="s">
        <v>755</v>
      </c>
      <c r="J300" s="97">
        <v>0</v>
      </c>
      <c r="K300" s="93">
        <v>0</v>
      </c>
      <c r="L300" s="94">
        <v>0</v>
      </c>
      <c r="M300" s="94">
        <v>0</v>
      </c>
      <c r="N300" s="94">
        <v>0</v>
      </c>
      <c r="O300" s="94">
        <v>0</v>
      </c>
      <c r="P300" s="94">
        <v>0</v>
      </c>
      <c r="Q300" s="94">
        <v>0</v>
      </c>
      <c r="R300" s="94">
        <v>0</v>
      </c>
      <c r="S300" s="94">
        <v>0</v>
      </c>
      <c r="T300" s="156">
        <v>0</v>
      </c>
      <c r="U300" s="152">
        <v>0</v>
      </c>
      <c r="V300" s="151">
        <v>0</v>
      </c>
      <c r="W300" s="151">
        <v>0</v>
      </c>
      <c r="X300" s="151"/>
      <c r="Y300" s="8" t="s">
        <v>1001</v>
      </c>
    </row>
    <row r="301" spans="1:26" ht="30" customHeight="1">
      <c r="A301">
        <v>295</v>
      </c>
      <c r="B301" s="87" t="s">
        <v>511</v>
      </c>
      <c r="C301" s="85" t="s">
        <v>694</v>
      </c>
      <c r="D301" s="86" t="s">
        <v>729</v>
      </c>
      <c r="E301" s="86" t="s">
        <v>283</v>
      </c>
      <c r="F301" s="86" t="s">
        <v>935</v>
      </c>
      <c r="G301" s="86" t="s">
        <v>715</v>
      </c>
      <c r="H301" s="86" t="s">
        <v>291</v>
      </c>
      <c r="I301" s="86" t="s">
        <v>755</v>
      </c>
      <c r="J301" s="97">
        <v>0</v>
      </c>
      <c r="K301" s="93">
        <v>0</v>
      </c>
      <c r="L301" s="94">
        <v>0</v>
      </c>
      <c r="M301" s="94">
        <v>0</v>
      </c>
      <c r="N301" s="94">
        <v>0</v>
      </c>
      <c r="O301" s="94">
        <v>0</v>
      </c>
      <c r="P301" s="94">
        <v>0</v>
      </c>
      <c r="Q301" s="94">
        <v>0</v>
      </c>
      <c r="R301" s="94">
        <v>0</v>
      </c>
      <c r="S301" s="94">
        <v>0</v>
      </c>
      <c r="T301" s="156">
        <v>0</v>
      </c>
      <c r="U301" s="152">
        <v>0</v>
      </c>
      <c r="V301" s="151">
        <v>0</v>
      </c>
      <c r="W301" s="151">
        <v>0</v>
      </c>
      <c r="X301" s="151"/>
      <c r="Y301" s="8" t="s">
        <v>1001</v>
      </c>
    </row>
    <row r="302" spans="1:26" ht="30" customHeight="1">
      <c r="A302">
        <v>296</v>
      </c>
      <c r="B302" s="87" t="s">
        <v>512</v>
      </c>
      <c r="C302" s="85" t="s">
        <v>695</v>
      </c>
      <c r="D302" s="86" t="s">
        <v>128</v>
      </c>
      <c r="E302" s="86" t="s">
        <v>711</v>
      </c>
      <c r="F302" s="86" t="s">
        <v>1163</v>
      </c>
      <c r="G302" s="86">
        <v>0</v>
      </c>
      <c r="H302" s="86" t="e">
        <v>#N/A</v>
      </c>
      <c r="I302" s="86" t="e">
        <v>#N/A</v>
      </c>
      <c r="J302" s="97">
        <v>0</v>
      </c>
      <c r="K302" s="93">
        <v>0</v>
      </c>
      <c r="L302" s="94">
        <v>0</v>
      </c>
      <c r="M302" s="94">
        <v>0</v>
      </c>
      <c r="N302" s="94">
        <v>0</v>
      </c>
      <c r="O302" s="94">
        <v>0</v>
      </c>
      <c r="P302" s="94">
        <v>0</v>
      </c>
      <c r="Q302" s="94">
        <v>0</v>
      </c>
      <c r="R302" s="94">
        <v>0</v>
      </c>
      <c r="S302" s="94">
        <v>0</v>
      </c>
      <c r="T302" s="156">
        <v>0</v>
      </c>
      <c r="U302" s="152">
        <v>0</v>
      </c>
      <c r="V302" s="151">
        <v>0</v>
      </c>
      <c r="W302" s="151">
        <v>0</v>
      </c>
      <c r="X302" s="151"/>
      <c r="Y302" s="8" t="s">
        <v>1001</v>
      </c>
    </row>
    <row r="303" spans="1:26" ht="30" customHeight="1">
      <c r="A303">
        <v>297</v>
      </c>
      <c r="B303" s="84" t="s">
        <v>513</v>
      </c>
      <c r="C303" s="85" t="s">
        <v>696</v>
      </c>
      <c r="D303" s="86" t="s">
        <v>128</v>
      </c>
      <c r="E303" s="86" t="s">
        <v>711</v>
      </c>
      <c r="F303" s="86" t="s">
        <v>935</v>
      </c>
      <c r="G303" s="86">
        <v>0</v>
      </c>
      <c r="H303" s="86" t="e">
        <v>#N/A</v>
      </c>
      <c r="I303" s="86" t="e">
        <v>#N/A</v>
      </c>
      <c r="J303" s="97">
        <v>0</v>
      </c>
      <c r="K303" s="93">
        <v>0</v>
      </c>
      <c r="L303" s="94">
        <v>0</v>
      </c>
      <c r="M303" s="94">
        <v>0</v>
      </c>
      <c r="N303" s="94">
        <v>0</v>
      </c>
      <c r="O303" s="94">
        <v>0</v>
      </c>
      <c r="P303" s="94">
        <v>0</v>
      </c>
      <c r="Q303" s="94">
        <v>0</v>
      </c>
      <c r="R303" s="94">
        <v>0</v>
      </c>
      <c r="S303" s="94">
        <v>0</v>
      </c>
      <c r="T303" s="156">
        <v>0</v>
      </c>
      <c r="U303" s="152">
        <v>0</v>
      </c>
      <c r="V303" s="151">
        <v>0</v>
      </c>
      <c r="W303" s="151">
        <v>0</v>
      </c>
      <c r="X303" s="151"/>
      <c r="Y303" s="8" t="s">
        <v>999</v>
      </c>
    </row>
    <row r="304" spans="1:26" ht="30" customHeight="1">
      <c r="A304">
        <v>298</v>
      </c>
      <c r="B304" s="87" t="s">
        <v>514</v>
      </c>
      <c r="C304" s="85" t="s">
        <v>697</v>
      </c>
      <c r="D304" s="86" t="s">
        <v>128</v>
      </c>
      <c r="E304" s="86" t="s">
        <v>283</v>
      </c>
      <c r="F304" s="86" t="s">
        <v>1164</v>
      </c>
      <c r="G304" s="86">
        <v>0</v>
      </c>
      <c r="H304" s="86" t="e">
        <v>#N/A</v>
      </c>
      <c r="I304" s="86" t="e">
        <v>#N/A</v>
      </c>
      <c r="J304" s="97">
        <v>0</v>
      </c>
      <c r="K304" s="93">
        <v>0</v>
      </c>
      <c r="L304" s="94">
        <v>0</v>
      </c>
      <c r="M304" s="94">
        <v>0</v>
      </c>
      <c r="N304" s="94">
        <v>0</v>
      </c>
      <c r="O304" s="94">
        <v>0</v>
      </c>
      <c r="P304" s="94">
        <v>0</v>
      </c>
      <c r="Q304" s="94">
        <v>0</v>
      </c>
      <c r="R304" s="94">
        <v>0</v>
      </c>
      <c r="S304" s="94">
        <v>0</v>
      </c>
      <c r="T304" s="156">
        <v>0</v>
      </c>
      <c r="U304" s="152">
        <v>0</v>
      </c>
      <c r="V304" s="151">
        <v>0</v>
      </c>
      <c r="W304" s="151">
        <v>0</v>
      </c>
      <c r="X304" s="151"/>
      <c r="Y304" s="8" t="s">
        <v>999</v>
      </c>
    </row>
    <row r="305" spans="1:25" ht="30" customHeight="1">
      <c r="A305">
        <v>299</v>
      </c>
      <c r="B305" s="87" t="s">
        <v>515</v>
      </c>
      <c r="C305" s="85" t="s">
        <v>698</v>
      </c>
      <c r="D305" s="86" t="s">
        <v>128</v>
      </c>
      <c r="E305" s="86" t="s">
        <v>711</v>
      </c>
      <c r="F305" s="86" t="s">
        <v>935</v>
      </c>
      <c r="G305" s="86" t="s">
        <v>719</v>
      </c>
      <c r="H305" s="86" t="s">
        <v>712</v>
      </c>
      <c r="I305" s="86" t="s">
        <v>720</v>
      </c>
      <c r="J305" s="97">
        <v>0</v>
      </c>
      <c r="K305" s="93">
        <v>0</v>
      </c>
      <c r="L305" s="94">
        <v>0</v>
      </c>
      <c r="M305" s="94">
        <v>0</v>
      </c>
      <c r="N305" s="94">
        <v>0</v>
      </c>
      <c r="O305" s="94">
        <v>0</v>
      </c>
      <c r="P305" s="94">
        <v>0</v>
      </c>
      <c r="Q305" s="94">
        <v>0</v>
      </c>
      <c r="R305" s="94">
        <v>0</v>
      </c>
      <c r="S305" s="94">
        <v>0</v>
      </c>
      <c r="T305" s="156">
        <v>0</v>
      </c>
      <c r="U305" s="152">
        <v>0</v>
      </c>
      <c r="V305" s="151">
        <v>0</v>
      </c>
      <c r="W305" s="151">
        <v>0</v>
      </c>
      <c r="X305" s="151"/>
      <c r="Y305" s="8" t="s">
        <v>999</v>
      </c>
    </row>
    <row r="306" spans="1:25" ht="30" customHeight="1">
      <c r="A306">
        <v>300</v>
      </c>
      <c r="B306" s="87" t="s">
        <v>516</v>
      </c>
      <c r="C306" s="85" t="s">
        <v>699</v>
      </c>
      <c r="D306" s="86" t="s">
        <v>128</v>
      </c>
      <c r="E306" s="86" t="s">
        <v>711</v>
      </c>
      <c r="F306" s="86" t="s">
        <v>935</v>
      </c>
      <c r="G306" s="86">
        <v>0</v>
      </c>
      <c r="H306" s="86" t="e">
        <v>#N/A</v>
      </c>
      <c r="I306" s="86" t="e">
        <v>#N/A</v>
      </c>
      <c r="J306" s="97">
        <v>0</v>
      </c>
      <c r="K306" s="93">
        <v>0</v>
      </c>
      <c r="L306" s="94">
        <v>0</v>
      </c>
      <c r="M306" s="94">
        <v>0</v>
      </c>
      <c r="N306" s="94">
        <v>0</v>
      </c>
      <c r="O306" s="94">
        <v>0</v>
      </c>
      <c r="P306" s="94">
        <v>0</v>
      </c>
      <c r="Q306" s="94">
        <v>0</v>
      </c>
      <c r="R306" s="94">
        <v>0</v>
      </c>
      <c r="S306" s="94">
        <v>0</v>
      </c>
      <c r="T306" s="156">
        <v>0</v>
      </c>
      <c r="U306" s="152">
        <v>0</v>
      </c>
      <c r="V306" s="151">
        <v>0</v>
      </c>
      <c r="W306" s="151">
        <v>0</v>
      </c>
      <c r="X306" s="151"/>
      <c r="Y306" s="8">
        <v>0</v>
      </c>
    </row>
    <row r="307" spans="1:25" ht="30" customHeight="1">
      <c r="A307">
        <v>301</v>
      </c>
      <c r="B307" s="87" t="s">
        <v>517</v>
      </c>
      <c r="C307" s="85" t="s">
        <v>700</v>
      </c>
      <c r="D307" s="86" t="s">
        <v>128</v>
      </c>
      <c r="E307" s="86" t="s">
        <v>711</v>
      </c>
      <c r="F307" s="86" t="s">
        <v>1163</v>
      </c>
      <c r="G307" s="86">
        <v>0</v>
      </c>
      <c r="H307" s="86" t="e">
        <v>#N/A</v>
      </c>
      <c r="I307" s="86" t="e">
        <v>#N/A</v>
      </c>
      <c r="J307" s="97">
        <v>0</v>
      </c>
      <c r="K307" s="93">
        <v>0</v>
      </c>
      <c r="L307" s="94">
        <v>0</v>
      </c>
      <c r="M307" s="94">
        <v>0</v>
      </c>
      <c r="N307" s="94">
        <v>0</v>
      </c>
      <c r="O307" s="94">
        <v>0</v>
      </c>
      <c r="P307" s="94">
        <v>0</v>
      </c>
      <c r="Q307" s="94">
        <v>0</v>
      </c>
      <c r="R307" s="94">
        <v>0</v>
      </c>
      <c r="S307" s="94">
        <v>0</v>
      </c>
      <c r="T307" s="156">
        <v>0</v>
      </c>
      <c r="U307" s="152">
        <v>0</v>
      </c>
      <c r="V307" s="151">
        <v>0</v>
      </c>
      <c r="W307" s="151">
        <v>0</v>
      </c>
      <c r="X307" s="151"/>
      <c r="Y307" s="8" t="s">
        <v>1001</v>
      </c>
    </row>
    <row r="308" spans="1:25" ht="30" customHeight="1">
      <c r="A308">
        <v>302</v>
      </c>
      <c r="B308" s="87" t="s">
        <v>978</v>
      </c>
      <c r="C308" s="85" t="s">
        <v>1062</v>
      </c>
      <c r="D308" s="86" t="s">
        <v>121</v>
      </c>
      <c r="E308" s="86" t="s">
        <v>283</v>
      </c>
      <c r="F308" s="86" t="s">
        <v>935</v>
      </c>
      <c r="G308" s="86">
        <v>0</v>
      </c>
      <c r="H308" s="86" t="e">
        <v>#N/A</v>
      </c>
      <c r="I308" s="86" t="e">
        <v>#N/A</v>
      </c>
      <c r="J308" s="97">
        <v>0</v>
      </c>
      <c r="K308" s="93">
        <v>0</v>
      </c>
      <c r="L308" s="94">
        <v>0</v>
      </c>
      <c r="M308" s="94">
        <v>0</v>
      </c>
      <c r="N308" s="94">
        <v>0</v>
      </c>
      <c r="O308" s="94">
        <v>0</v>
      </c>
      <c r="P308" s="94">
        <v>0</v>
      </c>
      <c r="Q308" s="94">
        <v>0</v>
      </c>
      <c r="R308" s="94">
        <v>0</v>
      </c>
      <c r="S308" s="94">
        <v>0</v>
      </c>
      <c r="T308" s="156">
        <v>0</v>
      </c>
      <c r="U308" s="152">
        <v>0</v>
      </c>
      <c r="V308" s="151">
        <v>0</v>
      </c>
      <c r="W308" s="151">
        <v>0</v>
      </c>
      <c r="X308" s="151"/>
      <c r="Y308" s="8" t="s">
        <v>1001</v>
      </c>
    </row>
    <row r="309" spans="1:25" ht="30" customHeight="1">
      <c r="A309">
        <v>303</v>
      </c>
      <c r="B309" s="87" t="s">
        <v>518</v>
      </c>
      <c r="C309" s="85" t="s">
        <v>701</v>
      </c>
      <c r="D309" s="86" t="s">
        <v>121</v>
      </c>
      <c r="E309" s="86" t="s">
        <v>711</v>
      </c>
      <c r="F309" s="86" t="s">
        <v>935</v>
      </c>
      <c r="G309" s="86">
        <v>0</v>
      </c>
      <c r="H309" s="86" t="e">
        <v>#N/A</v>
      </c>
      <c r="I309" s="86" t="e">
        <v>#N/A</v>
      </c>
      <c r="J309" s="97">
        <v>0</v>
      </c>
      <c r="K309" s="93">
        <v>0</v>
      </c>
      <c r="L309" s="94">
        <v>0</v>
      </c>
      <c r="M309" s="94">
        <v>0</v>
      </c>
      <c r="N309" s="94">
        <v>0</v>
      </c>
      <c r="O309" s="94">
        <v>0</v>
      </c>
      <c r="P309" s="94">
        <v>0</v>
      </c>
      <c r="Q309" s="94">
        <v>0</v>
      </c>
      <c r="R309" s="94">
        <v>0</v>
      </c>
      <c r="S309" s="94">
        <v>0</v>
      </c>
      <c r="T309" s="156">
        <v>0</v>
      </c>
      <c r="U309" s="152">
        <v>0</v>
      </c>
      <c r="V309" s="151">
        <v>0</v>
      </c>
      <c r="W309" s="151">
        <v>0</v>
      </c>
      <c r="X309" s="151"/>
      <c r="Y309" s="8" t="s">
        <v>1001</v>
      </c>
    </row>
    <row r="310" spans="1:25" ht="30" customHeight="1">
      <c r="A310">
        <v>304</v>
      </c>
      <c r="B310" s="87" t="s">
        <v>519</v>
      </c>
      <c r="C310" s="85" t="s">
        <v>702</v>
      </c>
      <c r="D310" s="86" t="s">
        <v>121</v>
      </c>
      <c r="E310" s="86" t="s">
        <v>283</v>
      </c>
      <c r="F310" s="86" t="s">
        <v>935</v>
      </c>
      <c r="G310" s="86">
        <v>0</v>
      </c>
      <c r="H310" s="86" t="e">
        <v>#N/A</v>
      </c>
      <c r="I310" s="86" t="e">
        <v>#N/A</v>
      </c>
      <c r="J310" s="97">
        <v>0</v>
      </c>
      <c r="K310" s="93">
        <v>0</v>
      </c>
      <c r="L310" s="94">
        <v>0</v>
      </c>
      <c r="M310" s="94">
        <v>0</v>
      </c>
      <c r="N310" s="94">
        <v>0</v>
      </c>
      <c r="O310" s="94">
        <v>0</v>
      </c>
      <c r="P310" s="94">
        <v>0</v>
      </c>
      <c r="Q310" s="94">
        <v>0</v>
      </c>
      <c r="R310" s="94">
        <v>0</v>
      </c>
      <c r="S310" s="94">
        <v>0</v>
      </c>
      <c r="T310" s="156">
        <v>0</v>
      </c>
      <c r="U310" s="152">
        <v>0</v>
      </c>
      <c r="V310" s="151">
        <v>0</v>
      </c>
      <c r="W310" s="151">
        <v>0</v>
      </c>
      <c r="X310" s="151"/>
      <c r="Y310" s="8" t="s">
        <v>1001</v>
      </c>
    </row>
    <row r="311" spans="1:25" ht="30" customHeight="1">
      <c r="A311">
        <v>305</v>
      </c>
      <c r="B311" s="87" t="s">
        <v>520</v>
      </c>
      <c r="C311" s="85" t="s">
        <v>703</v>
      </c>
      <c r="D311" s="86" t="s">
        <v>121</v>
      </c>
      <c r="E311" s="86" t="s">
        <v>711</v>
      </c>
      <c r="F311" s="86" t="s">
        <v>935</v>
      </c>
      <c r="G311" s="86">
        <v>0</v>
      </c>
      <c r="H311" s="86" t="e">
        <v>#N/A</v>
      </c>
      <c r="I311" s="86" t="e">
        <v>#N/A</v>
      </c>
      <c r="J311" s="97">
        <v>0</v>
      </c>
      <c r="K311" s="93">
        <v>0</v>
      </c>
      <c r="L311" s="94">
        <v>0</v>
      </c>
      <c r="M311" s="94">
        <v>0</v>
      </c>
      <c r="N311" s="94">
        <v>0</v>
      </c>
      <c r="O311" s="94">
        <v>0</v>
      </c>
      <c r="P311" s="94">
        <v>0</v>
      </c>
      <c r="Q311" s="94">
        <v>0</v>
      </c>
      <c r="R311" s="94">
        <v>0</v>
      </c>
      <c r="S311" s="94">
        <v>0</v>
      </c>
      <c r="T311" s="156">
        <v>0</v>
      </c>
      <c r="U311" s="152">
        <v>0</v>
      </c>
      <c r="V311" s="151">
        <v>0</v>
      </c>
      <c r="W311" s="151">
        <v>0</v>
      </c>
      <c r="X311" s="151"/>
      <c r="Y311" s="8" t="s">
        <v>1001</v>
      </c>
    </row>
    <row r="312" spans="1:25" ht="30" customHeight="1">
      <c r="A312">
        <v>306</v>
      </c>
      <c r="B312" s="87" t="s">
        <v>521</v>
      </c>
      <c r="C312" s="85" t="s">
        <v>704</v>
      </c>
      <c r="D312" s="86" t="s">
        <v>121</v>
      </c>
      <c r="E312" s="86" t="s">
        <v>283</v>
      </c>
      <c r="F312" s="86" t="s">
        <v>935</v>
      </c>
      <c r="G312" s="86">
        <v>0</v>
      </c>
      <c r="H312" s="86" t="e">
        <v>#N/A</v>
      </c>
      <c r="I312" s="86" t="e">
        <v>#N/A</v>
      </c>
      <c r="J312" s="97">
        <v>0</v>
      </c>
      <c r="K312" s="93">
        <v>0</v>
      </c>
      <c r="L312" s="94">
        <v>0</v>
      </c>
      <c r="M312" s="94">
        <v>0</v>
      </c>
      <c r="N312" s="94">
        <v>0</v>
      </c>
      <c r="O312" s="94">
        <v>0</v>
      </c>
      <c r="P312" s="94">
        <v>0</v>
      </c>
      <c r="Q312" s="94">
        <v>0</v>
      </c>
      <c r="R312" s="94">
        <v>0</v>
      </c>
      <c r="S312" s="94">
        <v>0</v>
      </c>
      <c r="T312" s="156">
        <v>0</v>
      </c>
      <c r="U312" s="152">
        <v>0</v>
      </c>
      <c r="V312" s="151">
        <v>0</v>
      </c>
      <c r="W312" s="151">
        <v>0</v>
      </c>
      <c r="X312" s="151"/>
      <c r="Y312" s="8" t="s">
        <v>1001</v>
      </c>
    </row>
    <row r="313" spans="1:25" ht="30" customHeight="1">
      <c r="A313">
        <v>307</v>
      </c>
      <c r="B313" s="87" t="s">
        <v>522</v>
      </c>
      <c r="C313" s="85" t="s">
        <v>705</v>
      </c>
      <c r="D313" s="86" t="s">
        <v>121</v>
      </c>
      <c r="E313" s="86" t="s">
        <v>283</v>
      </c>
      <c r="F313" s="86" t="s">
        <v>935</v>
      </c>
      <c r="G313" s="86">
        <v>0</v>
      </c>
      <c r="H313" s="86" t="e">
        <v>#N/A</v>
      </c>
      <c r="I313" s="86" t="e">
        <v>#N/A</v>
      </c>
      <c r="J313" s="97">
        <v>0</v>
      </c>
      <c r="K313" s="93">
        <v>0</v>
      </c>
      <c r="L313" s="94">
        <v>0</v>
      </c>
      <c r="M313" s="94">
        <v>0</v>
      </c>
      <c r="N313" s="94">
        <v>0</v>
      </c>
      <c r="O313" s="94">
        <v>0</v>
      </c>
      <c r="P313" s="94">
        <v>0</v>
      </c>
      <c r="Q313" s="94">
        <v>0</v>
      </c>
      <c r="R313" s="94">
        <v>0</v>
      </c>
      <c r="S313" s="94">
        <v>0</v>
      </c>
      <c r="T313" s="156">
        <v>0</v>
      </c>
      <c r="U313" s="152">
        <v>0</v>
      </c>
      <c r="V313" s="151">
        <v>0</v>
      </c>
      <c r="W313" s="151">
        <v>0</v>
      </c>
      <c r="X313" s="151"/>
      <c r="Y313" s="8" t="s">
        <v>1001</v>
      </c>
    </row>
    <row r="314" spans="1:25" ht="30" customHeight="1">
      <c r="A314">
        <v>308</v>
      </c>
      <c r="B314" s="87" t="s">
        <v>523</v>
      </c>
      <c r="C314" s="85" t="s">
        <v>706</v>
      </c>
      <c r="D314" s="86" t="s">
        <v>121</v>
      </c>
      <c r="E314" s="86" t="s">
        <v>711</v>
      </c>
      <c r="F314" s="86" t="s">
        <v>935</v>
      </c>
      <c r="G314" s="86">
        <v>0</v>
      </c>
      <c r="H314" s="86" t="e">
        <v>#N/A</v>
      </c>
      <c r="I314" s="86" t="e">
        <v>#N/A</v>
      </c>
      <c r="J314" s="97">
        <v>0</v>
      </c>
      <c r="K314" s="93">
        <v>0</v>
      </c>
      <c r="L314" s="94">
        <v>0</v>
      </c>
      <c r="M314" s="94">
        <v>0</v>
      </c>
      <c r="N314" s="94">
        <v>0</v>
      </c>
      <c r="O314" s="94">
        <v>0</v>
      </c>
      <c r="P314" s="94">
        <v>0</v>
      </c>
      <c r="Q314" s="94">
        <v>0</v>
      </c>
      <c r="R314" s="94">
        <v>0</v>
      </c>
      <c r="S314" s="94">
        <v>0</v>
      </c>
      <c r="T314" s="156">
        <v>0</v>
      </c>
      <c r="U314" s="152">
        <v>0</v>
      </c>
      <c r="V314" s="151">
        <v>0</v>
      </c>
      <c r="W314" s="151">
        <v>0</v>
      </c>
      <c r="X314" s="151"/>
      <c r="Y314" s="8" t="s">
        <v>1001</v>
      </c>
    </row>
    <row r="315" spans="1:25" ht="30" customHeight="1">
      <c r="A315">
        <v>309</v>
      </c>
      <c r="B315" s="87" t="s">
        <v>979</v>
      </c>
      <c r="C315" s="85" t="s">
        <v>1063</v>
      </c>
      <c r="D315" s="86" t="s">
        <v>121</v>
      </c>
      <c r="E315" s="86" t="s">
        <v>283</v>
      </c>
      <c r="F315" s="86" t="s">
        <v>935</v>
      </c>
      <c r="G315" s="86">
        <v>0</v>
      </c>
      <c r="H315" s="86" t="e">
        <v>#N/A</v>
      </c>
      <c r="I315" s="86" t="e">
        <v>#N/A</v>
      </c>
      <c r="J315" s="97">
        <v>0</v>
      </c>
      <c r="K315" s="93">
        <v>0</v>
      </c>
      <c r="L315" s="94">
        <v>0</v>
      </c>
      <c r="M315" s="94">
        <v>0</v>
      </c>
      <c r="N315" s="94">
        <v>0</v>
      </c>
      <c r="O315" s="94">
        <v>0</v>
      </c>
      <c r="P315" s="94">
        <v>0</v>
      </c>
      <c r="Q315" s="94">
        <v>0</v>
      </c>
      <c r="R315" s="94">
        <v>0</v>
      </c>
      <c r="S315" s="94">
        <v>0</v>
      </c>
      <c r="T315" s="156">
        <v>0</v>
      </c>
      <c r="U315" s="152">
        <v>0</v>
      </c>
      <c r="V315" s="151">
        <v>0</v>
      </c>
      <c r="W315" s="151">
        <v>0</v>
      </c>
      <c r="X315" s="151"/>
      <c r="Y315" s="8" t="s">
        <v>1001</v>
      </c>
    </row>
    <row r="316" spans="1:25" ht="30" customHeight="1">
      <c r="A316">
        <v>310</v>
      </c>
      <c r="B316" s="87" t="s">
        <v>524</v>
      </c>
      <c r="C316" s="85" t="s">
        <v>1115</v>
      </c>
      <c r="D316" s="86" t="s">
        <v>121</v>
      </c>
      <c r="E316" s="86" t="s">
        <v>283</v>
      </c>
      <c r="F316" s="86" t="s">
        <v>935</v>
      </c>
      <c r="G316" s="86">
        <v>0</v>
      </c>
      <c r="H316" s="86" t="e">
        <v>#N/A</v>
      </c>
      <c r="I316" s="86" t="e">
        <v>#N/A</v>
      </c>
      <c r="J316" s="97">
        <v>0</v>
      </c>
      <c r="K316" s="93">
        <v>0</v>
      </c>
      <c r="L316" s="94">
        <v>0</v>
      </c>
      <c r="M316" s="94">
        <v>0</v>
      </c>
      <c r="N316" s="94">
        <v>0</v>
      </c>
      <c r="O316" s="94">
        <v>0</v>
      </c>
      <c r="P316" s="94">
        <v>0</v>
      </c>
      <c r="Q316" s="94">
        <v>0</v>
      </c>
      <c r="R316" s="94">
        <v>0</v>
      </c>
      <c r="S316" s="94">
        <v>0</v>
      </c>
      <c r="T316" s="156">
        <v>0</v>
      </c>
      <c r="U316" s="152">
        <v>0</v>
      </c>
      <c r="V316" s="151">
        <v>0</v>
      </c>
      <c r="W316" s="151">
        <v>0</v>
      </c>
      <c r="X316" s="151"/>
      <c r="Y316" s="8" t="s">
        <v>1001</v>
      </c>
    </row>
    <row r="317" spans="1:25" ht="30" customHeight="1">
      <c r="A317">
        <v>311</v>
      </c>
      <c r="B317" s="87" t="s">
        <v>525</v>
      </c>
      <c r="C317" s="85" t="s">
        <v>1116</v>
      </c>
      <c r="D317" s="86" t="s">
        <v>121</v>
      </c>
      <c r="E317" s="86" t="s">
        <v>283</v>
      </c>
      <c r="F317" s="86" t="s">
        <v>935</v>
      </c>
      <c r="G317" s="86">
        <v>0</v>
      </c>
      <c r="H317" s="86" t="e">
        <v>#N/A</v>
      </c>
      <c r="I317" s="86" t="e">
        <v>#N/A</v>
      </c>
      <c r="J317" s="97"/>
      <c r="K317" s="93"/>
      <c r="L317" s="94"/>
      <c r="M317" s="94"/>
      <c r="N317" s="94"/>
      <c r="O317" s="94"/>
      <c r="P317" s="94"/>
      <c r="Q317" s="94"/>
      <c r="R317" s="94"/>
      <c r="S317" s="94"/>
      <c r="T317" s="156">
        <v>0</v>
      </c>
      <c r="U317" s="152">
        <v>0</v>
      </c>
      <c r="V317" s="151">
        <v>0</v>
      </c>
      <c r="W317" s="151">
        <v>0</v>
      </c>
      <c r="X317" s="151"/>
      <c r="Y317" s="8" t="s">
        <v>1001</v>
      </c>
    </row>
    <row r="318" spans="1:25" ht="30" customHeight="1">
      <c r="A318">
        <v>312</v>
      </c>
      <c r="B318" s="87" t="s">
        <v>997</v>
      </c>
      <c r="C318" s="85" t="s">
        <v>1117</v>
      </c>
      <c r="D318" s="86" t="s">
        <v>121</v>
      </c>
      <c r="E318" s="86" t="s">
        <v>283</v>
      </c>
      <c r="F318" s="86" t="s">
        <v>935</v>
      </c>
      <c r="G318" s="86">
        <v>0</v>
      </c>
      <c r="H318" s="86" t="e">
        <v>#N/A</v>
      </c>
      <c r="I318" s="86" t="e">
        <v>#N/A</v>
      </c>
      <c r="J318" s="97"/>
      <c r="K318" s="93"/>
      <c r="L318" s="94"/>
      <c r="M318" s="94"/>
      <c r="N318" s="94"/>
      <c r="O318" s="94"/>
      <c r="P318" s="94"/>
      <c r="Q318" s="94"/>
      <c r="R318" s="94"/>
      <c r="S318" s="94"/>
      <c r="T318" s="156">
        <v>0</v>
      </c>
      <c r="U318" s="152">
        <v>0</v>
      </c>
      <c r="V318" s="151">
        <v>0</v>
      </c>
      <c r="W318" s="151">
        <v>0</v>
      </c>
      <c r="X318" s="151"/>
      <c r="Y318" s="8" t="s">
        <v>1001</v>
      </c>
    </row>
    <row r="319" spans="1:25" ht="30" customHeight="1">
      <c r="A319">
        <v>313</v>
      </c>
      <c r="B319" s="87" t="s">
        <v>526</v>
      </c>
      <c r="C319" s="85" t="s">
        <v>707</v>
      </c>
      <c r="D319" s="86" t="s">
        <v>123</v>
      </c>
      <c r="E319" s="86" t="s">
        <v>283</v>
      </c>
      <c r="F319" s="86" t="s">
        <v>935</v>
      </c>
      <c r="G319" s="86">
        <v>0</v>
      </c>
      <c r="H319" s="86" t="e">
        <v>#N/A</v>
      </c>
      <c r="I319" s="86" t="e">
        <v>#N/A</v>
      </c>
      <c r="J319" s="97"/>
      <c r="K319" s="93"/>
      <c r="L319" s="94"/>
      <c r="M319" s="94"/>
      <c r="N319" s="94"/>
      <c r="O319" s="94"/>
      <c r="P319" s="94"/>
      <c r="Q319" s="94"/>
      <c r="R319" s="94"/>
      <c r="S319" s="94"/>
      <c r="T319" s="156">
        <v>0</v>
      </c>
      <c r="U319" s="152">
        <v>0</v>
      </c>
      <c r="V319" s="151">
        <v>0</v>
      </c>
      <c r="W319" s="151">
        <v>0</v>
      </c>
      <c r="X319" s="151"/>
      <c r="Y319" s="8" t="s">
        <v>1001</v>
      </c>
    </row>
    <row r="320" spans="1:25" ht="30" customHeight="1">
      <c r="A320">
        <v>314</v>
      </c>
      <c r="B320" s="87" t="s">
        <v>527</v>
      </c>
      <c r="C320" s="85" t="s">
        <v>708</v>
      </c>
      <c r="D320" s="86" t="s">
        <v>127</v>
      </c>
      <c r="E320" s="86" t="s">
        <v>711</v>
      </c>
      <c r="F320" s="86" t="s">
        <v>935</v>
      </c>
      <c r="G320" s="86">
        <v>0</v>
      </c>
      <c r="H320" s="86" t="e">
        <v>#N/A</v>
      </c>
      <c r="I320" s="86" t="e">
        <v>#N/A</v>
      </c>
      <c r="J320" s="97"/>
      <c r="K320" s="93"/>
      <c r="L320" s="94"/>
      <c r="M320" s="94"/>
      <c r="N320" s="94"/>
      <c r="O320" s="94"/>
      <c r="P320" s="94"/>
      <c r="Q320" s="94"/>
      <c r="R320" s="94"/>
      <c r="S320" s="94"/>
      <c r="T320" s="156">
        <v>0</v>
      </c>
      <c r="U320" s="152">
        <v>0</v>
      </c>
      <c r="V320" s="151">
        <v>0</v>
      </c>
      <c r="W320" s="151">
        <v>0</v>
      </c>
      <c r="X320" s="151"/>
      <c r="Y320" s="8" t="s">
        <v>1001</v>
      </c>
    </row>
    <row r="321" spans="1:25" ht="30" customHeight="1">
      <c r="A321">
        <v>315</v>
      </c>
      <c r="B321" s="87" t="s">
        <v>528</v>
      </c>
      <c r="C321" s="85" t="s">
        <v>810</v>
      </c>
      <c r="D321" s="86" t="s">
        <v>149</v>
      </c>
      <c r="E321" s="86" t="s">
        <v>283</v>
      </c>
      <c r="F321" s="86" t="s">
        <v>935</v>
      </c>
      <c r="G321" s="86" t="s">
        <v>715</v>
      </c>
      <c r="H321" s="86" t="s">
        <v>291</v>
      </c>
      <c r="I321" s="86" t="s">
        <v>755</v>
      </c>
      <c r="J321" s="97"/>
      <c r="K321" s="93"/>
      <c r="L321" s="94"/>
      <c r="M321" s="94"/>
      <c r="N321" s="94"/>
      <c r="O321" s="94"/>
      <c r="P321" s="94"/>
      <c r="Q321" s="94"/>
      <c r="R321" s="94"/>
      <c r="S321" s="94"/>
      <c r="T321" s="156">
        <v>0</v>
      </c>
      <c r="U321" s="152">
        <v>0</v>
      </c>
      <c r="V321" s="151">
        <v>0</v>
      </c>
      <c r="W321" s="151">
        <v>0</v>
      </c>
      <c r="X321" s="151"/>
      <c r="Y321" s="8" t="s">
        <v>1001</v>
      </c>
    </row>
    <row r="322" spans="1:25" ht="30" customHeight="1">
      <c r="B322" s="91" t="s">
        <v>817</v>
      </c>
      <c r="C322" s="92" t="s">
        <v>818</v>
      </c>
      <c r="D322" s="86"/>
      <c r="E322" s="86" t="s">
        <v>283</v>
      </c>
      <c r="F322" s="86" t="s">
        <v>927</v>
      </c>
      <c r="G322" s="86"/>
      <c r="H322" s="86"/>
      <c r="I322" s="86"/>
      <c r="J322" s="97">
        <v>0</v>
      </c>
      <c r="K322" s="93">
        <v>0</v>
      </c>
      <c r="L322" s="94">
        <v>0</v>
      </c>
      <c r="M322" s="94">
        <v>0</v>
      </c>
      <c r="N322" s="94">
        <v>0</v>
      </c>
      <c r="O322" s="94">
        <v>0</v>
      </c>
      <c r="P322" s="94">
        <v>0</v>
      </c>
      <c r="Q322" s="94">
        <v>0</v>
      </c>
      <c r="R322" s="94">
        <v>0</v>
      </c>
      <c r="S322" s="94">
        <v>0</v>
      </c>
      <c r="T322" s="156">
        <v>0</v>
      </c>
      <c r="U322" s="152">
        <v>0</v>
      </c>
      <c r="V322" s="151">
        <v>0</v>
      </c>
      <c r="W322" s="151">
        <v>0</v>
      </c>
      <c r="X322" s="151"/>
      <c r="Y322" s="8">
        <v>0</v>
      </c>
    </row>
    <row r="323" spans="1:25" ht="30" customHeight="1">
      <c r="B323" s="91" t="s">
        <v>817</v>
      </c>
      <c r="C323" s="92" t="s">
        <v>730</v>
      </c>
      <c r="D323" s="86" t="s">
        <v>819</v>
      </c>
      <c r="E323" s="86" t="s">
        <v>711</v>
      </c>
      <c r="F323" s="86" t="s">
        <v>927</v>
      </c>
      <c r="G323" s="86" t="s">
        <v>820</v>
      </c>
      <c r="H323" s="86" t="s">
        <v>291</v>
      </c>
      <c r="I323" s="86" t="s">
        <v>755</v>
      </c>
      <c r="J323" s="97">
        <v>0</v>
      </c>
      <c r="K323" s="93">
        <v>0</v>
      </c>
      <c r="L323" s="94">
        <v>0</v>
      </c>
      <c r="M323" s="94">
        <v>0</v>
      </c>
      <c r="N323" s="94">
        <v>0</v>
      </c>
      <c r="O323" s="94">
        <v>0</v>
      </c>
      <c r="P323" s="94">
        <v>0</v>
      </c>
      <c r="Q323" s="94">
        <v>0</v>
      </c>
      <c r="R323" s="94">
        <v>0</v>
      </c>
      <c r="S323" s="94">
        <v>0</v>
      </c>
      <c r="T323" s="156">
        <v>0</v>
      </c>
      <c r="U323" s="152">
        <v>0</v>
      </c>
      <c r="V323" s="151">
        <v>0</v>
      </c>
      <c r="W323" s="151">
        <v>0</v>
      </c>
      <c r="X323" s="151"/>
      <c r="Y323" s="8">
        <v>0</v>
      </c>
    </row>
    <row r="324" spans="1:25" ht="30" customHeight="1">
      <c r="B324" s="91" t="s">
        <v>817</v>
      </c>
      <c r="C324" s="92" t="s">
        <v>821</v>
      </c>
      <c r="D324" s="86"/>
      <c r="E324" s="86" t="s">
        <v>283</v>
      </c>
      <c r="F324" s="86" t="s">
        <v>927</v>
      </c>
      <c r="G324" s="86"/>
      <c r="H324" s="86"/>
      <c r="I324" s="86"/>
      <c r="J324" s="97">
        <v>0</v>
      </c>
      <c r="K324" s="93">
        <v>0</v>
      </c>
      <c r="L324" s="94">
        <v>0</v>
      </c>
      <c r="M324" s="94">
        <v>0</v>
      </c>
      <c r="N324" s="94">
        <v>0</v>
      </c>
      <c r="O324" s="94">
        <v>0</v>
      </c>
      <c r="P324" s="94">
        <v>0</v>
      </c>
      <c r="Q324" s="94">
        <v>0</v>
      </c>
      <c r="R324" s="94">
        <v>0</v>
      </c>
      <c r="S324" s="94">
        <v>0</v>
      </c>
      <c r="T324" s="156">
        <v>0</v>
      </c>
      <c r="U324" s="152">
        <v>0</v>
      </c>
      <c r="V324" s="151">
        <v>0</v>
      </c>
      <c r="W324" s="151">
        <v>0</v>
      </c>
      <c r="X324" s="151"/>
      <c r="Y324" s="8">
        <v>0</v>
      </c>
    </row>
    <row r="325" spans="1:25" ht="30" customHeight="1">
      <c r="B325" s="91" t="s">
        <v>817</v>
      </c>
      <c r="C325" s="92" t="s">
        <v>731</v>
      </c>
      <c r="D325" s="86" t="s">
        <v>819</v>
      </c>
      <c r="E325" s="86" t="s">
        <v>711</v>
      </c>
      <c r="F325" s="86" t="s">
        <v>927</v>
      </c>
      <c r="G325" s="86" t="s">
        <v>820</v>
      </c>
      <c r="H325" s="86" t="s">
        <v>291</v>
      </c>
      <c r="I325" s="86" t="s">
        <v>755</v>
      </c>
      <c r="J325" s="97">
        <v>0</v>
      </c>
      <c r="K325" s="93">
        <v>0</v>
      </c>
      <c r="L325" s="94">
        <v>0</v>
      </c>
      <c r="M325" s="94">
        <v>0</v>
      </c>
      <c r="N325" s="94">
        <v>0</v>
      </c>
      <c r="O325" s="94">
        <v>0</v>
      </c>
      <c r="P325" s="94">
        <v>0</v>
      </c>
      <c r="Q325" s="94">
        <v>0</v>
      </c>
      <c r="R325" s="94">
        <v>0</v>
      </c>
      <c r="S325" s="94">
        <v>0</v>
      </c>
      <c r="T325" s="156">
        <v>0</v>
      </c>
      <c r="U325" s="152">
        <v>0</v>
      </c>
      <c r="V325" s="151">
        <v>0</v>
      </c>
      <c r="W325" s="151">
        <v>0</v>
      </c>
      <c r="X325" s="151"/>
      <c r="Y325" s="8">
        <v>0</v>
      </c>
    </row>
    <row r="326" spans="1:25" ht="30" customHeight="1">
      <c r="B326" s="91" t="s">
        <v>817</v>
      </c>
      <c r="C326" s="92" t="s">
        <v>811</v>
      </c>
      <c r="D326" s="86" t="s">
        <v>822</v>
      </c>
      <c r="E326" s="86" t="s">
        <v>283</v>
      </c>
      <c r="F326" s="139" t="s">
        <v>928</v>
      </c>
      <c r="G326" s="86" t="s">
        <v>823</v>
      </c>
      <c r="H326" s="86" t="s">
        <v>292</v>
      </c>
      <c r="I326" s="86" t="s">
        <v>753</v>
      </c>
      <c r="J326" s="97">
        <v>0</v>
      </c>
      <c r="K326" s="93">
        <v>0</v>
      </c>
      <c r="L326" s="94">
        <v>0</v>
      </c>
      <c r="M326" s="94">
        <v>0</v>
      </c>
      <c r="N326" s="94">
        <v>0</v>
      </c>
      <c r="O326" s="94">
        <v>0</v>
      </c>
      <c r="P326" s="94">
        <v>0</v>
      </c>
      <c r="Q326" s="94">
        <v>0</v>
      </c>
      <c r="R326" s="94">
        <v>0</v>
      </c>
      <c r="S326" s="94">
        <v>0</v>
      </c>
      <c r="T326" s="156">
        <v>0</v>
      </c>
      <c r="U326" s="152">
        <v>0</v>
      </c>
      <c r="V326" s="151">
        <v>0</v>
      </c>
      <c r="W326" s="151">
        <v>0</v>
      </c>
      <c r="X326" s="151"/>
      <c r="Y326" s="8">
        <v>0</v>
      </c>
    </row>
    <row r="327" spans="1:25" ht="30" customHeight="1">
      <c r="B327" s="91" t="s">
        <v>817</v>
      </c>
      <c r="C327" s="92" t="s">
        <v>812</v>
      </c>
      <c r="D327" s="86"/>
      <c r="E327" s="86" t="s">
        <v>711</v>
      </c>
      <c r="F327" s="86" t="s">
        <v>927</v>
      </c>
      <c r="G327" s="86" t="s">
        <v>823</v>
      </c>
      <c r="H327" s="86" t="s">
        <v>292</v>
      </c>
      <c r="I327" s="86" t="s">
        <v>753</v>
      </c>
      <c r="J327" s="97">
        <v>0</v>
      </c>
      <c r="K327" s="93">
        <v>0</v>
      </c>
      <c r="L327" s="94">
        <v>0</v>
      </c>
      <c r="M327" s="94">
        <v>0</v>
      </c>
      <c r="N327" s="94">
        <v>0</v>
      </c>
      <c r="O327" s="94">
        <v>0</v>
      </c>
      <c r="P327" s="94">
        <v>0</v>
      </c>
      <c r="Q327" s="94">
        <v>0</v>
      </c>
      <c r="R327" s="94">
        <v>0</v>
      </c>
      <c r="S327" s="94">
        <v>0</v>
      </c>
      <c r="T327" s="156">
        <v>0</v>
      </c>
      <c r="U327" s="152">
        <v>0</v>
      </c>
      <c r="V327" s="151">
        <v>0</v>
      </c>
      <c r="W327" s="151">
        <v>0</v>
      </c>
      <c r="X327" s="151"/>
      <c r="Y327" s="8">
        <v>0</v>
      </c>
    </row>
    <row r="328" spans="1:25" ht="30" customHeight="1">
      <c r="B328" s="91" t="s">
        <v>817</v>
      </c>
      <c r="C328" s="92" t="s">
        <v>813</v>
      </c>
      <c r="D328" s="86"/>
      <c r="E328" s="86" t="s">
        <v>283</v>
      </c>
      <c r="F328" s="139" t="s">
        <v>926</v>
      </c>
      <c r="G328" s="86" t="s">
        <v>823</v>
      </c>
      <c r="H328" s="86" t="s">
        <v>292</v>
      </c>
      <c r="I328" s="86" t="s">
        <v>753</v>
      </c>
      <c r="J328" s="97">
        <v>0</v>
      </c>
      <c r="K328" s="93">
        <v>0</v>
      </c>
      <c r="L328" s="94">
        <v>0</v>
      </c>
      <c r="M328" s="94">
        <v>0</v>
      </c>
      <c r="N328" s="94">
        <v>0</v>
      </c>
      <c r="O328" s="94">
        <v>0</v>
      </c>
      <c r="P328" s="94">
        <v>0</v>
      </c>
      <c r="Q328" s="94">
        <v>0</v>
      </c>
      <c r="R328" s="94">
        <v>0</v>
      </c>
      <c r="S328" s="94">
        <v>0</v>
      </c>
      <c r="T328" s="156">
        <v>0</v>
      </c>
      <c r="U328" s="152">
        <v>0</v>
      </c>
      <c r="V328" s="151">
        <v>0</v>
      </c>
      <c r="W328" s="151">
        <v>0</v>
      </c>
      <c r="X328" s="151"/>
      <c r="Y328" s="8">
        <v>0</v>
      </c>
    </row>
    <row r="329" spans="1:25" ht="30" customHeight="1">
      <c r="B329" s="91" t="s">
        <v>817</v>
      </c>
      <c r="C329" s="92" t="s">
        <v>814</v>
      </c>
      <c r="D329" s="86"/>
      <c r="E329" s="86" t="s">
        <v>283</v>
      </c>
      <c r="F329" s="139" t="s">
        <v>926</v>
      </c>
      <c r="G329" s="86" t="s">
        <v>823</v>
      </c>
      <c r="H329" s="86" t="s">
        <v>292</v>
      </c>
      <c r="I329" s="86" t="s">
        <v>753</v>
      </c>
      <c r="J329" s="97">
        <v>0</v>
      </c>
      <c r="K329" s="93">
        <v>0</v>
      </c>
      <c r="L329" s="94">
        <v>0</v>
      </c>
      <c r="M329" s="94">
        <v>0</v>
      </c>
      <c r="N329" s="94">
        <v>0</v>
      </c>
      <c r="O329" s="94">
        <v>0</v>
      </c>
      <c r="P329" s="94">
        <v>0</v>
      </c>
      <c r="Q329" s="94">
        <v>0</v>
      </c>
      <c r="R329" s="94">
        <v>0</v>
      </c>
      <c r="S329" s="94">
        <v>0</v>
      </c>
      <c r="T329" s="156">
        <v>0</v>
      </c>
      <c r="U329" s="152">
        <v>0</v>
      </c>
      <c r="V329" s="151">
        <v>0</v>
      </c>
      <c r="W329" s="151">
        <v>0</v>
      </c>
      <c r="X329" s="151"/>
      <c r="Y329" s="8">
        <v>0</v>
      </c>
    </row>
    <row r="330" spans="1:25" ht="30" customHeight="1">
      <c r="B330" s="91" t="s">
        <v>817</v>
      </c>
      <c r="C330" s="92" t="s">
        <v>815</v>
      </c>
      <c r="D330" s="86"/>
      <c r="E330" s="86" t="s">
        <v>283</v>
      </c>
      <c r="F330" s="86" t="s">
        <v>927</v>
      </c>
      <c r="G330" s="86" t="s">
        <v>823</v>
      </c>
      <c r="H330" s="86" t="s">
        <v>292</v>
      </c>
      <c r="I330" s="86" t="s">
        <v>753</v>
      </c>
      <c r="J330" s="97">
        <v>0</v>
      </c>
      <c r="K330" s="93">
        <v>0</v>
      </c>
      <c r="L330" s="94">
        <v>0</v>
      </c>
      <c r="M330" s="94">
        <v>0</v>
      </c>
      <c r="N330" s="94">
        <v>0</v>
      </c>
      <c r="O330" s="94">
        <v>0</v>
      </c>
      <c r="P330" s="94">
        <v>0</v>
      </c>
      <c r="Q330" s="94">
        <v>0</v>
      </c>
      <c r="R330" s="94">
        <v>0</v>
      </c>
      <c r="S330" s="94">
        <v>0</v>
      </c>
      <c r="T330" s="156">
        <v>0</v>
      </c>
      <c r="U330" s="152">
        <v>0</v>
      </c>
      <c r="V330" s="151">
        <v>0</v>
      </c>
      <c r="W330" s="151">
        <v>0</v>
      </c>
      <c r="X330" s="151"/>
      <c r="Y330" s="8">
        <v>0</v>
      </c>
    </row>
    <row r="331" spans="1:25" ht="30" customHeight="1">
      <c r="B331" s="91" t="s">
        <v>817</v>
      </c>
      <c r="C331" s="92" t="s">
        <v>816</v>
      </c>
      <c r="D331" s="86"/>
      <c r="E331" s="86" t="s">
        <v>711</v>
      </c>
      <c r="F331" s="139" t="s">
        <v>926</v>
      </c>
      <c r="G331" s="86" t="s">
        <v>823</v>
      </c>
      <c r="H331" s="86" t="s">
        <v>292</v>
      </c>
      <c r="I331" s="86" t="s">
        <v>753</v>
      </c>
      <c r="J331" s="97">
        <v>0</v>
      </c>
      <c r="K331" s="93">
        <v>0</v>
      </c>
      <c r="L331" s="94">
        <v>0</v>
      </c>
      <c r="M331" s="94">
        <v>0</v>
      </c>
      <c r="N331" s="94">
        <v>0</v>
      </c>
      <c r="O331" s="94">
        <v>0</v>
      </c>
      <c r="P331" s="94">
        <v>0</v>
      </c>
      <c r="Q331" s="94">
        <v>0</v>
      </c>
      <c r="R331" s="94">
        <v>0</v>
      </c>
      <c r="S331" s="94">
        <v>0</v>
      </c>
      <c r="T331" s="156">
        <v>0</v>
      </c>
      <c r="U331" s="152">
        <v>0</v>
      </c>
      <c r="V331" s="151">
        <v>0</v>
      </c>
      <c r="W331" s="151">
        <v>0</v>
      </c>
      <c r="X331" s="151"/>
      <c r="Y331" s="8">
        <v>0</v>
      </c>
    </row>
    <row r="332" spans="1:25" ht="30" customHeight="1">
      <c r="B332" s="91" t="s">
        <v>817</v>
      </c>
      <c r="C332" s="92" t="s">
        <v>824</v>
      </c>
      <c r="D332" s="86"/>
      <c r="E332" s="86" t="s">
        <v>711</v>
      </c>
      <c r="F332" s="139" t="s">
        <v>926</v>
      </c>
      <c r="G332" s="86" t="s">
        <v>820</v>
      </c>
      <c r="H332" s="86" t="s">
        <v>291</v>
      </c>
      <c r="I332" s="86" t="s">
        <v>755</v>
      </c>
      <c r="J332" s="97">
        <v>0</v>
      </c>
      <c r="K332" s="93">
        <v>0</v>
      </c>
      <c r="L332" s="94">
        <v>0</v>
      </c>
      <c r="M332" s="94">
        <v>0</v>
      </c>
      <c r="N332" s="94">
        <v>0</v>
      </c>
      <c r="O332" s="94">
        <v>0</v>
      </c>
      <c r="P332" s="94">
        <v>0</v>
      </c>
      <c r="Q332" s="94">
        <v>0</v>
      </c>
      <c r="R332" s="94">
        <v>0</v>
      </c>
      <c r="S332" s="94">
        <v>0</v>
      </c>
      <c r="T332" s="156">
        <v>0</v>
      </c>
      <c r="U332" s="152">
        <v>0</v>
      </c>
      <c r="V332" s="151">
        <v>0</v>
      </c>
      <c r="W332" s="151">
        <v>0</v>
      </c>
      <c r="X332" s="151"/>
      <c r="Y332" s="8">
        <v>0</v>
      </c>
    </row>
    <row r="333" spans="1:25" ht="30" customHeight="1">
      <c r="B333" s="91" t="s">
        <v>817</v>
      </c>
      <c r="C333" s="92" t="s">
        <v>825</v>
      </c>
      <c r="D333" s="86"/>
      <c r="E333" s="86" t="s">
        <v>711</v>
      </c>
      <c r="F333" s="139" t="s">
        <v>926</v>
      </c>
      <c r="G333" s="86" t="s">
        <v>820</v>
      </c>
      <c r="H333" s="86" t="s">
        <v>291</v>
      </c>
      <c r="I333" s="86" t="s">
        <v>755</v>
      </c>
      <c r="J333" s="97">
        <v>0</v>
      </c>
      <c r="K333" s="93">
        <v>0</v>
      </c>
      <c r="L333" s="94">
        <v>0</v>
      </c>
      <c r="M333" s="94">
        <v>0</v>
      </c>
      <c r="N333" s="94">
        <v>0</v>
      </c>
      <c r="O333" s="94">
        <v>0</v>
      </c>
      <c r="P333" s="94">
        <v>0</v>
      </c>
      <c r="Q333" s="94">
        <v>0</v>
      </c>
      <c r="R333" s="94">
        <v>0</v>
      </c>
      <c r="S333" s="94">
        <v>0</v>
      </c>
      <c r="T333" s="156">
        <v>0</v>
      </c>
      <c r="U333" s="152">
        <v>0</v>
      </c>
      <c r="V333" s="151">
        <v>0</v>
      </c>
      <c r="W333" s="151">
        <v>0</v>
      </c>
      <c r="X333" s="151"/>
      <c r="Y333" s="8">
        <v>0</v>
      </c>
    </row>
    <row r="334" spans="1:25" ht="30" customHeight="1">
      <c r="B334" s="91" t="s">
        <v>817</v>
      </c>
      <c r="C334" s="92" t="s">
        <v>826</v>
      </c>
      <c r="D334" s="86"/>
      <c r="E334" s="86" t="s">
        <v>711</v>
      </c>
      <c r="F334" s="139" t="s">
        <v>926</v>
      </c>
      <c r="G334" s="86" t="s">
        <v>820</v>
      </c>
      <c r="H334" s="86" t="s">
        <v>291</v>
      </c>
      <c r="I334" s="86" t="s">
        <v>755</v>
      </c>
      <c r="J334" s="97">
        <v>0</v>
      </c>
      <c r="K334" s="93">
        <v>0</v>
      </c>
      <c r="L334" s="94">
        <v>0</v>
      </c>
      <c r="M334" s="94">
        <v>0</v>
      </c>
      <c r="N334" s="94">
        <v>0</v>
      </c>
      <c r="O334" s="94">
        <v>0</v>
      </c>
      <c r="P334" s="94">
        <v>0</v>
      </c>
      <c r="Q334" s="94">
        <v>0</v>
      </c>
      <c r="R334" s="94">
        <v>0</v>
      </c>
      <c r="S334" s="94">
        <v>0</v>
      </c>
      <c r="T334" s="156">
        <v>0</v>
      </c>
      <c r="U334" s="152">
        <v>0</v>
      </c>
      <c r="V334" s="151">
        <v>0</v>
      </c>
      <c r="W334" s="151">
        <v>0</v>
      </c>
      <c r="X334" s="151"/>
      <c r="Y334" s="8">
        <v>0</v>
      </c>
    </row>
    <row r="335" spans="1:25" ht="30" customHeight="1">
      <c r="B335" s="91" t="s">
        <v>817</v>
      </c>
      <c r="C335" s="92" t="s">
        <v>827</v>
      </c>
      <c r="D335" s="86"/>
      <c r="E335" s="86" t="s">
        <v>711</v>
      </c>
      <c r="F335" s="139" t="s">
        <v>926</v>
      </c>
      <c r="G335" s="86" t="s">
        <v>820</v>
      </c>
      <c r="H335" s="86" t="s">
        <v>291</v>
      </c>
      <c r="I335" s="86" t="s">
        <v>755</v>
      </c>
      <c r="J335" s="97">
        <v>0</v>
      </c>
      <c r="K335" s="93">
        <v>0</v>
      </c>
      <c r="L335" s="94">
        <v>0</v>
      </c>
      <c r="M335" s="94">
        <v>0</v>
      </c>
      <c r="N335" s="94">
        <v>0</v>
      </c>
      <c r="O335" s="94">
        <v>0</v>
      </c>
      <c r="P335" s="94">
        <v>0</v>
      </c>
      <c r="Q335" s="94">
        <v>0</v>
      </c>
      <c r="R335" s="94">
        <v>0</v>
      </c>
      <c r="S335" s="94">
        <v>0</v>
      </c>
      <c r="T335" s="156">
        <v>0</v>
      </c>
      <c r="U335" s="152">
        <v>0</v>
      </c>
      <c r="V335" s="151">
        <v>0</v>
      </c>
      <c r="W335" s="151">
        <v>0</v>
      </c>
      <c r="X335" s="151"/>
      <c r="Y335" s="8">
        <v>0</v>
      </c>
    </row>
    <row r="336" spans="1:25" ht="30" customHeight="1">
      <c r="B336" s="91" t="s">
        <v>817</v>
      </c>
      <c r="C336" s="92" t="s">
        <v>828</v>
      </c>
      <c r="D336" s="86"/>
      <c r="E336" s="86" t="s">
        <v>711</v>
      </c>
      <c r="F336" s="86" t="s">
        <v>927</v>
      </c>
      <c r="G336" s="86" t="s">
        <v>823</v>
      </c>
      <c r="H336" s="86" t="s">
        <v>292</v>
      </c>
      <c r="I336" s="86" t="s">
        <v>753</v>
      </c>
      <c r="J336" s="97">
        <v>0</v>
      </c>
      <c r="K336" s="93">
        <v>0</v>
      </c>
      <c r="L336" s="94">
        <v>0</v>
      </c>
      <c r="M336" s="94">
        <v>0</v>
      </c>
      <c r="N336" s="94">
        <v>0</v>
      </c>
      <c r="O336" s="94">
        <v>0</v>
      </c>
      <c r="P336" s="94">
        <v>0</v>
      </c>
      <c r="Q336" s="94">
        <v>0</v>
      </c>
      <c r="R336" s="94">
        <v>0</v>
      </c>
      <c r="S336" s="94">
        <v>0</v>
      </c>
      <c r="T336" s="156">
        <v>0</v>
      </c>
      <c r="U336" s="152">
        <v>0</v>
      </c>
      <c r="V336" s="151">
        <v>0</v>
      </c>
      <c r="W336" s="151">
        <v>0</v>
      </c>
      <c r="X336" s="151"/>
      <c r="Y336" s="8">
        <v>0</v>
      </c>
    </row>
    <row r="337" spans="2:25" ht="30" customHeight="1">
      <c r="B337" s="91" t="s">
        <v>817</v>
      </c>
      <c r="C337" s="92" t="s">
        <v>829</v>
      </c>
      <c r="D337" s="86"/>
      <c r="E337" s="86" t="s">
        <v>711</v>
      </c>
      <c r="F337" s="139" t="s">
        <v>987</v>
      </c>
      <c r="G337" s="86" t="s">
        <v>823</v>
      </c>
      <c r="H337" s="86" t="s">
        <v>292</v>
      </c>
      <c r="I337" s="86" t="s">
        <v>753</v>
      </c>
      <c r="J337" s="97">
        <v>0</v>
      </c>
      <c r="K337" s="93">
        <v>0</v>
      </c>
      <c r="L337" s="94">
        <v>0</v>
      </c>
      <c r="M337" s="94">
        <v>0</v>
      </c>
      <c r="N337" s="94">
        <v>0</v>
      </c>
      <c r="O337" s="94">
        <v>0</v>
      </c>
      <c r="P337" s="94">
        <v>0</v>
      </c>
      <c r="Q337" s="94">
        <v>0</v>
      </c>
      <c r="R337" s="94">
        <v>0</v>
      </c>
      <c r="S337" s="94">
        <v>0</v>
      </c>
      <c r="T337" s="156">
        <v>0</v>
      </c>
      <c r="U337" s="152">
        <v>0</v>
      </c>
      <c r="V337" s="151">
        <v>0</v>
      </c>
      <c r="W337" s="151">
        <v>0</v>
      </c>
      <c r="X337" s="151"/>
      <c r="Y337" s="8">
        <v>0</v>
      </c>
    </row>
    <row r="338" spans="2:25" ht="30" customHeight="1">
      <c r="B338" s="91" t="s">
        <v>817</v>
      </c>
      <c r="C338" s="92" t="s">
        <v>830</v>
      </c>
      <c r="D338" s="86"/>
      <c r="E338" s="86" t="s">
        <v>711</v>
      </c>
      <c r="F338" s="86" t="s">
        <v>927</v>
      </c>
      <c r="G338" s="86" t="s">
        <v>823</v>
      </c>
      <c r="H338" s="86" t="s">
        <v>292</v>
      </c>
      <c r="I338" s="86" t="s">
        <v>753</v>
      </c>
      <c r="J338" s="97">
        <v>0</v>
      </c>
      <c r="K338" s="93">
        <v>0</v>
      </c>
      <c r="L338" s="94">
        <v>0</v>
      </c>
      <c r="M338" s="94">
        <v>0</v>
      </c>
      <c r="N338" s="94">
        <v>0</v>
      </c>
      <c r="O338" s="94">
        <v>0</v>
      </c>
      <c r="P338" s="94">
        <v>0</v>
      </c>
      <c r="Q338" s="94">
        <v>0</v>
      </c>
      <c r="R338" s="94">
        <v>0</v>
      </c>
      <c r="S338" s="94">
        <v>0</v>
      </c>
      <c r="T338" s="156">
        <v>0</v>
      </c>
      <c r="U338" s="152">
        <v>0</v>
      </c>
      <c r="V338" s="151">
        <v>0</v>
      </c>
      <c r="W338" s="151">
        <v>0</v>
      </c>
      <c r="X338" s="151"/>
      <c r="Y338" s="8">
        <v>0</v>
      </c>
    </row>
    <row r="339" spans="2:25" ht="30" customHeight="1">
      <c r="B339" s="91" t="s">
        <v>817</v>
      </c>
      <c r="C339" s="92" t="s">
        <v>831</v>
      </c>
      <c r="D339" s="86"/>
      <c r="E339" s="86" t="s">
        <v>711</v>
      </c>
      <c r="F339" s="86" t="s">
        <v>927</v>
      </c>
      <c r="G339" s="86" t="s">
        <v>823</v>
      </c>
      <c r="H339" s="86" t="s">
        <v>292</v>
      </c>
      <c r="I339" s="86" t="s">
        <v>753</v>
      </c>
      <c r="J339" s="97">
        <v>0</v>
      </c>
      <c r="K339" s="93">
        <v>0</v>
      </c>
      <c r="L339" s="94">
        <v>0</v>
      </c>
      <c r="M339" s="94">
        <v>0</v>
      </c>
      <c r="N339" s="94">
        <v>0</v>
      </c>
      <c r="O339" s="94">
        <v>0</v>
      </c>
      <c r="P339" s="94">
        <v>0</v>
      </c>
      <c r="Q339" s="94">
        <v>0</v>
      </c>
      <c r="R339" s="94">
        <v>0</v>
      </c>
      <c r="S339" s="94">
        <v>0</v>
      </c>
      <c r="T339" s="156">
        <v>0</v>
      </c>
      <c r="U339" s="152">
        <v>0</v>
      </c>
      <c r="V339" s="151">
        <v>0</v>
      </c>
      <c r="W339" s="151">
        <v>0</v>
      </c>
      <c r="X339" s="151"/>
      <c r="Y339" s="8">
        <v>0</v>
      </c>
    </row>
    <row r="340" spans="2:25" ht="30" customHeight="1">
      <c r="B340" s="91" t="s">
        <v>817</v>
      </c>
      <c r="C340" s="92" t="s">
        <v>832</v>
      </c>
      <c r="D340" s="86"/>
      <c r="E340" s="86" t="s">
        <v>711</v>
      </c>
      <c r="F340" s="86" t="s">
        <v>927</v>
      </c>
      <c r="G340" s="86" t="s">
        <v>823</v>
      </c>
      <c r="H340" s="86" t="s">
        <v>292</v>
      </c>
      <c r="I340" s="86" t="s">
        <v>753</v>
      </c>
      <c r="J340" s="97">
        <v>0</v>
      </c>
      <c r="K340" s="93">
        <v>0</v>
      </c>
      <c r="L340" s="94">
        <v>0</v>
      </c>
      <c r="M340" s="94">
        <v>0</v>
      </c>
      <c r="N340" s="94">
        <v>0</v>
      </c>
      <c r="O340" s="94">
        <v>0</v>
      </c>
      <c r="P340" s="94">
        <v>0</v>
      </c>
      <c r="Q340" s="94">
        <v>0</v>
      </c>
      <c r="R340" s="94">
        <v>0</v>
      </c>
      <c r="S340" s="94">
        <v>0</v>
      </c>
      <c r="T340" s="156">
        <v>0</v>
      </c>
      <c r="U340" s="152">
        <v>0</v>
      </c>
      <c r="V340" s="151">
        <v>0</v>
      </c>
      <c r="W340" s="151">
        <v>0</v>
      </c>
      <c r="X340" s="151"/>
      <c r="Y340" s="8">
        <v>0</v>
      </c>
    </row>
    <row r="341" spans="2:25" ht="30" customHeight="1">
      <c r="B341" s="91" t="s">
        <v>817</v>
      </c>
      <c r="C341" s="92" t="s">
        <v>833</v>
      </c>
      <c r="D341" s="86"/>
      <c r="E341" s="86" t="s">
        <v>711</v>
      </c>
      <c r="F341" s="86" t="s">
        <v>927</v>
      </c>
      <c r="G341" s="86" t="s">
        <v>823</v>
      </c>
      <c r="H341" s="86" t="s">
        <v>292</v>
      </c>
      <c r="I341" s="86" t="s">
        <v>753</v>
      </c>
      <c r="J341" s="97">
        <v>0</v>
      </c>
      <c r="K341" s="93">
        <v>0</v>
      </c>
      <c r="L341" s="94">
        <v>0</v>
      </c>
      <c r="M341" s="94">
        <v>0</v>
      </c>
      <c r="N341" s="94">
        <v>0</v>
      </c>
      <c r="O341" s="94">
        <v>0</v>
      </c>
      <c r="P341" s="94">
        <v>0</v>
      </c>
      <c r="Q341" s="94">
        <v>0</v>
      </c>
      <c r="R341" s="94">
        <v>0</v>
      </c>
      <c r="S341" s="94">
        <v>0</v>
      </c>
      <c r="T341" s="156">
        <v>0</v>
      </c>
      <c r="U341" s="152">
        <v>0</v>
      </c>
      <c r="V341" s="151">
        <v>0</v>
      </c>
      <c r="W341" s="151">
        <v>0</v>
      </c>
      <c r="X341" s="151"/>
      <c r="Y341" s="8">
        <v>0</v>
      </c>
    </row>
    <row r="342" spans="2:25" ht="30" customHeight="1">
      <c r="B342" s="91" t="s">
        <v>817</v>
      </c>
      <c r="C342" s="92" t="s">
        <v>770</v>
      </c>
      <c r="D342" s="86"/>
      <c r="E342" s="86" t="s">
        <v>283</v>
      </c>
      <c r="F342" s="86" t="s">
        <v>927</v>
      </c>
      <c r="G342" s="86" t="s">
        <v>719</v>
      </c>
      <c r="H342" s="86" t="s">
        <v>712</v>
      </c>
      <c r="I342" s="86" t="s">
        <v>720</v>
      </c>
      <c r="J342" s="97">
        <v>0</v>
      </c>
      <c r="K342" s="93">
        <v>0</v>
      </c>
      <c r="L342" s="94">
        <v>0</v>
      </c>
      <c r="M342" s="94">
        <v>0</v>
      </c>
      <c r="N342" s="94">
        <v>0</v>
      </c>
      <c r="O342" s="94">
        <v>0</v>
      </c>
      <c r="P342" s="94">
        <v>0</v>
      </c>
      <c r="Q342" s="94">
        <v>0</v>
      </c>
      <c r="R342" s="94">
        <v>0</v>
      </c>
      <c r="S342" s="94">
        <v>0</v>
      </c>
      <c r="T342" s="156">
        <v>0</v>
      </c>
      <c r="U342" s="152">
        <v>0</v>
      </c>
      <c r="V342" s="151">
        <v>0</v>
      </c>
      <c r="W342" s="151">
        <v>0</v>
      </c>
      <c r="X342" s="151"/>
      <c r="Y342" s="8">
        <v>0</v>
      </c>
    </row>
    <row r="343" spans="2:25" ht="30" customHeight="1">
      <c r="B343" s="91" t="s">
        <v>817</v>
      </c>
      <c r="C343" s="92" t="s">
        <v>771</v>
      </c>
      <c r="D343" s="86"/>
      <c r="E343" s="86" t="s">
        <v>283</v>
      </c>
      <c r="F343" s="86" t="s">
        <v>927</v>
      </c>
      <c r="G343" s="86" t="s">
        <v>719</v>
      </c>
      <c r="H343" s="86" t="s">
        <v>712</v>
      </c>
      <c r="I343" s="86" t="s">
        <v>720</v>
      </c>
      <c r="J343" s="97">
        <v>0</v>
      </c>
      <c r="K343" s="93">
        <v>0</v>
      </c>
      <c r="L343" s="94">
        <v>0</v>
      </c>
      <c r="M343" s="94">
        <v>0</v>
      </c>
      <c r="N343" s="94">
        <v>0</v>
      </c>
      <c r="O343" s="94">
        <v>0</v>
      </c>
      <c r="P343" s="94">
        <v>0</v>
      </c>
      <c r="Q343" s="94">
        <v>0</v>
      </c>
      <c r="R343" s="94">
        <v>0</v>
      </c>
      <c r="S343" s="94">
        <v>0</v>
      </c>
      <c r="T343" s="156">
        <v>0</v>
      </c>
      <c r="U343" s="152">
        <v>0</v>
      </c>
      <c r="V343" s="151">
        <v>0</v>
      </c>
      <c r="W343" s="151">
        <v>0</v>
      </c>
      <c r="X343" s="151"/>
      <c r="Y343" s="8">
        <v>0</v>
      </c>
    </row>
    <row r="344" spans="2:25" ht="30" customHeight="1">
      <c r="B344" s="91" t="s">
        <v>817</v>
      </c>
      <c r="C344" s="92" t="s">
        <v>772</v>
      </c>
      <c r="D344" s="86"/>
      <c r="E344" s="86" t="s">
        <v>283</v>
      </c>
      <c r="F344" s="86" t="s">
        <v>927</v>
      </c>
      <c r="G344" s="86" t="s">
        <v>719</v>
      </c>
      <c r="H344" s="86" t="s">
        <v>712</v>
      </c>
      <c r="I344" s="86" t="s">
        <v>720</v>
      </c>
      <c r="J344" s="97">
        <v>0</v>
      </c>
      <c r="K344" s="93">
        <v>0</v>
      </c>
      <c r="L344" s="94">
        <v>0</v>
      </c>
      <c r="M344" s="94">
        <v>0</v>
      </c>
      <c r="N344" s="94">
        <v>0</v>
      </c>
      <c r="O344" s="94">
        <v>0</v>
      </c>
      <c r="P344" s="94">
        <v>0</v>
      </c>
      <c r="Q344" s="94">
        <v>0</v>
      </c>
      <c r="R344" s="94">
        <v>0</v>
      </c>
      <c r="S344" s="94">
        <v>0</v>
      </c>
      <c r="T344" s="156">
        <v>0</v>
      </c>
      <c r="U344" s="152">
        <v>0</v>
      </c>
      <c r="V344" s="151">
        <v>0</v>
      </c>
      <c r="W344" s="151">
        <v>0</v>
      </c>
      <c r="X344" s="151"/>
      <c r="Y344" s="8">
        <v>0</v>
      </c>
    </row>
    <row r="345" spans="2:25" ht="30" customHeight="1">
      <c r="B345" s="91" t="s">
        <v>817</v>
      </c>
      <c r="C345" s="92" t="s">
        <v>773</v>
      </c>
      <c r="D345" s="86"/>
      <c r="E345" s="86" t="s">
        <v>711</v>
      </c>
      <c r="F345" s="86" t="s">
        <v>927</v>
      </c>
      <c r="G345" s="86"/>
      <c r="H345" s="86"/>
      <c r="I345" s="86"/>
      <c r="J345" s="97">
        <v>0</v>
      </c>
      <c r="K345" s="93">
        <v>0</v>
      </c>
      <c r="L345" s="94">
        <v>0</v>
      </c>
      <c r="M345" s="94">
        <v>0</v>
      </c>
      <c r="N345" s="94">
        <v>0</v>
      </c>
      <c r="O345" s="94">
        <v>0</v>
      </c>
      <c r="P345" s="94">
        <v>0</v>
      </c>
      <c r="Q345" s="94">
        <v>0</v>
      </c>
      <c r="R345" s="94">
        <v>0</v>
      </c>
      <c r="S345" s="94">
        <v>0</v>
      </c>
      <c r="T345" s="156">
        <v>0</v>
      </c>
      <c r="U345" s="152">
        <v>0</v>
      </c>
      <c r="V345" s="151">
        <v>0</v>
      </c>
      <c r="W345" s="151">
        <v>0</v>
      </c>
      <c r="X345" s="151"/>
      <c r="Y345" s="8">
        <v>0</v>
      </c>
    </row>
    <row r="346" spans="2:25" ht="30" customHeight="1">
      <c r="B346" s="91" t="s">
        <v>817</v>
      </c>
      <c r="C346" s="141" t="s">
        <v>980</v>
      </c>
      <c r="D346" s="86"/>
      <c r="E346" s="86" t="s">
        <v>711</v>
      </c>
      <c r="F346" s="139" t="s">
        <v>982</v>
      </c>
      <c r="G346" s="86"/>
      <c r="H346" s="86"/>
      <c r="I346" s="86"/>
      <c r="J346" s="97"/>
      <c r="K346" s="93"/>
      <c r="L346" s="94"/>
      <c r="M346" s="94"/>
      <c r="N346" s="94"/>
      <c r="O346" s="94"/>
      <c r="P346" s="94"/>
      <c r="Q346" s="94"/>
      <c r="R346" s="94"/>
      <c r="S346" s="94"/>
      <c r="T346" s="156">
        <v>0</v>
      </c>
      <c r="U346" s="152">
        <v>0</v>
      </c>
      <c r="V346" s="151">
        <v>0</v>
      </c>
      <c r="W346" s="151">
        <v>0</v>
      </c>
      <c r="X346" s="151"/>
      <c r="Y346" s="8" t="s">
        <v>834</v>
      </c>
    </row>
    <row r="347" spans="2:25" ht="30" customHeight="1">
      <c r="B347" s="91" t="s">
        <v>817</v>
      </c>
      <c r="C347" s="141" t="s">
        <v>981</v>
      </c>
      <c r="D347" s="86"/>
      <c r="E347" s="86" t="s">
        <v>711</v>
      </c>
      <c r="F347" s="139" t="s">
        <v>982</v>
      </c>
      <c r="G347" s="86"/>
      <c r="H347" s="86"/>
      <c r="I347" s="86"/>
      <c r="J347" s="97">
        <v>0</v>
      </c>
      <c r="K347" s="93">
        <v>0</v>
      </c>
      <c r="L347" s="94">
        <v>0</v>
      </c>
      <c r="M347" s="94">
        <v>0</v>
      </c>
      <c r="N347" s="94">
        <v>0</v>
      </c>
      <c r="O347" s="94">
        <v>0</v>
      </c>
      <c r="P347" s="94">
        <v>0</v>
      </c>
      <c r="Q347" s="94">
        <v>0</v>
      </c>
      <c r="R347" s="94">
        <v>0</v>
      </c>
      <c r="S347" s="94">
        <v>0</v>
      </c>
      <c r="T347" s="156">
        <v>0</v>
      </c>
      <c r="U347" s="152">
        <v>0</v>
      </c>
      <c r="V347" s="151">
        <v>0</v>
      </c>
      <c r="W347" s="151">
        <v>0</v>
      </c>
      <c r="X347" s="151"/>
      <c r="Y347" s="8" t="s">
        <v>834</v>
      </c>
    </row>
    <row r="348" spans="2:25" ht="30" customHeight="1">
      <c r="B348" s="91" t="s">
        <v>817</v>
      </c>
      <c r="C348" s="141" t="s">
        <v>1151</v>
      </c>
      <c r="D348" s="86"/>
      <c r="E348" s="86" t="s">
        <v>711</v>
      </c>
      <c r="F348" s="139" t="s">
        <v>935</v>
      </c>
      <c r="G348" s="86"/>
      <c r="H348" s="86"/>
      <c r="I348" s="86"/>
      <c r="J348" s="97">
        <v>0</v>
      </c>
      <c r="K348" s="93">
        <v>0</v>
      </c>
      <c r="L348" s="94">
        <v>0</v>
      </c>
      <c r="M348" s="94">
        <v>0</v>
      </c>
      <c r="N348" s="94">
        <v>0</v>
      </c>
      <c r="O348" s="94">
        <v>0</v>
      </c>
      <c r="P348" s="94">
        <v>0</v>
      </c>
      <c r="Q348" s="94">
        <v>0</v>
      </c>
      <c r="R348" s="94">
        <v>0</v>
      </c>
      <c r="S348" s="94">
        <v>0</v>
      </c>
      <c r="T348" s="160">
        <v>0</v>
      </c>
      <c r="U348" s="158">
        <v>0</v>
      </c>
      <c r="V348" s="159">
        <v>0</v>
      </c>
      <c r="W348" s="159">
        <v>0</v>
      </c>
      <c r="X348" s="151"/>
      <c r="Y348" s="8"/>
    </row>
    <row r="349" spans="2:25" ht="30" customHeight="1">
      <c r="B349" s="91" t="s">
        <v>817</v>
      </c>
      <c r="C349" s="141" t="s">
        <v>1152</v>
      </c>
      <c r="D349" s="86"/>
      <c r="E349" s="86" t="s">
        <v>711</v>
      </c>
      <c r="F349" s="139" t="s">
        <v>935</v>
      </c>
      <c r="G349" s="86"/>
      <c r="H349" s="86"/>
      <c r="I349" s="86"/>
      <c r="J349" s="97">
        <v>0</v>
      </c>
      <c r="K349" s="93">
        <v>0</v>
      </c>
      <c r="L349" s="94">
        <v>0</v>
      </c>
      <c r="M349" s="94">
        <v>0</v>
      </c>
      <c r="N349" s="94">
        <v>0</v>
      </c>
      <c r="O349" s="94">
        <v>0</v>
      </c>
      <c r="P349" s="94">
        <v>0</v>
      </c>
      <c r="Q349" s="94">
        <v>0</v>
      </c>
      <c r="R349" s="94">
        <v>0</v>
      </c>
      <c r="S349" s="94">
        <v>0</v>
      </c>
      <c r="T349" s="160">
        <v>0</v>
      </c>
      <c r="U349" s="158">
        <v>0</v>
      </c>
      <c r="V349" s="159">
        <v>0</v>
      </c>
      <c r="W349" s="159">
        <v>0</v>
      </c>
      <c r="X349" s="151"/>
      <c r="Y349" s="8"/>
    </row>
    <row r="350" spans="2:25" ht="30" customHeight="1">
      <c r="B350" s="91" t="s">
        <v>817</v>
      </c>
      <c r="C350" s="141" t="s">
        <v>1153</v>
      </c>
      <c r="D350" s="86"/>
      <c r="E350" s="86" t="s">
        <v>711</v>
      </c>
      <c r="F350" s="139" t="s">
        <v>935</v>
      </c>
      <c r="G350" s="86"/>
      <c r="H350" s="86"/>
      <c r="I350" s="86"/>
      <c r="J350" s="97">
        <v>0</v>
      </c>
      <c r="K350" s="93">
        <v>0</v>
      </c>
      <c r="L350" s="94">
        <v>0</v>
      </c>
      <c r="M350" s="94">
        <v>0</v>
      </c>
      <c r="N350" s="94">
        <v>0</v>
      </c>
      <c r="O350" s="94">
        <v>0</v>
      </c>
      <c r="P350" s="94">
        <v>0</v>
      </c>
      <c r="Q350" s="94">
        <v>0</v>
      </c>
      <c r="R350" s="94">
        <v>0</v>
      </c>
      <c r="S350" s="94">
        <v>0</v>
      </c>
      <c r="T350" s="160">
        <v>0</v>
      </c>
      <c r="U350" s="158">
        <v>0</v>
      </c>
      <c r="V350" s="159">
        <v>0</v>
      </c>
      <c r="W350" s="159">
        <v>0</v>
      </c>
      <c r="X350" s="151"/>
      <c r="Y350" s="8"/>
    </row>
    <row r="351" spans="2:25" ht="39.950000000000003" customHeight="1" thickBot="1">
      <c r="B351" s="167" t="s">
        <v>114</v>
      </c>
      <c r="C351" s="168"/>
      <c r="D351" s="168"/>
      <c r="E351" s="168"/>
      <c r="F351" s="168"/>
      <c r="G351" s="168"/>
      <c r="H351" s="168"/>
      <c r="I351" s="169"/>
      <c r="J351" s="31">
        <v>0</v>
      </c>
      <c r="K351" s="31">
        <v>0</v>
      </c>
      <c r="L351" s="31"/>
      <c r="M351" s="31"/>
      <c r="N351" s="31">
        <v>0</v>
      </c>
      <c r="O351" s="31">
        <v>0</v>
      </c>
      <c r="P351" s="31">
        <v>0</v>
      </c>
      <c r="Q351" s="31">
        <v>0</v>
      </c>
      <c r="R351" s="31">
        <v>0</v>
      </c>
      <c r="S351" s="31">
        <v>0</v>
      </c>
      <c r="T351" s="155">
        <v>17617.3</v>
      </c>
      <c r="U351" s="98">
        <v>0</v>
      </c>
      <c r="V351" s="31">
        <v>0</v>
      </c>
      <c r="W351" s="140">
        <v>0</v>
      </c>
      <c r="X351" s="58">
        <v>17617.3</v>
      </c>
    </row>
    <row r="352" spans="2:25" ht="26.25" customHeight="1">
      <c r="B352" s="59"/>
      <c r="C352" s="59"/>
      <c r="D352" s="59"/>
      <c r="E352" s="59"/>
      <c r="F352" s="59"/>
      <c r="G352" s="59"/>
      <c r="H352" s="59"/>
      <c r="I352" s="59"/>
      <c r="J352" s="59"/>
      <c r="K352" s="60"/>
      <c r="L352" s="60"/>
      <c r="M352" s="60"/>
      <c r="N352" s="60"/>
      <c r="O352" s="60"/>
      <c r="P352" s="60"/>
      <c r="Q352" s="60"/>
      <c r="R352" s="60"/>
      <c r="S352" s="60"/>
      <c r="T352" s="60"/>
    </row>
    <row r="353" spans="14:20" ht="26.25" customHeight="1">
      <c r="O353" s="21"/>
    </row>
    <row r="354" spans="14:20" ht="16.5"/>
    <row r="355" spans="14:20" ht="16.5">
      <c r="N355" s="3"/>
      <c r="O355" s="3"/>
      <c r="P355" s="3"/>
      <c r="Q355" s="3"/>
      <c r="R355" s="3"/>
      <c r="S355" s="3"/>
      <c r="T355" s="3"/>
    </row>
    <row r="356" spans="14:20" ht="30" customHeight="1">
      <c r="N356" s="3"/>
      <c r="O356" s="3"/>
      <c r="P356" s="3"/>
      <c r="Q356" s="3"/>
      <c r="R356" s="3"/>
      <c r="S356" s="3"/>
      <c r="T356" s="3"/>
    </row>
    <row r="357" spans="14:20" ht="30" customHeight="1">
      <c r="N357" s="3"/>
      <c r="O357" s="3"/>
      <c r="P357" s="3"/>
      <c r="Q357" s="3"/>
      <c r="R357" s="3"/>
      <c r="S357" s="3"/>
      <c r="T357" s="3"/>
    </row>
    <row r="358" spans="14:20" ht="30" customHeight="1">
      <c r="N358" s="3"/>
      <c r="O358" s="3"/>
      <c r="P358" s="3"/>
      <c r="Q358" s="3"/>
      <c r="R358" s="3"/>
      <c r="S358" s="3"/>
      <c r="T358" s="3"/>
    </row>
    <row r="359" spans="14:20" ht="30" customHeight="1">
      <c r="N359" s="3"/>
      <c r="O359" s="3"/>
      <c r="P359" s="3"/>
      <c r="Q359" s="3"/>
      <c r="R359" s="3"/>
      <c r="S359" s="3"/>
      <c r="T359" s="3"/>
    </row>
    <row r="360" spans="14:20" ht="30" customHeight="1">
      <c r="N360" s="3"/>
      <c r="O360" s="3"/>
      <c r="P360" s="3"/>
      <c r="Q360" s="3"/>
      <c r="R360" s="3"/>
      <c r="S360" s="3"/>
      <c r="T360" s="3"/>
    </row>
    <row r="361" spans="14:20" ht="30" customHeight="1">
      <c r="Q361" s="8"/>
    </row>
    <row r="362" spans="14:20" ht="30" customHeight="1">
      <c r="Q362" s="8"/>
    </row>
    <row r="363" spans="14:20" ht="30" customHeight="1">
      <c r="Q363" s="8"/>
    </row>
    <row r="364" spans="14:20" ht="30" customHeight="1">
      <c r="Q364" s="8"/>
    </row>
    <row r="365" spans="14:20" ht="30" customHeight="1">
      <c r="Q365" s="8"/>
    </row>
    <row r="366" spans="14:20" ht="30" customHeight="1">
      <c r="Q366" s="8"/>
    </row>
    <row r="367" spans="14:20" ht="30" customHeight="1">
      <c r="Q367" s="8"/>
    </row>
    <row r="368" spans="14:20" ht="30" customHeight="1">
      <c r="Q368" s="8"/>
    </row>
    <row r="369" spans="17:17" ht="30" customHeight="1">
      <c r="Q369" s="8"/>
    </row>
    <row r="370" spans="17:17" ht="30" customHeight="1">
      <c r="Q370" s="8"/>
    </row>
    <row r="371" spans="17:17" ht="30" customHeight="1">
      <c r="Q371" s="8"/>
    </row>
    <row r="372" spans="17:17" ht="30" customHeight="1">
      <c r="Q372" s="8"/>
    </row>
    <row r="373" spans="17:17" ht="30" customHeight="1">
      <c r="Q373" s="8"/>
    </row>
    <row r="374" spans="17:17" ht="30" customHeight="1">
      <c r="Q374" s="8"/>
    </row>
    <row r="375" spans="17:17" ht="30" customHeight="1">
      <c r="Q375" s="8"/>
    </row>
    <row r="376" spans="17:17" ht="30" customHeight="1">
      <c r="Q376" s="8"/>
    </row>
    <row r="377" spans="17:17" ht="30" customHeight="1">
      <c r="Q377" s="8"/>
    </row>
    <row r="378" spans="17:17" ht="30" customHeight="1">
      <c r="Q378" s="8"/>
    </row>
    <row r="379" spans="17:17" ht="30" customHeight="1">
      <c r="Q379" s="8"/>
    </row>
    <row r="380" spans="17:17" ht="30" customHeight="1">
      <c r="Q380" s="8"/>
    </row>
    <row r="381" spans="17:17" ht="30" customHeight="1">
      <c r="Q381" s="8"/>
    </row>
    <row r="382" spans="17:17" ht="30" customHeight="1">
      <c r="Q382" s="8"/>
    </row>
    <row r="383" spans="17:17" ht="30" customHeight="1">
      <c r="Q383" s="8"/>
    </row>
    <row r="384" spans="17:17" ht="30" customHeight="1">
      <c r="Q384" s="8"/>
    </row>
    <row r="385" spans="15:17" ht="30" customHeight="1">
      <c r="Q385" s="8"/>
    </row>
    <row r="386" spans="15:17" ht="30" customHeight="1">
      <c r="Q386" s="8"/>
    </row>
    <row r="387" spans="15:17" ht="30" customHeight="1">
      <c r="Q387" s="8"/>
    </row>
    <row r="388" spans="15:17" ht="30" customHeight="1">
      <c r="Q388" s="8"/>
    </row>
    <row r="389" spans="15:17" ht="30" customHeight="1">
      <c r="Q389" s="8"/>
    </row>
    <row r="390" spans="15:17" ht="30" customHeight="1">
      <c r="O390" s="8"/>
      <c r="Q390" s="8"/>
    </row>
    <row r="391" spans="15:17" ht="30" customHeight="1">
      <c r="Q391" s="8"/>
    </row>
    <row r="392" spans="15:17" ht="30" customHeight="1">
      <c r="Q392" s="8"/>
    </row>
    <row r="393" spans="15:17" ht="30" customHeight="1">
      <c r="Q393" s="8"/>
    </row>
    <row r="394" spans="15:17" ht="30" customHeight="1">
      <c r="Q394" s="8"/>
    </row>
    <row r="395" spans="15:17" ht="30" customHeight="1">
      <c r="Q395" s="8"/>
    </row>
    <row r="396" spans="15:17" ht="30" customHeight="1">
      <c r="Q396" s="8"/>
    </row>
    <row r="397" spans="15:17" ht="30" customHeight="1">
      <c r="Q397" s="8"/>
    </row>
    <row r="398" spans="15:17" ht="30" customHeight="1">
      <c r="Q398" s="8"/>
    </row>
    <row r="399" spans="15:17" ht="30" customHeight="1">
      <c r="Q399" s="8"/>
    </row>
    <row r="400" spans="15:17" ht="30" customHeight="1">
      <c r="Q400" s="8"/>
    </row>
    <row r="401" spans="17:17" ht="30" customHeight="1">
      <c r="Q401" s="8"/>
    </row>
    <row r="402" spans="17:17" ht="30" customHeight="1">
      <c r="Q402" s="8"/>
    </row>
    <row r="403" spans="17:17" ht="30" customHeight="1">
      <c r="Q403" s="8"/>
    </row>
    <row r="404" spans="17:17" ht="30" customHeight="1">
      <c r="Q404" s="8"/>
    </row>
    <row r="405" spans="17:17" ht="30" customHeight="1">
      <c r="Q405" s="8"/>
    </row>
    <row r="406" spans="17:17" ht="30" customHeight="1">
      <c r="Q406" s="8"/>
    </row>
    <row r="407" spans="17:17" ht="30" customHeight="1">
      <c r="Q407" s="8"/>
    </row>
    <row r="408" spans="17:17" ht="30" customHeight="1">
      <c r="Q408" s="8"/>
    </row>
  </sheetData>
  <autoFilter ref="B6:Y351" xr:uid="{00000000-0009-0000-0000-000003000000}"/>
  <mergeCells count="22">
    <mergeCell ref="B4:T4"/>
    <mergeCell ref="B5:B6"/>
    <mergeCell ref="C5:C6"/>
    <mergeCell ref="D5:D6"/>
    <mergeCell ref="E5:E6"/>
    <mergeCell ref="F5:F6"/>
    <mergeCell ref="G5:G6"/>
    <mergeCell ref="H5:H6"/>
    <mergeCell ref="I5:I6"/>
    <mergeCell ref="K5:K6"/>
    <mergeCell ref="L5:L6"/>
    <mergeCell ref="N5:N6"/>
    <mergeCell ref="O5:P5"/>
    <mergeCell ref="J5:J6"/>
    <mergeCell ref="R5:S5"/>
    <mergeCell ref="W5:W6"/>
    <mergeCell ref="X5:X6"/>
    <mergeCell ref="T5:T6"/>
    <mergeCell ref="M5:M6"/>
    <mergeCell ref="B351:I351"/>
    <mergeCell ref="V5:V6"/>
    <mergeCell ref="U5:U6"/>
  </mergeCells>
  <phoneticPr fontId="6" type="noConversion"/>
  <conditionalFormatting sqref="B8">
    <cfRule type="duplicateValues" dxfId="477" priority="998"/>
  </conditionalFormatting>
  <conditionalFormatting sqref="B10">
    <cfRule type="duplicateValues" dxfId="476" priority="999"/>
    <cfRule type="duplicateValues" dxfId="475" priority="1000"/>
    <cfRule type="duplicateValues" dxfId="474" priority="1001"/>
  </conditionalFormatting>
  <conditionalFormatting sqref="B11">
    <cfRule type="duplicateValues" dxfId="473" priority="1002"/>
    <cfRule type="duplicateValues" dxfId="472" priority="1003"/>
    <cfRule type="duplicateValues" dxfId="471" priority="1004"/>
  </conditionalFormatting>
  <conditionalFormatting sqref="B24">
    <cfRule type="duplicateValues" dxfId="470" priority="1019"/>
    <cfRule type="duplicateValues" dxfId="469" priority="1020"/>
  </conditionalFormatting>
  <conditionalFormatting sqref="B30">
    <cfRule type="duplicateValues" dxfId="468" priority="1021"/>
    <cfRule type="duplicateValues" dxfId="467" priority="1022"/>
    <cfRule type="duplicateValues" dxfId="466" priority="1023"/>
    <cfRule type="duplicateValues" dxfId="465" priority="1024"/>
  </conditionalFormatting>
  <conditionalFormatting sqref="B31:B90 B272:B321 B94:B135 B137:B242 B245:B257 B259:B270 B11:B29">
    <cfRule type="duplicateValues" dxfId="464" priority="1005"/>
  </conditionalFormatting>
  <conditionalFormatting sqref="B31:B90 B272:B321 B94:B135 B137:B242 B245:B257 B259:B270 B14:B29">
    <cfRule type="duplicateValues" dxfId="463" priority="1012"/>
  </conditionalFormatting>
  <conditionalFormatting sqref="B44">
    <cfRule type="duplicateValues" dxfId="462" priority="1025"/>
    <cfRule type="duplicateValues" dxfId="461" priority="1026"/>
  </conditionalFormatting>
  <conditionalFormatting sqref="B45">
    <cfRule type="duplicateValues" dxfId="460" priority="1027"/>
    <cfRule type="duplicateValues" dxfId="459" priority="1028"/>
  </conditionalFormatting>
  <conditionalFormatting sqref="B91:B93">
    <cfRule type="duplicateValues" dxfId="458" priority="1029"/>
  </conditionalFormatting>
  <conditionalFormatting sqref="B132">
    <cfRule type="duplicateValues" dxfId="457" priority="1030"/>
    <cfRule type="duplicateValues" dxfId="456" priority="1031"/>
  </conditionalFormatting>
  <conditionalFormatting sqref="B135">
    <cfRule type="duplicateValues" dxfId="455" priority="1032"/>
    <cfRule type="duplicateValues" dxfId="454" priority="1033"/>
  </conditionalFormatting>
  <conditionalFormatting sqref="B136">
    <cfRule type="duplicateValues" dxfId="453" priority="1034"/>
    <cfRule type="duplicateValues" dxfId="452" priority="1035"/>
    <cfRule type="duplicateValues" dxfId="451" priority="1036"/>
    <cfRule type="duplicateValues" dxfId="450" priority="1037"/>
  </conditionalFormatting>
  <conditionalFormatting sqref="B161">
    <cfRule type="duplicateValues" dxfId="449" priority="1038"/>
    <cfRule type="duplicateValues" dxfId="448" priority="1039"/>
  </conditionalFormatting>
  <conditionalFormatting sqref="B162">
    <cfRule type="duplicateValues" dxfId="447" priority="1040"/>
    <cfRule type="duplicateValues" dxfId="446" priority="1041"/>
  </conditionalFormatting>
  <conditionalFormatting sqref="B163">
    <cfRule type="duplicateValues" dxfId="445" priority="1042"/>
    <cfRule type="duplicateValues" dxfId="444" priority="1043"/>
  </conditionalFormatting>
  <conditionalFormatting sqref="B164">
    <cfRule type="duplicateValues" dxfId="443" priority="1044"/>
    <cfRule type="duplicateValues" dxfId="442" priority="1045"/>
  </conditionalFormatting>
  <conditionalFormatting sqref="B165:B169">
    <cfRule type="duplicateValues" dxfId="441" priority="1046"/>
    <cfRule type="duplicateValues" dxfId="440" priority="1047"/>
  </conditionalFormatting>
  <conditionalFormatting sqref="B170">
    <cfRule type="duplicateValues" dxfId="439" priority="1048"/>
    <cfRule type="duplicateValues" dxfId="438" priority="1049"/>
  </conditionalFormatting>
  <conditionalFormatting sqref="B173">
    <cfRule type="duplicateValues" dxfId="437" priority="1050"/>
    <cfRule type="duplicateValues" dxfId="436" priority="1051"/>
  </conditionalFormatting>
  <conditionalFormatting sqref="B182">
    <cfRule type="duplicateValues" dxfId="435" priority="1052"/>
    <cfRule type="duplicateValues" dxfId="434" priority="1053"/>
  </conditionalFormatting>
  <conditionalFormatting sqref="B209">
    <cfRule type="duplicateValues" dxfId="433" priority="1054"/>
    <cfRule type="duplicateValues" dxfId="432" priority="1055"/>
  </conditionalFormatting>
  <conditionalFormatting sqref="B210 B171:B172 B174:B181 B133:B134 B252 B183:B208 B7:B9 B25:B29 B245 B31:B43 B46:B90 B137:B160 B272:B294 B214:B242 B297:B321 B94:B131 B259:B270 B12:B23">
    <cfRule type="duplicateValues" dxfId="431" priority="1056"/>
    <cfRule type="duplicateValues" dxfId="430" priority="1057"/>
  </conditionalFormatting>
  <conditionalFormatting sqref="B211">
    <cfRule type="duplicateValues" dxfId="429" priority="1092"/>
    <cfRule type="duplicateValues" dxfId="428" priority="1093"/>
  </conditionalFormatting>
  <conditionalFormatting sqref="B212:B213">
    <cfRule type="duplicateValues" dxfId="427" priority="1094"/>
    <cfRule type="duplicateValues" dxfId="426" priority="1095"/>
  </conditionalFormatting>
  <conditionalFormatting sqref="B243">
    <cfRule type="duplicateValues" dxfId="425" priority="1096"/>
    <cfRule type="duplicateValues" dxfId="424" priority="1097"/>
    <cfRule type="duplicateValues" dxfId="423" priority="1098"/>
  </conditionalFormatting>
  <conditionalFormatting sqref="B244">
    <cfRule type="duplicateValues" dxfId="422" priority="1099"/>
    <cfRule type="duplicateValues" dxfId="421" priority="1100"/>
    <cfRule type="duplicateValues" dxfId="420" priority="1101"/>
  </conditionalFormatting>
  <conditionalFormatting sqref="B246:B251">
    <cfRule type="duplicateValues" dxfId="419" priority="1102"/>
    <cfRule type="duplicateValues" dxfId="418" priority="1103"/>
  </conditionalFormatting>
  <conditionalFormatting sqref="B253">
    <cfRule type="duplicateValues" dxfId="417" priority="1104"/>
    <cfRule type="duplicateValues" dxfId="416" priority="1105"/>
  </conditionalFormatting>
  <conditionalFormatting sqref="B254">
    <cfRule type="duplicateValues" dxfId="415" priority="1106"/>
    <cfRule type="duplicateValues" dxfId="414" priority="1107"/>
  </conditionalFormatting>
  <conditionalFormatting sqref="B255:B256">
    <cfRule type="duplicateValues" dxfId="413" priority="1108"/>
    <cfRule type="duplicateValues" dxfId="412" priority="1109"/>
  </conditionalFormatting>
  <conditionalFormatting sqref="B257">
    <cfRule type="duplicateValues" dxfId="411" priority="1110"/>
    <cfRule type="duplicateValues" dxfId="410" priority="1111"/>
  </conditionalFormatting>
  <conditionalFormatting sqref="B258">
    <cfRule type="duplicateValues" dxfId="409" priority="1112"/>
    <cfRule type="duplicateValues" dxfId="408" priority="1113"/>
    <cfRule type="duplicateValues" dxfId="407" priority="1114"/>
    <cfRule type="duplicateValues" dxfId="406" priority="1115"/>
  </conditionalFormatting>
  <conditionalFormatting sqref="B271">
    <cfRule type="duplicateValues" dxfId="405" priority="1116"/>
    <cfRule type="duplicateValues" dxfId="404" priority="1117"/>
    <cfRule type="duplicateValues" dxfId="403" priority="1118"/>
  </conditionalFormatting>
  <conditionalFormatting sqref="B295:B296">
    <cfRule type="duplicateValues" dxfId="402" priority="1119"/>
    <cfRule type="duplicateValues" dxfId="401" priority="1120"/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  <rowBreaks count="1" manualBreakCount="1">
    <brk id="268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1131"/>
  <sheetViews>
    <sheetView zoomScaleNormal="100" zoomScaleSheetLayoutView="75" workbookViewId="0">
      <pane xSplit="8" ySplit="3" topLeftCell="K4" activePane="bottomRight" state="frozen"/>
      <selection activeCell="K8" sqref="K8"/>
      <selection pane="topRight" activeCell="K8" sqref="K8"/>
      <selection pane="bottomLeft" activeCell="K8" sqref="K8"/>
      <selection pane="bottomRight" activeCell="A4" sqref="A4"/>
    </sheetView>
  </sheetViews>
  <sheetFormatPr defaultColWidth="8.75" defaultRowHeight="16.5"/>
  <cols>
    <col min="1" max="1" width="7.625" style="18" customWidth="1"/>
    <col min="2" max="2" width="11.625" style="18" customWidth="1"/>
    <col min="3" max="3" width="7.625" style="18" customWidth="1"/>
    <col min="4" max="4" width="18.5" style="15" customWidth="1"/>
    <col min="5" max="5" width="34.25" style="15" customWidth="1"/>
    <col min="6" max="6" width="13.75" style="15" hidden="1" customWidth="1"/>
    <col min="7" max="7" width="5.75" style="15" customWidth="1"/>
    <col min="8" max="8" width="6.125" style="15" customWidth="1"/>
    <col min="9" max="13" width="7.625" style="16" customWidth="1"/>
    <col min="14" max="14" width="8.625" style="16" hidden="1" customWidth="1"/>
    <col min="15" max="15" width="6.625" style="16" customWidth="1"/>
    <col min="16" max="16" width="9" style="16" customWidth="1"/>
    <col min="17" max="17" width="12.875" style="16" customWidth="1"/>
    <col min="18" max="19" width="7.625" style="16" customWidth="1"/>
    <col min="20" max="20" width="7.625" style="17" customWidth="1"/>
    <col min="21" max="22" width="7.625" style="16" customWidth="1"/>
    <col min="23" max="23" width="8.625" style="16" hidden="1" customWidth="1"/>
    <col min="24" max="24" width="6.625" style="16" customWidth="1"/>
    <col min="25" max="25" width="9" style="16" customWidth="1"/>
    <col min="26" max="26" width="10.625" style="16" customWidth="1"/>
    <col min="27" max="16384" width="8.75" style="19"/>
  </cols>
  <sheetData>
    <row r="1" spans="1:31" s="9" customFormat="1" ht="17.45" customHeight="1">
      <c r="A1" s="185" t="s">
        <v>98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7"/>
    </row>
    <row r="2" spans="1:31" s="9" customFormat="1" ht="16.5" customHeight="1">
      <c r="A2" s="188" t="s">
        <v>99</v>
      </c>
      <c r="B2" s="188" t="s">
        <v>100</v>
      </c>
      <c r="C2" s="190" t="s">
        <v>55</v>
      </c>
      <c r="D2" s="188" t="s">
        <v>54</v>
      </c>
      <c r="E2" s="188" t="s">
        <v>1</v>
      </c>
      <c r="F2" s="188"/>
      <c r="G2" s="188" t="s">
        <v>4</v>
      </c>
      <c r="H2" s="188" t="s">
        <v>5</v>
      </c>
      <c r="I2" s="182" t="s">
        <v>2</v>
      </c>
      <c r="J2" s="183"/>
      <c r="K2" s="183"/>
      <c r="L2" s="183"/>
      <c r="M2" s="183"/>
      <c r="N2" s="183"/>
      <c r="O2" s="183"/>
      <c r="P2" s="183"/>
      <c r="Q2" s="184"/>
      <c r="R2" s="182" t="s">
        <v>3</v>
      </c>
      <c r="S2" s="183"/>
      <c r="T2" s="183"/>
      <c r="U2" s="183"/>
      <c r="V2" s="183"/>
      <c r="W2" s="183"/>
      <c r="X2" s="183"/>
      <c r="Y2" s="183"/>
      <c r="Z2" s="184"/>
    </row>
    <row r="3" spans="1:31" s="11" customFormat="1" ht="38.1" customHeight="1">
      <c r="A3" s="189"/>
      <c r="B3" s="189"/>
      <c r="C3" s="191"/>
      <c r="D3" s="189"/>
      <c r="E3" s="189"/>
      <c r="F3" s="189"/>
      <c r="G3" s="189"/>
      <c r="H3" s="189"/>
      <c r="I3" s="61" t="s">
        <v>101</v>
      </c>
      <c r="J3" s="62" t="s">
        <v>102</v>
      </c>
      <c r="K3" s="62" t="s">
        <v>103</v>
      </c>
      <c r="L3" s="62" t="s">
        <v>104</v>
      </c>
      <c r="M3" s="62" t="s">
        <v>105</v>
      </c>
      <c r="N3" s="10" t="s">
        <v>106</v>
      </c>
      <c r="O3" s="10" t="s">
        <v>0</v>
      </c>
      <c r="P3" s="63" t="s">
        <v>107</v>
      </c>
      <c r="Q3" s="10" t="s">
        <v>108</v>
      </c>
      <c r="R3" s="61" t="s">
        <v>101</v>
      </c>
      <c r="S3" s="62" t="s">
        <v>102</v>
      </c>
      <c r="T3" s="62" t="s">
        <v>103</v>
      </c>
      <c r="U3" s="62" t="s">
        <v>104</v>
      </c>
      <c r="V3" s="62" t="s">
        <v>105</v>
      </c>
      <c r="W3" s="10" t="s">
        <v>106</v>
      </c>
      <c r="X3" s="10" t="s">
        <v>0</v>
      </c>
      <c r="Y3" s="63" t="s">
        <v>221</v>
      </c>
      <c r="Z3" s="10" t="s">
        <v>109</v>
      </c>
    </row>
    <row r="4" spans="1:31" s="12" customFormat="1" ht="12">
      <c r="A4" s="27">
        <v>45597</v>
      </c>
      <c r="B4" s="53" t="s">
        <v>203</v>
      </c>
      <c r="C4" s="37" t="e">
        <f>IF(B4="","",VLOOKUP($B4,#REF!,2,FALSE))</f>
        <v>#REF!</v>
      </c>
      <c r="D4" s="34" t="e">
        <f>IF(B4="","",VLOOKUP($B4,#REF!,3,FALSE))</f>
        <v>#REF!</v>
      </c>
      <c r="E4" s="34" t="e">
        <f>IF(B4="","",VLOOKUP($B4,#REF!,4,FALSE))</f>
        <v>#REF!</v>
      </c>
      <c r="F4" s="34" t="e">
        <f>IF(E4="","",VLOOKUP($B4,#REF!,5,FALSE))</f>
        <v>#REF!</v>
      </c>
      <c r="G4" s="34" t="e">
        <f>IF(F4="","",VLOOKUP($B4,#REF!,6,FALSE))</f>
        <v>#REF!</v>
      </c>
      <c r="H4" s="34" t="e">
        <f>IF(G4="","",VLOOKUP($B4,#REF!,7,FALSE))</f>
        <v>#REF!</v>
      </c>
      <c r="I4" s="25"/>
      <c r="J4" s="25"/>
      <c r="K4" s="25"/>
      <c r="L4" s="25"/>
      <c r="M4" s="25"/>
      <c r="N4" s="25"/>
      <c r="O4" s="33">
        <f t="shared" ref="O4:O65" si="0">SUM(I4:N4)</f>
        <v>0</v>
      </c>
      <c r="P4" s="25"/>
      <c r="Q4" s="25">
        <v>0</v>
      </c>
      <c r="R4" s="25"/>
      <c r="S4" s="25"/>
      <c r="T4" s="25">
        <v>2</v>
      </c>
      <c r="U4" s="25"/>
      <c r="V4" s="39"/>
      <c r="W4" s="25"/>
      <c r="X4" s="33">
        <f>SUM(R4:W4)</f>
        <v>2</v>
      </c>
      <c r="Y4" s="39"/>
      <c r="Z4" s="25">
        <v>0</v>
      </c>
      <c r="AA4" s="45"/>
      <c r="AB4" s="45"/>
      <c r="AC4" s="45"/>
      <c r="AD4" s="45"/>
      <c r="AE4" s="45"/>
    </row>
    <row r="5" spans="1:31" s="12" customFormat="1" ht="12">
      <c r="A5" s="27">
        <v>45597</v>
      </c>
      <c r="B5" s="53" t="s">
        <v>68</v>
      </c>
      <c r="C5" s="37" t="s">
        <v>86</v>
      </c>
      <c r="D5" s="34" t="s">
        <v>51</v>
      </c>
      <c r="E5" s="34" t="e">
        <f>IF(B5="","",VLOOKUP($B5,#REF!,4,FALSE))</f>
        <v>#REF!</v>
      </c>
      <c r="F5" s="34" t="e">
        <f>IF(E5="","",VLOOKUP($B5,#REF!,5,FALSE))</f>
        <v>#REF!</v>
      </c>
      <c r="G5" s="34" t="e">
        <f>IF(F5="","",VLOOKUP($B5,#REF!,6,FALSE))</f>
        <v>#REF!</v>
      </c>
      <c r="H5" s="34" t="e">
        <f>IF(G5="","",VLOOKUP($B5,#REF!,7,FALSE))</f>
        <v>#REF!</v>
      </c>
      <c r="I5" s="25"/>
      <c r="J5" s="25"/>
      <c r="K5" s="25">
        <v>2</v>
      </c>
      <c r="L5" s="25"/>
      <c r="M5" s="25"/>
      <c r="N5" s="25"/>
      <c r="O5" s="33">
        <f t="shared" si="0"/>
        <v>2</v>
      </c>
      <c r="P5" s="25"/>
      <c r="Q5" s="25">
        <v>0</v>
      </c>
      <c r="R5" s="25"/>
      <c r="S5" s="25"/>
      <c r="T5" s="25">
        <v>2</v>
      </c>
      <c r="U5" s="25"/>
      <c r="V5" s="39"/>
      <c r="W5" s="25"/>
      <c r="X5" s="33">
        <f t="shared" ref="X5:X64" si="1">SUM(R5:W5)</f>
        <v>2</v>
      </c>
      <c r="Y5" s="39">
        <v>280000</v>
      </c>
      <c r="Z5" s="25">
        <v>560000</v>
      </c>
      <c r="AA5" s="45"/>
      <c r="AB5" s="45"/>
      <c r="AC5" s="45"/>
      <c r="AD5" s="45"/>
      <c r="AE5" s="45"/>
    </row>
    <row r="6" spans="1:31" s="12" customFormat="1" ht="12">
      <c r="A6" s="27">
        <v>45597</v>
      </c>
      <c r="B6" s="53" t="s">
        <v>37</v>
      </c>
      <c r="C6" s="37" t="s">
        <v>82</v>
      </c>
      <c r="D6" s="34" t="s">
        <v>186</v>
      </c>
      <c r="E6" s="34" t="e">
        <f>IF(B6="","",VLOOKUP($B6,#REF!,4,FALSE))</f>
        <v>#REF!</v>
      </c>
      <c r="F6" s="34" t="e">
        <f>IF(E6="","",VLOOKUP($B6,#REF!,5,FALSE))</f>
        <v>#REF!</v>
      </c>
      <c r="G6" s="34" t="e">
        <f>IF(F6="","",VLOOKUP($B6,#REF!,6,FALSE))</f>
        <v>#REF!</v>
      </c>
      <c r="H6" s="34" t="e">
        <f>IF(G6="","",VLOOKUP($B6,#REF!,7,FALSE))</f>
        <v>#REF!</v>
      </c>
      <c r="I6" s="25"/>
      <c r="J6" s="25"/>
      <c r="K6" s="25"/>
      <c r="L6" s="25"/>
      <c r="M6" s="25"/>
      <c r="N6" s="25"/>
      <c r="O6" s="33">
        <f t="shared" si="0"/>
        <v>0</v>
      </c>
      <c r="P6" s="25"/>
      <c r="Q6" s="25">
        <v>0</v>
      </c>
      <c r="R6" s="25"/>
      <c r="S6" s="25"/>
      <c r="T6" s="25">
        <v>2</v>
      </c>
      <c r="U6" s="25"/>
      <c r="V6" s="39"/>
      <c r="W6" s="25"/>
      <c r="X6" s="33">
        <f t="shared" si="1"/>
        <v>2</v>
      </c>
      <c r="Y6" s="39"/>
      <c r="Z6" s="25">
        <v>0</v>
      </c>
      <c r="AA6" s="45"/>
      <c r="AB6" s="45"/>
      <c r="AC6" s="45"/>
      <c r="AD6" s="45"/>
      <c r="AE6" s="45"/>
    </row>
    <row r="7" spans="1:31" s="12" customFormat="1" ht="12">
      <c r="A7" s="27">
        <v>45597</v>
      </c>
      <c r="B7" s="53" t="s">
        <v>209</v>
      </c>
      <c r="C7" s="37" t="s">
        <v>86</v>
      </c>
      <c r="D7" s="34" t="s">
        <v>51</v>
      </c>
      <c r="E7" s="34" t="e">
        <f>IF(B7="","",VLOOKUP($B7,#REF!,4,FALSE))</f>
        <v>#REF!</v>
      </c>
      <c r="F7" s="34" t="e">
        <f>IF(E7="","",VLOOKUP($B7,#REF!,5,FALSE))</f>
        <v>#REF!</v>
      </c>
      <c r="G7" s="34" t="e">
        <f>IF(F7="","",VLOOKUP($B7,#REF!,6,FALSE))</f>
        <v>#REF!</v>
      </c>
      <c r="H7" s="34" t="e">
        <f>IF(G7="","",VLOOKUP($B7,#REF!,7,FALSE))</f>
        <v>#REF!</v>
      </c>
      <c r="I7" s="25"/>
      <c r="J7" s="25"/>
      <c r="K7" s="25">
        <v>2</v>
      </c>
      <c r="L7" s="25"/>
      <c r="M7" s="25"/>
      <c r="N7" s="25"/>
      <c r="O7" s="33">
        <f t="shared" si="0"/>
        <v>2</v>
      </c>
      <c r="P7" s="25"/>
      <c r="Q7" s="25">
        <v>0</v>
      </c>
      <c r="R7" s="25"/>
      <c r="S7" s="25"/>
      <c r="T7" s="25">
        <v>2</v>
      </c>
      <c r="U7" s="25"/>
      <c r="V7" s="39"/>
      <c r="W7" s="25"/>
      <c r="X7" s="33">
        <f t="shared" si="1"/>
        <v>2</v>
      </c>
      <c r="Y7" s="39">
        <v>280000</v>
      </c>
      <c r="Z7" s="25">
        <v>560000</v>
      </c>
      <c r="AA7" s="45"/>
      <c r="AB7" s="45"/>
      <c r="AC7" s="45"/>
      <c r="AD7" s="45"/>
      <c r="AE7" s="45"/>
    </row>
    <row r="8" spans="1:31" s="12" customFormat="1" ht="12">
      <c r="A8" s="27">
        <v>45597</v>
      </c>
      <c r="B8" s="53" t="s">
        <v>10</v>
      </c>
      <c r="C8" s="37" t="s">
        <v>83</v>
      </c>
      <c r="D8" s="34" t="s">
        <v>185</v>
      </c>
      <c r="E8" s="34" t="e">
        <f>IF(B8="","",VLOOKUP($B8,#REF!,4,FALSE))</f>
        <v>#REF!</v>
      </c>
      <c r="F8" s="34" t="e">
        <f>IF(E8="","",VLOOKUP($B8,#REF!,5,FALSE))</f>
        <v>#REF!</v>
      </c>
      <c r="G8" s="34" t="e">
        <f>IF(F8="","",VLOOKUP($B8,#REF!,6,FALSE))</f>
        <v>#REF!</v>
      </c>
      <c r="H8" s="34" t="e">
        <f>IF(G8="","",VLOOKUP($B8,#REF!,7,FALSE))</f>
        <v>#REF!</v>
      </c>
      <c r="I8" s="25"/>
      <c r="J8" s="25"/>
      <c r="K8" s="25"/>
      <c r="L8" s="25"/>
      <c r="M8" s="25"/>
      <c r="N8" s="25"/>
      <c r="O8" s="33">
        <f t="shared" si="0"/>
        <v>0</v>
      </c>
      <c r="P8" s="25"/>
      <c r="Q8" s="25">
        <v>0</v>
      </c>
      <c r="R8" s="25"/>
      <c r="S8" s="25"/>
      <c r="T8" s="25">
        <v>10</v>
      </c>
      <c r="U8" s="25"/>
      <c r="V8" s="39"/>
      <c r="W8" s="25"/>
      <c r="X8" s="33">
        <f t="shared" si="1"/>
        <v>10</v>
      </c>
      <c r="Y8" s="39"/>
      <c r="Z8" s="25">
        <v>0</v>
      </c>
      <c r="AA8" s="45"/>
      <c r="AB8" s="45"/>
      <c r="AC8" s="45"/>
      <c r="AD8" s="45"/>
      <c r="AE8" s="45"/>
    </row>
    <row r="9" spans="1:31" s="12" customFormat="1" ht="12">
      <c r="A9" s="27">
        <v>45597</v>
      </c>
      <c r="B9" s="53" t="s">
        <v>165</v>
      </c>
      <c r="C9" s="37" t="s">
        <v>86</v>
      </c>
      <c r="D9" s="34" t="s">
        <v>51</v>
      </c>
      <c r="E9" s="34" t="e">
        <f>IF(B9="","",VLOOKUP($B9,#REF!,4,FALSE))</f>
        <v>#REF!</v>
      </c>
      <c r="F9" s="34" t="e">
        <f>IF(E9="","",VLOOKUP($B9,#REF!,5,FALSE))</f>
        <v>#REF!</v>
      </c>
      <c r="G9" s="34" t="e">
        <f>IF(F9="","",VLOOKUP($B9,#REF!,6,FALSE))</f>
        <v>#REF!</v>
      </c>
      <c r="H9" s="34" t="e">
        <f>IF(G9="","",VLOOKUP($B9,#REF!,7,FALSE))</f>
        <v>#REF!</v>
      </c>
      <c r="I9" s="25"/>
      <c r="J9" s="25"/>
      <c r="K9" s="25">
        <v>10</v>
      </c>
      <c r="L9" s="25"/>
      <c r="M9" s="25"/>
      <c r="N9" s="25"/>
      <c r="O9" s="33">
        <f t="shared" si="0"/>
        <v>10</v>
      </c>
      <c r="P9" s="25"/>
      <c r="Q9" s="25">
        <v>0</v>
      </c>
      <c r="R9" s="25"/>
      <c r="S9" s="25"/>
      <c r="T9" s="25">
        <v>10</v>
      </c>
      <c r="U9" s="25"/>
      <c r="V9" s="39"/>
      <c r="W9" s="25"/>
      <c r="X9" s="33">
        <f t="shared" si="1"/>
        <v>10</v>
      </c>
      <c r="Y9" s="39">
        <v>67200</v>
      </c>
      <c r="Z9" s="25">
        <v>672000</v>
      </c>
      <c r="AA9" s="45"/>
      <c r="AB9" s="45"/>
      <c r="AC9" s="45"/>
      <c r="AD9" s="45"/>
      <c r="AE9" s="45"/>
    </row>
    <row r="10" spans="1:31" s="12" customFormat="1" ht="11.25" customHeight="1">
      <c r="A10" s="27">
        <v>45597</v>
      </c>
      <c r="B10" s="53" t="s">
        <v>15</v>
      </c>
      <c r="C10" s="37" t="s">
        <v>83</v>
      </c>
      <c r="D10" s="34" t="s">
        <v>185</v>
      </c>
      <c r="E10" s="34" t="e">
        <f>IF(B10="","",VLOOKUP($B10,#REF!,4,FALSE))</f>
        <v>#REF!</v>
      </c>
      <c r="F10" s="34" t="e">
        <f>IF(E10="","",VLOOKUP($B10,#REF!,5,FALSE))</f>
        <v>#REF!</v>
      </c>
      <c r="G10" s="34" t="e">
        <f>IF(F10="","",VLOOKUP($B10,#REF!,6,FALSE))</f>
        <v>#REF!</v>
      </c>
      <c r="H10" s="34" t="e">
        <f>IF(G10="","",VLOOKUP($B10,#REF!,7,FALSE))</f>
        <v>#REF!</v>
      </c>
      <c r="I10" s="25"/>
      <c r="J10" s="25"/>
      <c r="K10" s="25"/>
      <c r="L10" s="25"/>
      <c r="M10" s="25"/>
      <c r="N10" s="25"/>
      <c r="O10" s="33">
        <f t="shared" si="0"/>
        <v>0</v>
      </c>
      <c r="P10" s="25"/>
      <c r="Q10" s="25">
        <v>0</v>
      </c>
      <c r="R10" s="25"/>
      <c r="S10" s="25"/>
      <c r="T10" s="25">
        <v>6</v>
      </c>
      <c r="U10" s="25"/>
      <c r="V10" s="39"/>
      <c r="W10" s="25"/>
      <c r="X10" s="33">
        <f t="shared" si="1"/>
        <v>6</v>
      </c>
      <c r="Y10" s="39">
        <v>69600</v>
      </c>
      <c r="Z10" s="25">
        <v>417600</v>
      </c>
      <c r="AA10" s="45"/>
      <c r="AB10" s="45"/>
      <c r="AC10" s="45"/>
      <c r="AD10" s="45"/>
      <c r="AE10" s="45"/>
    </row>
    <row r="11" spans="1:31" s="12" customFormat="1" ht="12">
      <c r="A11" s="27">
        <v>45597</v>
      </c>
      <c r="B11" s="53" t="s">
        <v>10</v>
      </c>
      <c r="C11" s="37" t="s">
        <v>83</v>
      </c>
      <c r="D11" s="34" t="s">
        <v>185</v>
      </c>
      <c r="E11" s="34" t="e">
        <f>IF(B11="","",VLOOKUP($B11,#REF!,4,FALSE))</f>
        <v>#REF!</v>
      </c>
      <c r="F11" s="34" t="e">
        <f>IF(E11="","",VLOOKUP($B11,#REF!,5,FALSE))</f>
        <v>#REF!</v>
      </c>
      <c r="G11" s="34" t="e">
        <f>IF(F11="","",VLOOKUP($B11,#REF!,6,FALSE))</f>
        <v>#REF!</v>
      </c>
      <c r="H11" s="34" t="e">
        <f>IF(G11="","",VLOOKUP($B11,#REF!,7,FALSE))</f>
        <v>#REF!</v>
      </c>
      <c r="I11" s="25"/>
      <c r="J11" s="25"/>
      <c r="K11" s="25"/>
      <c r="L11" s="25"/>
      <c r="M11" s="25"/>
      <c r="N11" s="25"/>
      <c r="O11" s="33">
        <f t="shared" si="0"/>
        <v>0</v>
      </c>
      <c r="P11" s="25"/>
      <c r="Q11" s="25">
        <v>0</v>
      </c>
      <c r="R11" s="25"/>
      <c r="S11" s="25"/>
      <c r="T11" s="25">
        <v>8</v>
      </c>
      <c r="U11" s="25"/>
      <c r="V11" s="39"/>
      <c r="W11" s="25"/>
      <c r="X11" s="33">
        <f t="shared" si="1"/>
        <v>8</v>
      </c>
      <c r="Y11" s="39">
        <v>57000</v>
      </c>
      <c r="Z11" s="25">
        <v>456000</v>
      </c>
      <c r="AA11" s="45"/>
      <c r="AB11" s="45"/>
      <c r="AC11" s="45"/>
      <c r="AD11" s="45"/>
      <c r="AE11" s="45"/>
    </row>
    <row r="12" spans="1:31" s="12" customFormat="1" ht="12">
      <c r="A12" s="27">
        <v>45597</v>
      </c>
      <c r="B12" s="53" t="s">
        <v>25</v>
      </c>
      <c r="C12" s="37" t="s">
        <v>83</v>
      </c>
      <c r="D12" s="34" t="s">
        <v>185</v>
      </c>
      <c r="E12" s="34" t="e">
        <f>IF(B12="","",VLOOKUP($B12,#REF!,4,FALSE))</f>
        <v>#REF!</v>
      </c>
      <c r="F12" s="34" t="e">
        <f>IF(E12="","",VLOOKUP($B12,#REF!,5,FALSE))</f>
        <v>#REF!</v>
      </c>
      <c r="G12" s="34" t="e">
        <f>IF(F12="","",VLOOKUP($B12,#REF!,6,FALSE))</f>
        <v>#REF!</v>
      </c>
      <c r="H12" s="34" t="e">
        <f>IF(G12="","",VLOOKUP($B12,#REF!,7,FALSE))</f>
        <v>#REF!</v>
      </c>
      <c r="I12" s="25"/>
      <c r="J12" s="25"/>
      <c r="K12" s="25"/>
      <c r="L12" s="25"/>
      <c r="M12" s="25"/>
      <c r="N12" s="25"/>
      <c r="O12" s="33">
        <f t="shared" si="0"/>
        <v>0</v>
      </c>
      <c r="P12" s="25"/>
      <c r="Q12" s="25">
        <v>0</v>
      </c>
      <c r="R12" s="25"/>
      <c r="S12" s="25"/>
      <c r="T12" s="25">
        <v>1</v>
      </c>
      <c r="U12" s="25"/>
      <c r="V12" s="39"/>
      <c r="W12" s="25"/>
      <c r="X12" s="33">
        <f t="shared" si="1"/>
        <v>1</v>
      </c>
      <c r="Y12" s="39">
        <v>57000</v>
      </c>
      <c r="Z12" s="25">
        <v>57000</v>
      </c>
      <c r="AA12" s="45"/>
      <c r="AB12" s="45"/>
      <c r="AC12" s="45"/>
      <c r="AD12" s="45"/>
      <c r="AE12" s="45"/>
    </row>
    <row r="13" spans="1:31" s="12" customFormat="1" ht="12">
      <c r="A13" s="27">
        <v>45597</v>
      </c>
      <c r="B13" s="53" t="s">
        <v>38</v>
      </c>
      <c r="C13" s="37" t="s">
        <v>83</v>
      </c>
      <c r="D13" s="34" t="s">
        <v>185</v>
      </c>
      <c r="E13" s="34" t="e">
        <f>IF(B13="","",VLOOKUP($B13,#REF!,4,FALSE))</f>
        <v>#REF!</v>
      </c>
      <c r="F13" s="34" t="e">
        <f>IF(E13="","",VLOOKUP($B13,#REF!,5,FALSE))</f>
        <v>#REF!</v>
      </c>
      <c r="G13" s="34" t="e">
        <f>IF(F13="","",VLOOKUP($B13,#REF!,6,FALSE))</f>
        <v>#REF!</v>
      </c>
      <c r="H13" s="34" t="e">
        <f>IF(G13="","",VLOOKUP($B13,#REF!,7,FALSE))</f>
        <v>#REF!</v>
      </c>
      <c r="I13" s="25"/>
      <c r="J13" s="25"/>
      <c r="K13" s="25"/>
      <c r="L13" s="25"/>
      <c r="M13" s="25"/>
      <c r="N13" s="25"/>
      <c r="O13" s="33">
        <f t="shared" si="0"/>
        <v>0</v>
      </c>
      <c r="P13" s="25"/>
      <c r="Q13" s="25">
        <v>0</v>
      </c>
      <c r="R13" s="25"/>
      <c r="S13" s="25"/>
      <c r="T13" s="25">
        <v>21</v>
      </c>
      <c r="U13" s="25"/>
      <c r="V13" s="39"/>
      <c r="W13" s="25"/>
      <c r="X13" s="33">
        <f t="shared" si="1"/>
        <v>21</v>
      </c>
      <c r="Y13" s="39">
        <v>54600</v>
      </c>
      <c r="Z13" s="25">
        <v>1146600</v>
      </c>
      <c r="AA13" s="45"/>
      <c r="AB13" s="45"/>
      <c r="AC13" s="45"/>
      <c r="AD13" s="45"/>
      <c r="AE13" s="45"/>
    </row>
    <row r="14" spans="1:31" s="12" customFormat="1" ht="12">
      <c r="A14" s="27">
        <v>45597</v>
      </c>
      <c r="B14" s="53" t="s">
        <v>23</v>
      </c>
      <c r="C14" s="37" t="s">
        <v>83</v>
      </c>
      <c r="D14" s="34" t="s">
        <v>185</v>
      </c>
      <c r="E14" s="34" t="e">
        <f>IF(B14="","",VLOOKUP($B14,#REF!,4,FALSE))</f>
        <v>#REF!</v>
      </c>
      <c r="F14" s="34" t="e">
        <f>IF(E14="","",VLOOKUP($B14,#REF!,5,FALSE))</f>
        <v>#REF!</v>
      </c>
      <c r="G14" s="34" t="e">
        <f>IF(F14="","",VLOOKUP($B14,#REF!,6,FALSE))</f>
        <v>#REF!</v>
      </c>
      <c r="H14" s="34" t="e">
        <f>IF(G14="","",VLOOKUP($B14,#REF!,7,FALSE))</f>
        <v>#REF!</v>
      </c>
      <c r="I14" s="25"/>
      <c r="J14" s="25"/>
      <c r="K14" s="25"/>
      <c r="L14" s="25"/>
      <c r="M14" s="25"/>
      <c r="N14" s="25"/>
      <c r="O14" s="33">
        <f t="shared" si="0"/>
        <v>0</v>
      </c>
      <c r="P14" s="25"/>
      <c r="Q14" s="25">
        <v>0</v>
      </c>
      <c r="R14" s="25"/>
      <c r="S14" s="25"/>
      <c r="T14" s="25">
        <v>22</v>
      </c>
      <c r="U14" s="25"/>
      <c r="V14" s="39"/>
      <c r="W14" s="25"/>
      <c r="X14" s="33">
        <f t="shared" si="1"/>
        <v>22</v>
      </c>
      <c r="Y14" s="39">
        <v>46080</v>
      </c>
      <c r="Z14" s="25">
        <v>1013760</v>
      </c>
      <c r="AA14" s="45"/>
      <c r="AB14" s="45"/>
      <c r="AC14" s="45"/>
      <c r="AD14" s="45"/>
      <c r="AE14" s="45"/>
    </row>
    <row r="15" spans="1:31" s="12" customFormat="1" ht="12">
      <c r="A15" s="27">
        <v>45597</v>
      </c>
      <c r="B15" s="53" t="s">
        <v>61</v>
      </c>
      <c r="C15" s="37" t="s">
        <v>83</v>
      </c>
      <c r="D15" s="34" t="s">
        <v>185</v>
      </c>
      <c r="E15" s="34" t="e">
        <f>IF(B15="","",VLOOKUP($B15,#REF!,4,FALSE))</f>
        <v>#REF!</v>
      </c>
      <c r="F15" s="34" t="e">
        <f>IF(E15="","",VLOOKUP($B15,#REF!,5,FALSE))</f>
        <v>#REF!</v>
      </c>
      <c r="G15" s="34" t="e">
        <f>IF(F15="","",VLOOKUP($B15,#REF!,6,FALSE))</f>
        <v>#REF!</v>
      </c>
      <c r="H15" s="34" t="e">
        <f>IF(G15="","",VLOOKUP($B15,#REF!,7,FALSE))</f>
        <v>#REF!</v>
      </c>
      <c r="I15" s="25"/>
      <c r="J15" s="25"/>
      <c r="K15" s="25"/>
      <c r="L15" s="25"/>
      <c r="M15" s="25"/>
      <c r="N15" s="25"/>
      <c r="O15" s="33">
        <f t="shared" si="0"/>
        <v>0</v>
      </c>
      <c r="P15" s="25"/>
      <c r="Q15" s="25">
        <v>0</v>
      </c>
      <c r="R15" s="25"/>
      <c r="S15" s="25"/>
      <c r="T15" s="25">
        <v>42</v>
      </c>
      <c r="U15" s="25"/>
      <c r="V15" s="39"/>
      <c r="W15" s="25"/>
      <c r="X15" s="33">
        <f t="shared" si="1"/>
        <v>42</v>
      </c>
      <c r="Y15" s="39">
        <v>67500</v>
      </c>
      <c r="Z15" s="25">
        <v>2835000</v>
      </c>
      <c r="AA15" s="45"/>
      <c r="AB15" s="45"/>
      <c r="AC15" s="45"/>
      <c r="AD15" s="45"/>
      <c r="AE15" s="45"/>
    </row>
    <row r="16" spans="1:31" s="12" customFormat="1" ht="12">
      <c r="A16" s="27">
        <v>45597</v>
      </c>
      <c r="B16" s="53" t="s">
        <v>26</v>
      </c>
      <c r="C16" s="37" t="s">
        <v>83</v>
      </c>
      <c r="D16" s="34" t="s">
        <v>185</v>
      </c>
      <c r="E16" s="34" t="e">
        <f>IF(B16="","",VLOOKUP($B16,#REF!,4,FALSE))</f>
        <v>#REF!</v>
      </c>
      <c r="F16" s="34" t="e">
        <f>IF(E16="","",VLOOKUP($B16,#REF!,5,FALSE))</f>
        <v>#REF!</v>
      </c>
      <c r="G16" s="34" t="e">
        <f>IF(F16="","",VLOOKUP($B16,#REF!,6,FALSE))</f>
        <v>#REF!</v>
      </c>
      <c r="H16" s="34" t="e">
        <f>IF(G16="","",VLOOKUP($B16,#REF!,7,FALSE))</f>
        <v>#REF!</v>
      </c>
      <c r="I16" s="25"/>
      <c r="J16" s="25"/>
      <c r="K16" s="25"/>
      <c r="L16" s="25"/>
      <c r="M16" s="25"/>
      <c r="N16" s="25"/>
      <c r="O16" s="33">
        <f t="shared" si="0"/>
        <v>0</v>
      </c>
      <c r="P16" s="25"/>
      <c r="Q16" s="25">
        <v>0</v>
      </c>
      <c r="R16" s="25"/>
      <c r="S16" s="25"/>
      <c r="T16" s="25">
        <v>15</v>
      </c>
      <c r="U16" s="25"/>
      <c r="V16" s="39"/>
      <c r="W16" s="25"/>
      <c r="X16" s="33">
        <f t="shared" si="1"/>
        <v>15</v>
      </c>
      <c r="Y16" s="39">
        <v>23200</v>
      </c>
      <c r="Z16" s="25">
        <v>348000</v>
      </c>
      <c r="AA16" s="45"/>
      <c r="AB16" s="45"/>
      <c r="AC16" s="45"/>
      <c r="AD16" s="45"/>
      <c r="AE16" s="45"/>
    </row>
    <row r="17" spans="1:31" s="12" customFormat="1" ht="12">
      <c r="A17" s="27">
        <v>45597</v>
      </c>
      <c r="B17" s="53" t="s">
        <v>10</v>
      </c>
      <c r="C17" s="37" t="s">
        <v>83</v>
      </c>
      <c r="D17" s="34" t="s">
        <v>185</v>
      </c>
      <c r="E17" s="34" t="e">
        <f>IF(B17="","",VLOOKUP($B17,#REF!,4,FALSE))</f>
        <v>#REF!</v>
      </c>
      <c r="F17" s="34" t="e">
        <f>IF(E17="","",VLOOKUP($B17,#REF!,5,FALSE))</f>
        <v>#REF!</v>
      </c>
      <c r="G17" s="34" t="e">
        <f>IF(F17="","",VLOOKUP($B17,#REF!,6,FALSE))</f>
        <v>#REF!</v>
      </c>
      <c r="H17" s="34" t="e">
        <f>IF(G17="","",VLOOKUP($B17,#REF!,7,FALSE))</f>
        <v>#REF!</v>
      </c>
      <c r="I17" s="25"/>
      <c r="J17" s="25"/>
      <c r="K17" s="25"/>
      <c r="L17" s="25"/>
      <c r="M17" s="25"/>
      <c r="N17" s="25"/>
      <c r="O17" s="33">
        <f t="shared" si="0"/>
        <v>0</v>
      </c>
      <c r="P17" s="25"/>
      <c r="Q17" s="25">
        <v>0</v>
      </c>
      <c r="R17" s="25"/>
      <c r="S17" s="25"/>
      <c r="T17" s="25">
        <v>1</v>
      </c>
      <c r="U17" s="25"/>
      <c r="V17" s="39"/>
      <c r="W17" s="25"/>
      <c r="X17" s="33">
        <f t="shared" si="1"/>
        <v>1</v>
      </c>
      <c r="Y17" s="39"/>
      <c r="Z17" s="25">
        <v>0</v>
      </c>
      <c r="AA17" s="45"/>
      <c r="AB17" s="45"/>
      <c r="AC17" s="45"/>
      <c r="AD17" s="45"/>
      <c r="AE17" s="45"/>
    </row>
    <row r="18" spans="1:31" s="12" customFormat="1" ht="12">
      <c r="A18" s="27">
        <v>45597</v>
      </c>
      <c r="B18" s="53" t="s">
        <v>161</v>
      </c>
      <c r="C18" s="37" t="s">
        <v>83</v>
      </c>
      <c r="D18" s="34" t="s">
        <v>185</v>
      </c>
      <c r="E18" s="34" t="e">
        <f>IF(B18="","",VLOOKUP($B18,#REF!,4,FALSE))</f>
        <v>#REF!</v>
      </c>
      <c r="F18" s="34" t="e">
        <f>IF(E18="","",VLOOKUP($B18,#REF!,5,FALSE))</f>
        <v>#REF!</v>
      </c>
      <c r="G18" s="34" t="e">
        <f>IF(F18="","",VLOOKUP($B18,#REF!,6,FALSE))</f>
        <v>#REF!</v>
      </c>
      <c r="H18" s="34" t="e">
        <f>IF(G18="","",VLOOKUP($B18,#REF!,7,FALSE))</f>
        <v>#REF!</v>
      </c>
      <c r="I18" s="25"/>
      <c r="J18" s="25"/>
      <c r="K18" s="25">
        <v>1</v>
      </c>
      <c r="L18" s="25"/>
      <c r="M18" s="25"/>
      <c r="N18" s="25"/>
      <c r="O18" s="33">
        <f t="shared" si="0"/>
        <v>1</v>
      </c>
      <c r="P18" s="25"/>
      <c r="Q18" s="25">
        <v>0</v>
      </c>
      <c r="R18" s="25"/>
      <c r="S18" s="25"/>
      <c r="T18" s="25">
        <v>1</v>
      </c>
      <c r="U18" s="25"/>
      <c r="V18" s="39"/>
      <c r="W18" s="25"/>
      <c r="X18" s="33">
        <f t="shared" si="1"/>
        <v>1</v>
      </c>
      <c r="Y18" s="39">
        <v>44280</v>
      </c>
      <c r="Z18" s="25">
        <v>44280</v>
      </c>
      <c r="AA18" s="45"/>
      <c r="AB18" s="45"/>
      <c r="AC18" s="45"/>
      <c r="AD18" s="45"/>
      <c r="AE18" s="45"/>
    </row>
    <row r="19" spans="1:31" s="13" customFormat="1" ht="12">
      <c r="A19" s="27">
        <v>45597</v>
      </c>
      <c r="B19" s="53" t="s">
        <v>15</v>
      </c>
      <c r="C19" s="37" t="s">
        <v>83</v>
      </c>
      <c r="D19" s="34" t="s">
        <v>185</v>
      </c>
      <c r="E19" s="34" t="e">
        <f>IF(B19="","",VLOOKUP($B19,#REF!,4,FALSE))</f>
        <v>#REF!</v>
      </c>
      <c r="F19" s="34" t="e">
        <f>IF(E19="","",VLOOKUP($B19,#REF!,5,FALSE))</f>
        <v>#REF!</v>
      </c>
      <c r="G19" s="34" t="e">
        <f>IF(F19="","",VLOOKUP($B19,#REF!,6,FALSE))</f>
        <v>#REF!</v>
      </c>
      <c r="H19" s="34" t="e">
        <f>IF(G19="","",VLOOKUP($B19,#REF!,7,FALSE))</f>
        <v>#REF!</v>
      </c>
      <c r="I19" s="25"/>
      <c r="J19" s="25"/>
      <c r="K19" s="25"/>
      <c r="L19" s="25"/>
      <c r="M19" s="25"/>
      <c r="N19" s="25"/>
      <c r="O19" s="33">
        <f t="shared" si="0"/>
        <v>0</v>
      </c>
      <c r="P19" s="25"/>
      <c r="Q19" s="25">
        <v>0</v>
      </c>
      <c r="R19" s="25"/>
      <c r="S19" s="25"/>
      <c r="T19" s="25">
        <v>14</v>
      </c>
      <c r="U19" s="25"/>
      <c r="V19" s="39"/>
      <c r="W19" s="25"/>
      <c r="X19" s="33">
        <f t="shared" si="1"/>
        <v>14</v>
      </c>
      <c r="Y19" s="39">
        <v>69600</v>
      </c>
      <c r="Z19" s="25">
        <v>974400</v>
      </c>
      <c r="AA19" s="45"/>
      <c r="AB19" s="45"/>
      <c r="AC19" s="45"/>
      <c r="AD19" s="45"/>
      <c r="AE19" s="45"/>
    </row>
    <row r="20" spans="1:31" s="12" customFormat="1" ht="12">
      <c r="A20" s="27">
        <v>45597</v>
      </c>
      <c r="B20" s="53" t="s">
        <v>10</v>
      </c>
      <c r="C20" s="37" t="s">
        <v>83</v>
      </c>
      <c r="D20" s="34" t="s">
        <v>185</v>
      </c>
      <c r="E20" s="34" t="e">
        <f>IF(B20="","",VLOOKUP($B20,#REF!,4,FALSE))</f>
        <v>#REF!</v>
      </c>
      <c r="F20" s="34" t="e">
        <f>IF(E20="","",VLOOKUP($B20,#REF!,5,FALSE))</f>
        <v>#REF!</v>
      </c>
      <c r="G20" s="34" t="e">
        <f>IF(F20="","",VLOOKUP($B20,#REF!,6,FALSE))</f>
        <v>#REF!</v>
      </c>
      <c r="H20" s="34" t="e">
        <f>IF(G20="","",VLOOKUP($B20,#REF!,7,FALSE))</f>
        <v>#REF!</v>
      </c>
      <c r="I20" s="25"/>
      <c r="J20" s="25"/>
      <c r="K20" s="25"/>
      <c r="L20" s="25"/>
      <c r="M20" s="25"/>
      <c r="N20" s="25"/>
      <c r="O20" s="33">
        <f t="shared" si="0"/>
        <v>0</v>
      </c>
      <c r="P20" s="25"/>
      <c r="Q20" s="25">
        <v>0</v>
      </c>
      <c r="R20" s="25"/>
      <c r="S20" s="25"/>
      <c r="T20" s="25">
        <v>8</v>
      </c>
      <c r="U20" s="25"/>
      <c r="V20" s="39"/>
      <c r="W20" s="25"/>
      <c r="X20" s="33">
        <f t="shared" si="1"/>
        <v>8</v>
      </c>
      <c r="Y20" s="39">
        <v>57000</v>
      </c>
      <c r="Z20" s="25">
        <v>456000</v>
      </c>
      <c r="AA20" s="45"/>
      <c r="AB20" s="45"/>
      <c r="AC20" s="45"/>
      <c r="AD20" s="45"/>
      <c r="AE20" s="45"/>
    </row>
    <row r="21" spans="1:31" s="12" customFormat="1" ht="12">
      <c r="A21" s="27">
        <v>45597</v>
      </c>
      <c r="B21" s="73" t="s">
        <v>38</v>
      </c>
      <c r="C21" s="37" t="s">
        <v>83</v>
      </c>
      <c r="D21" s="34" t="s">
        <v>185</v>
      </c>
      <c r="E21" s="34" t="e">
        <f>IF(B21="","",VLOOKUP($B21,#REF!,4,FALSE))</f>
        <v>#REF!</v>
      </c>
      <c r="F21" s="34" t="e">
        <f>IF(E21="","",VLOOKUP($B21,#REF!,5,FALSE))</f>
        <v>#REF!</v>
      </c>
      <c r="G21" s="34" t="e">
        <f>IF(F21="","",VLOOKUP($B21,#REF!,6,FALSE))</f>
        <v>#REF!</v>
      </c>
      <c r="H21" s="34" t="e">
        <f>IF(G21="","",VLOOKUP($B21,#REF!,7,FALSE))</f>
        <v>#REF!</v>
      </c>
      <c r="I21" s="25"/>
      <c r="J21" s="25"/>
      <c r="K21" s="25"/>
      <c r="L21" s="25"/>
      <c r="M21" s="25"/>
      <c r="N21" s="25"/>
      <c r="O21" s="33">
        <f t="shared" si="0"/>
        <v>0</v>
      </c>
      <c r="P21" s="25"/>
      <c r="Q21" s="25">
        <v>0</v>
      </c>
      <c r="R21" s="25"/>
      <c r="S21" s="25"/>
      <c r="T21" s="25">
        <v>16</v>
      </c>
      <c r="U21" s="25"/>
      <c r="V21" s="39"/>
      <c r="W21" s="25"/>
      <c r="X21" s="33">
        <f t="shared" si="1"/>
        <v>16</v>
      </c>
      <c r="Y21" s="39">
        <v>54600</v>
      </c>
      <c r="Z21" s="25">
        <v>873600</v>
      </c>
      <c r="AA21" s="45" t="s">
        <v>253</v>
      </c>
      <c r="AB21" s="45"/>
      <c r="AC21" s="45"/>
      <c r="AD21" s="45"/>
      <c r="AE21" s="45"/>
    </row>
    <row r="22" spans="1:31" s="12" customFormat="1" ht="12">
      <c r="A22" s="27">
        <v>45597</v>
      </c>
      <c r="B22" s="53" t="s">
        <v>23</v>
      </c>
      <c r="C22" s="37" t="s">
        <v>83</v>
      </c>
      <c r="D22" s="34" t="s">
        <v>185</v>
      </c>
      <c r="E22" s="34" t="e">
        <f>IF(B22="","",VLOOKUP($B22,#REF!,4,FALSE))</f>
        <v>#REF!</v>
      </c>
      <c r="F22" s="34" t="e">
        <f>IF(E22="","",VLOOKUP($B22,#REF!,5,FALSE))</f>
        <v>#REF!</v>
      </c>
      <c r="G22" s="34" t="e">
        <f>IF(F22="","",VLOOKUP($B22,#REF!,6,FALSE))</f>
        <v>#REF!</v>
      </c>
      <c r="H22" s="34" t="e">
        <f>IF(G22="","",VLOOKUP($B22,#REF!,7,FALSE))</f>
        <v>#REF!</v>
      </c>
      <c r="I22" s="25"/>
      <c r="J22" s="25"/>
      <c r="K22" s="25"/>
      <c r="L22" s="25"/>
      <c r="M22" s="25"/>
      <c r="N22" s="25"/>
      <c r="O22" s="33">
        <f t="shared" si="0"/>
        <v>0</v>
      </c>
      <c r="P22" s="25"/>
      <c r="Q22" s="25">
        <v>0</v>
      </c>
      <c r="R22" s="25"/>
      <c r="S22" s="25"/>
      <c r="T22" s="25">
        <v>39</v>
      </c>
      <c r="U22" s="25"/>
      <c r="V22" s="39"/>
      <c r="W22" s="25"/>
      <c r="X22" s="33">
        <f t="shared" si="1"/>
        <v>39</v>
      </c>
      <c r="Y22" s="39">
        <v>46080</v>
      </c>
      <c r="Z22" s="25">
        <v>1797120</v>
      </c>
      <c r="AA22" s="45"/>
      <c r="AB22" s="45"/>
      <c r="AC22" s="45"/>
      <c r="AD22" s="45"/>
      <c r="AE22" s="45"/>
    </row>
    <row r="23" spans="1:31" s="13" customFormat="1" ht="12">
      <c r="A23" s="27">
        <v>45597</v>
      </c>
      <c r="B23" s="28" t="s">
        <v>61</v>
      </c>
      <c r="C23" s="37" t="s">
        <v>83</v>
      </c>
      <c r="D23" s="34" t="s">
        <v>185</v>
      </c>
      <c r="E23" s="34" t="e">
        <f>IF(B23="","",VLOOKUP($B23,#REF!,4,FALSE))</f>
        <v>#REF!</v>
      </c>
      <c r="F23" s="34" t="e">
        <f>IF(E23="","",VLOOKUP($B23,#REF!,5,FALSE))</f>
        <v>#REF!</v>
      </c>
      <c r="G23" s="34" t="e">
        <f>IF(F23="","",VLOOKUP($B23,#REF!,6,FALSE))</f>
        <v>#REF!</v>
      </c>
      <c r="H23" s="34" t="e">
        <f>IF(G23="","",VLOOKUP($B23,#REF!,7,FALSE))</f>
        <v>#REF!</v>
      </c>
      <c r="I23" s="25"/>
      <c r="J23" s="25"/>
      <c r="K23" s="25"/>
      <c r="L23" s="25"/>
      <c r="M23" s="25"/>
      <c r="N23" s="25"/>
      <c r="O23" s="33">
        <f t="shared" si="0"/>
        <v>0</v>
      </c>
      <c r="P23" s="25"/>
      <c r="Q23" s="25">
        <v>0</v>
      </c>
      <c r="R23" s="25"/>
      <c r="S23" s="25"/>
      <c r="T23" s="25">
        <v>59</v>
      </c>
      <c r="U23" s="25"/>
      <c r="V23" s="39"/>
      <c r="W23" s="25"/>
      <c r="X23" s="33">
        <f t="shared" si="1"/>
        <v>59</v>
      </c>
      <c r="Y23" s="39">
        <v>67500</v>
      </c>
      <c r="Z23" s="25">
        <v>3982500</v>
      </c>
      <c r="AA23" s="45"/>
      <c r="AB23" s="45"/>
      <c r="AC23" s="45"/>
      <c r="AD23" s="45"/>
      <c r="AE23" s="45"/>
    </row>
    <row r="24" spans="1:31" s="12" customFormat="1" ht="12">
      <c r="A24" s="27">
        <v>45597</v>
      </c>
      <c r="B24" s="73" t="s">
        <v>26</v>
      </c>
      <c r="C24" s="37" t="s">
        <v>83</v>
      </c>
      <c r="D24" s="34" t="s">
        <v>185</v>
      </c>
      <c r="E24" s="34" t="e">
        <f>IF(B24="","",VLOOKUP($B24,#REF!,4,FALSE))</f>
        <v>#REF!</v>
      </c>
      <c r="F24" s="34" t="e">
        <f>IF(E24="","",VLOOKUP($B24,#REF!,5,FALSE))</f>
        <v>#REF!</v>
      </c>
      <c r="G24" s="34" t="e">
        <f>IF(F24="","",VLOOKUP($B24,#REF!,6,FALSE))</f>
        <v>#REF!</v>
      </c>
      <c r="H24" s="34" t="e">
        <f>IF(G24="","",VLOOKUP($B24,#REF!,7,FALSE))</f>
        <v>#REF!</v>
      </c>
      <c r="I24" s="25"/>
      <c r="J24" s="25"/>
      <c r="K24" s="25"/>
      <c r="L24" s="25"/>
      <c r="M24" s="25"/>
      <c r="N24" s="25"/>
      <c r="O24" s="33">
        <f t="shared" si="0"/>
        <v>0</v>
      </c>
      <c r="P24" s="25"/>
      <c r="Q24" s="25">
        <v>0</v>
      </c>
      <c r="R24" s="25"/>
      <c r="S24" s="25"/>
      <c r="T24" s="25">
        <v>11</v>
      </c>
      <c r="U24" s="25"/>
      <c r="V24" s="39"/>
      <c r="W24" s="25"/>
      <c r="X24" s="33">
        <f t="shared" si="1"/>
        <v>11</v>
      </c>
      <c r="Y24" s="39">
        <v>23200</v>
      </c>
      <c r="Z24" s="25">
        <v>255200</v>
      </c>
      <c r="AA24" s="45"/>
      <c r="AB24" s="45"/>
      <c r="AC24" s="45"/>
      <c r="AD24" s="45"/>
      <c r="AE24" s="45"/>
    </row>
    <row r="25" spans="1:31" s="12" customFormat="1" ht="12">
      <c r="A25" s="27">
        <v>45597</v>
      </c>
      <c r="B25" s="28" t="s">
        <v>10</v>
      </c>
      <c r="C25" s="37" t="s">
        <v>83</v>
      </c>
      <c r="D25" s="34" t="s">
        <v>185</v>
      </c>
      <c r="E25" s="34" t="e">
        <f>IF(B25="","",VLOOKUP($B25,#REF!,4,FALSE))</f>
        <v>#REF!</v>
      </c>
      <c r="F25" s="34" t="e">
        <f>IF(E25="","",VLOOKUP($B25,#REF!,5,FALSE))</f>
        <v>#REF!</v>
      </c>
      <c r="G25" s="34" t="e">
        <f>IF(F25="","",VLOOKUP($B25,#REF!,6,FALSE))</f>
        <v>#REF!</v>
      </c>
      <c r="H25" s="34" t="e">
        <f>IF(G25="","",VLOOKUP($B25,#REF!,7,FALSE))</f>
        <v>#REF!</v>
      </c>
      <c r="I25" s="25"/>
      <c r="J25" s="25"/>
      <c r="K25" s="25"/>
      <c r="L25" s="25"/>
      <c r="M25" s="25"/>
      <c r="N25" s="25"/>
      <c r="O25" s="33">
        <f t="shared" si="0"/>
        <v>0</v>
      </c>
      <c r="P25" s="25"/>
      <c r="Q25" s="25">
        <v>0</v>
      </c>
      <c r="R25" s="25"/>
      <c r="S25" s="25"/>
      <c r="T25" s="25">
        <v>1</v>
      </c>
      <c r="U25" s="25"/>
      <c r="V25" s="39"/>
      <c r="W25" s="25"/>
      <c r="X25" s="33">
        <f t="shared" si="1"/>
        <v>1</v>
      </c>
      <c r="Y25" s="39"/>
      <c r="Z25" s="25">
        <v>0</v>
      </c>
      <c r="AA25" s="45"/>
      <c r="AB25" s="45"/>
      <c r="AC25" s="45"/>
      <c r="AD25" s="45"/>
      <c r="AE25" s="45"/>
    </row>
    <row r="26" spans="1:31" s="13" customFormat="1" ht="12">
      <c r="A26" s="27">
        <v>45597</v>
      </c>
      <c r="B26" s="28" t="s">
        <v>161</v>
      </c>
      <c r="C26" s="37" t="s">
        <v>83</v>
      </c>
      <c r="D26" s="34" t="s">
        <v>185</v>
      </c>
      <c r="E26" s="34" t="e">
        <f>IF(B26="","",VLOOKUP($B26,#REF!,4,FALSE))</f>
        <v>#REF!</v>
      </c>
      <c r="F26" s="34" t="e">
        <f>IF(E26="","",VLOOKUP($B26,#REF!,5,FALSE))</f>
        <v>#REF!</v>
      </c>
      <c r="G26" s="34" t="e">
        <f>IF(F26="","",VLOOKUP($B26,#REF!,6,FALSE))</f>
        <v>#REF!</v>
      </c>
      <c r="H26" s="34" t="e">
        <f>IF(G26="","",VLOOKUP($B26,#REF!,7,FALSE))</f>
        <v>#REF!</v>
      </c>
      <c r="I26" s="25"/>
      <c r="J26" s="25"/>
      <c r="K26" s="25">
        <v>1</v>
      </c>
      <c r="L26" s="25"/>
      <c r="M26" s="25"/>
      <c r="N26" s="25"/>
      <c r="O26" s="33">
        <f t="shared" si="0"/>
        <v>1</v>
      </c>
      <c r="P26" s="25"/>
      <c r="Q26" s="25">
        <v>0</v>
      </c>
      <c r="R26" s="25"/>
      <c r="S26" s="25"/>
      <c r="T26" s="25">
        <v>1</v>
      </c>
      <c r="U26" s="25"/>
      <c r="V26" s="39"/>
      <c r="W26" s="25"/>
      <c r="X26" s="33">
        <f t="shared" si="1"/>
        <v>1</v>
      </c>
      <c r="Y26" s="39">
        <v>44280</v>
      </c>
      <c r="Z26" s="25">
        <v>44280</v>
      </c>
      <c r="AA26" s="45"/>
      <c r="AB26" s="45"/>
      <c r="AC26" s="45"/>
      <c r="AD26" s="45"/>
      <c r="AE26" s="45"/>
    </row>
    <row r="27" spans="1:31" s="12" customFormat="1" ht="12">
      <c r="A27" s="27">
        <v>45597</v>
      </c>
      <c r="B27" s="28" t="s">
        <v>11</v>
      </c>
      <c r="C27" s="37" t="s">
        <v>136</v>
      </c>
      <c r="D27" s="34" t="s">
        <v>177</v>
      </c>
      <c r="E27" s="34" t="e">
        <f>IF(B27="","",VLOOKUP($B27,#REF!,4,FALSE))</f>
        <v>#REF!</v>
      </c>
      <c r="F27" s="34" t="e">
        <f>IF(E27="","",VLOOKUP($B27,#REF!,5,FALSE))</f>
        <v>#REF!</v>
      </c>
      <c r="G27" s="34" t="e">
        <f>IF(F27="","",VLOOKUP($B27,#REF!,6,FALSE))</f>
        <v>#REF!</v>
      </c>
      <c r="H27" s="34" t="e">
        <f>IF(G27="","",VLOOKUP($B27,#REF!,7,FALSE))</f>
        <v>#REF!</v>
      </c>
      <c r="I27" s="25"/>
      <c r="J27" s="25"/>
      <c r="K27" s="25"/>
      <c r="L27" s="25"/>
      <c r="M27" s="25"/>
      <c r="N27" s="25"/>
      <c r="O27" s="33">
        <f t="shared" si="0"/>
        <v>0</v>
      </c>
      <c r="P27" s="25"/>
      <c r="Q27" s="25">
        <v>0</v>
      </c>
      <c r="R27" s="25"/>
      <c r="S27" s="25"/>
      <c r="T27" s="25">
        <v>1</v>
      </c>
      <c r="U27" s="25"/>
      <c r="V27" s="39"/>
      <c r="W27" s="25"/>
      <c r="X27" s="33">
        <f t="shared" si="1"/>
        <v>1</v>
      </c>
      <c r="Y27" s="39">
        <v>44000</v>
      </c>
      <c r="Z27" s="25">
        <v>44000</v>
      </c>
      <c r="AA27" s="45" t="s">
        <v>136</v>
      </c>
      <c r="AB27" s="45" t="s">
        <v>177</v>
      </c>
      <c r="AC27" s="45"/>
      <c r="AD27" s="45"/>
      <c r="AE27" s="45"/>
    </row>
    <row r="28" spans="1:31" s="12" customFormat="1" ht="12" customHeight="1">
      <c r="A28" s="27">
        <v>45597</v>
      </c>
      <c r="B28" s="29" t="s">
        <v>163</v>
      </c>
      <c r="C28" s="37" t="s">
        <v>136</v>
      </c>
      <c r="D28" s="34" t="s">
        <v>178</v>
      </c>
      <c r="E28" s="34" t="e">
        <f>IF(B28="","",VLOOKUP($B28,#REF!,4,FALSE))</f>
        <v>#REF!</v>
      </c>
      <c r="F28" s="34" t="e">
        <f>IF(E28="","",VLOOKUP($B28,#REF!,5,FALSE))</f>
        <v>#REF!</v>
      </c>
      <c r="G28" s="34" t="e">
        <f>IF(F28="","",VLOOKUP($B28,#REF!,6,FALSE))</f>
        <v>#REF!</v>
      </c>
      <c r="H28" s="34" t="e">
        <f>IF(G28="","",VLOOKUP($B28,#REF!,7,FALSE))</f>
        <v>#REF!</v>
      </c>
      <c r="I28" s="25"/>
      <c r="J28" s="25"/>
      <c r="K28" s="25"/>
      <c r="L28" s="25"/>
      <c r="M28" s="25"/>
      <c r="N28" s="25"/>
      <c r="O28" s="33">
        <f t="shared" si="0"/>
        <v>0</v>
      </c>
      <c r="P28" s="25"/>
      <c r="Q28" s="25">
        <v>0</v>
      </c>
      <c r="R28" s="25"/>
      <c r="S28" s="25"/>
      <c r="T28" s="25">
        <v>2</v>
      </c>
      <c r="U28" s="25"/>
      <c r="V28" s="39"/>
      <c r="W28" s="25"/>
      <c r="X28" s="33">
        <f t="shared" si="1"/>
        <v>2</v>
      </c>
      <c r="Y28" s="39">
        <v>46400</v>
      </c>
      <c r="Z28" s="25">
        <v>92800</v>
      </c>
      <c r="AA28" s="45" t="s">
        <v>136</v>
      </c>
      <c r="AB28" s="45" t="s">
        <v>178</v>
      </c>
      <c r="AC28" s="45"/>
      <c r="AD28" s="45"/>
      <c r="AE28" s="45"/>
    </row>
    <row r="29" spans="1:31" s="12" customFormat="1" ht="12" customHeight="1">
      <c r="A29" s="27">
        <v>45597</v>
      </c>
      <c r="B29" s="28" t="s">
        <v>11</v>
      </c>
      <c r="C29" s="37" t="s">
        <v>136</v>
      </c>
      <c r="D29" s="34" t="s">
        <v>178</v>
      </c>
      <c r="E29" s="34" t="e">
        <f>IF(B29="","",VLOOKUP($B29,#REF!,4,FALSE))</f>
        <v>#REF!</v>
      </c>
      <c r="F29" s="34" t="e">
        <f>IF(E29="","",VLOOKUP($B29,#REF!,5,FALSE))</f>
        <v>#REF!</v>
      </c>
      <c r="G29" s="34" t="e">
        <f>IF(F29="","",VLOOKUP($B29,#REF!,6,FALSE))</f>
        <v>#REF!</v>
      </c>
      <c r="H29" s="34" t="e">
        <f>IF(G29="","",VLOOKUP($B29,#REF!,7,FALSE))</f>
        <v>#REF!</v>
      </c>
      <c r="I29" s="25"/>
      <c r="J29" s="25"/>
      <c r="K29" s="25"/>
      <c r="L29" s="25"/>
      <c r="M29" s="25"/>
      <c r="N29" s="25"/>
      <c r="O29" s="33">
        <f t="shared" si="0"/>
        <v>0</v>
      </c>
      <c r="P29" s="25"/>
      <c r="Q29" s="25">
        <v>0</v>
      </c>
      <c r="R29" s="25"/>
      <c r="S29" s="25"/>
      <c r="T29" s="25">
        <v>1</v>
      </c>
      <c r="U29" s="25"/>
      <c r="V29" s="39"/>
      <c r="W29" s="25"/>
      <c r="X29" s="33">
        <f t="shared" si="1"/>
        <v>1</v>
      </c>
      <c r="Y29" s="39">
        <v>44000</v>
      </c>
      <c r="Z29" s="25">
        <v>44000</v>
      </c>
      <c r="AA29" s="45" t="s">
        <v>136</v>
      </c>
      <c r="AB29" s="45" t="s">
        <v>178</v>
      </c>
      <c r="AC29" s="45"/>
      <c r="AD29" s="45"/>
      <c r="AE29" s="45"/>
    </row>
    <row r="30" spans="1:31" s="12" customFormat="1" ht="12" customHeight="1">
      <c r="A30" s="27">
        <v>45597</v>
      </c>
      <c r="B30" s="47" t="s">
        <v>163</v>
      </c>
      <c r="C30" s="37" t="s">
        <v>135</v>
      </c>
      <c r="D30" s="34" t="s">
        <v>179</v>
      </c>
      <c r="E30" s="34" t="e">
        <f>IF(B30="","",VLOOKUP($B30,#REF!,4,FALSE))</f>
        <v>#REF!</v>
      </c>
      <c r="F30" s="34" t="e">
        <f>IF(E30="","",VLOOKUP($B30,#REF!,5,FALSE))</f>
        <v>#REF!</v>
      </c>
      <c r="G30" s="34" t="e">
        <f>IF(F30="","",VLOOKUP($B30,#REF!,6,FALSE))</f>
        <v>#REF!</v>
      </c>
      <c r="H30" s="34" t="e">
        <f>IF(G30="","",VLOOKUP($B30,#REF!,7,FALSE))</f>
        <v>#REF!</v>
      </c>
      <c r="I30" s="25"/>
      <c r="J30" s="25"/>
      <c r="K30" s="25"/>
      <c r="L30" s="25"/>
      <c r="M30" s="25"/>
      <c r="N30" s="25"/>
      <c r="O30" s="33">
        <f t="shared" si="0"/>
        <v>0</v>
      </c>
      <c r="P30" s="25"/>
      <c r="Q30" s="25">
        <v>0</v>
      </c>
      <c r="R30" s="25"/>
      <c r="S30" s="25"/>
      <c r="T30" s="25">
        <v>1</v>
      </c>
      <c r="U30" s="25"/>
      <c r="V30" s="39"/>
      <c r="W30" s="25"/>
      <c r="X30" s="33">
        <f t="shared" si="1"/>
        <v>1</v>
      </c>
      <c r="Y30" s="39">
        <v>46400</v>
      </c>
      <c r="Z30" s="25">
        <v>46400</v>
      </c>
      <c r="AA30" s="45" t="s">
        <v>135</v>
      </c>
      <c r="AB30" s="45" t="s">
        <v>179</v>
      </c>
      <c r="AC30" s="45"/>
      <c r="AD30" s="45"/>
      <c r="AE30" s="45"/>
    </row>
    <row r="31" spans="1:31" s="12" customFormat="1" ht="12">
      <c r="A31" s="27">
        <v>45597</v>
      </c>
      <c r="B31" s="53" t="s">
        <v>11</v>
      </c>
      <c r="C31" s="37" t="s">
        <v>135</v>
      </c>
      <c r="D31" s="34" t="s">
        <v>179</v>
      </c>
      <c r="E31" s="34" t="e">
        <f>IF(B31="","",VLOOKUP($B31,#REF!,4,FALSE))</f>
        <v>#REF!</v>
      </c>
      <c r="F31" s="34" t="e">
        <f>IF(E31="","",VLOOKUP($B31,#REF!,5,FALSE))</f>
        <v>#REF!</v>
      </c>
      <c r="G31" s="34" t="e">
        <f>IF(F31="","",VLOOKUP($B31,#REF!,6,FALSE))</f>
        <v>#REF!</v>
      </c>
      <c r="H31" s="34" t="e">
        <f>IF(G31="","",VLOOKUP($B31,#REF!,7,FALSE))</f>
        <v>#REF!</v>
      </c>
      <c r="I31" s="25"/>
      <c r="J31" s="25"/>
      <c r="K31" s="25"/>
      <c r="L31" s="25"/>
      <c r="M31" s="25"/>
      <c r="N31" s="25"/>
      <c r="O31" s="33">
        <f t="shared" si="0"/>
        <v>0</v>
      </c>
      <c r="P31" s="25"/>
      <c r="Q31" s="25">
        <v>0</v>
      </c>
      <c r="R31" s="25"/>
      <c r="S31" s="25"/>
      <c r="T31" s="25">
        <v>1</v>
      </c>
      <c r="U31" s="25"/>
      <c r="V31" s="39"/>
      <c r="W31" s="25"/>
      <c r="X31" s="33">
        <f t="shared" si="1"/>
        <v>1</v>
      </c>
      <c r="Y31" s="39">
        <v>44000</v>
      </c>
      <c r="Z31" s="25">
        <v>44000</v>
      </c>
      <c r="AA31" s="45" t="s">
        <v>135</v>
      </c>
      <c r="AB31" s="45" t="s">
        <v>179</v>
      </c>
      <c r="AC31" s="45"/>
      <c r="AD31" s="45"/>
      <c r="AE31" s="45"/>
    </row>
    <row r="32" spans="1:31" s="12" customFormat="1" ht="12">
      <c r="A32" s="27">
        <v>45597</v>
      </c>
      <c r="B32" s="53" t="s">
        <v>10</v>
      </c>
      <c r="C32" s="37" t="s">
        <v>83</v>
      </c>
      <c r="D32" s="34" t="s">
        <v>185</v>
      </c>
      <c r="E32" s="34" t="e">
        <f>IF(B32="","",VLOOKUP($B32,#REF!,4,FALSE))</f>
        <v>#REF!</v>
      </c>
      <c r="F32" s="34" t="e">
        <f>IF(E32="","",VLOOKUP($B32,#REF!,5,FALSE))</f>
        <v>#REF!</v>
      </c>
      <c r="G32" s="34" t="e">
        <f>IF(F32="","",VLOOKUP($B32,#REF!,6,FALSE))</f>
        <v>#REF!</v>
      </c>
      <c r="H32" s="34" t="e">
        <f>IF(G32="","",VLOOKUP($B32,#REF!,7,FALSE))</f>
        <v>#REF!</v>
      </c>
      <c r="I32" s="25"/>
      <c r="J32" s="25"/>
      <c r="K32" s="25"/>
      <c r="L32" s="25"/>
      <c r="M32" s="25"/>
      <c r="N32" s="25"/>
      <c r="O32" s="33">
        <f t="shared" si="0"/>
        <v>0</v>
      </c>
      <c r="P32" s="25"/>
      <c r="Q32" s="25">
        <v>0</v>
      </c>
      <c r="R32" s="25"/>
      <c r="S32" s="25"/>
      <c r="T32" s="25">
        <v>15</v>
      </c>
      <c r="U32" s="25"/>
      <c r="V32" s="39"/>
      <c r="W32" s="25"/>
      <c r="X32" s="33">
        <f t="shared" si="1"/>
        <v>15</v>
      </c>
      <c r="Y32" s="39"/>
      <c r="Z32" s="25">
        <v>0</v>
      </c>
      <c r="AA32" s="45" t="s">
        <v>245</v>
      </c>
      <c r="AB32" s="45"/>
      <c r="AC32" s="45"/>
      <c r="AD32" s="45"/>
      <c r="AE32" s="45"/>
    </row>
    <row r="33" spans="1:31" s="12" customFormat="1" ht="12">
      <c r="A33" s="27">
        <v>45597</v>
      </c>
      <c r="B33" s="53" t="s">
        <v>62</v>
      </c>
      <c r="C33" s="37">
        <v>0</v>
      </c>
      <c r="D33" s="34" t="s">
        <v>183</v>
      </c>
      <c r="E33" s="34" t="e">
        <f>IF(B33="","",VLOOKUP($B33,#REF!,4,FALSE))</f>
        <v>#REF!</v>
      </c>
      <c r="F33" s="34" t="e">
        <f>IF(E33="","",VLOOKUP($B33,#REF!,5,FALSE))</f>
        <v>#REF!</v>
      </c>
      <c r="G33" s="34" t="e">
        <f>IF(F33="","",VLOOKUP($B33,#REF!,6,FALSE))</f>
        <v>#REF!</v>
      </c>
      <c r="H33" s="34" t="e">
        <f>IF(G33="","",VLOOKUP($B33,#REF!,7,FALSE))</f>
        <v>#REF!</v>
      </c>
      <c r="I33" s="25"/>
      <c r="J33" s="25"/>
      <c r="K33" s="25"/>
      <c r="L33" s="25"/>
      <c r="M33" s="25"/>
      <c r="N33" s="25"/>
      <c r="O33" s="33">
        <f t="shared" si="0"/>
        <v>0</v>
      </c>
      <c r="P33" s="25"/>
      <c r="Q33" s="25">
        <v>0</v>
      </c>
      <c r="R33" s="25"/>
      <c r="S33" s="25"/>
      <c r="T33" s="25">
        <v>15</v>
      </c>
      <c r="U33" s="25"/>
      <c r="V33" s="39"/>
      <c r="W33" s="25"/>
      <c r="X33" s="33">
        <f t="shared" si="1"/>
        <v>15</v>
      </c>
      <c r="Y33" s="39"/>
      <c r="Z33" s="25">
        <v>0</v>
      </c>
      <c r="AA33" s="45" t="s">
        <v>245</v>
      </c>
      <c r="AB33" s="45"/>
      <c r="AC33" s="45"/>
      <c r="AD33" s="45"/>
      <c r="AE33" s="45"/>
    </row>
    <row r="34" spans="1:31" s="12" customFormat="1" ht="12">
      <c r="A34" s="27">
        <v>45597</v>
      </c>
      <c r="B34" s="53" t="s">
        <v>171</v>
      </c>
      <c r="C34" s="37" t="s">
        <v>85</v>
      </c>
      <c r="D34" s="34" t="s">
        <v>192</v>
      </c>
      <c r="E34" s="34" t="e">
        <f>IF(B34="","",VLOOKUP($B34,#REF!,4,FALSE))</f>
        <v>#REF!</v>
      </c>
      <c r="F34" s="34" t="e">
        <f>IF(E34="","",VLOOKUP($B34,#REF!,5,FALSE))</f>
        <v>#REF!</v>
      </c>
      <c r="G34" s="34" t="e">
        <f>IF(F34="","",VLOOKUP($B34,#REF!,6,FALSE))</f>
        <v>#REF!</v>
      </c>
      <c r="H34" s="34" t="e">
        <f>IF(G34="","",VLOOKUP($B34,#REF!,7,FALSE))</f>
        <v>#REF!</v>
      </c>
      <c r="I34" s="25"/>
      <c r="J34" s="25"/>
      <c r="K34" s="25">
        <v>14</v>
      </c>
      <c r="L34" s="25"/>
      <c r="M34" s="25"/>
      <c r="N34" s="25"/>
      <c r="O34" s="33">
        <f t="shared" si="0"/>
        <v>14</v>
      </c>
      <c r="P34" s="25"/>
      <c r="Q34" s="25">
        <v>0</v>
      </c>
      <c r="R34" s="25"/>
      <c r="S34" s="25"/>
      <c r="T34" s="25">
        <v>14</v>
      </c>
      <c r="U34" s="25"/>
      <c r="V34" s="39"/>
      <c r="W34" s="25"/>
      <c r="X34" s="33">
        <f t="shared" si="1"/>
        <v>14</v>
      </c>
      <c r="Y34" s="39">
        <v>53400</v>
      </c>
      <c r="Z34" s="25">
        <v>747600</v>
      </c>
      <c r="AA34" s="45" t="s">
        <v>218</v>
      </c>
      <c r="AB34" s="45"/>
      <c r="AC34" s="45"/>
      <c r="AD34" s="45"/>
      <c r="AE34" s="45"/>
    </row>
    <row r="35" spans="1:31" s="13" customFormat="1" ht="12">
      <c r="A35" s="27">
        <v>45597</v>
      </c>
      <c r="B35" s="53" t="s">
        <v>67</v>
      </c>
      <c r="C35" s="37" t="s">
        <v>85</v>
      </c>
      <c r="D35" s="34" t="s">
        <v>192</v>
      </c>
      <c r="E35" s="34" t="e">
        <f>IF(B35="","",VLOOKUP($B35,#REF!,4,FALSE))</f>
        <v>#REF!</v>
      </c>
      <c r="F35" s="34" t="e">
        <f>IF(E35="","",VLOOKUP($B35,#REF!,5,FALSE))</f>
        <v>#REF!</v>
      </c>
      <c r="G35" s="34" t="e">
        <f>IF(F35="","",VLOOKUP($B35,#REF!,6,FALSE))</f>
        <v>#REF!</v>
      </c>
      <c r="H35" s="34" t="e">
        <f>IF(G35="","",VLOOKUP($B35,#REF!,7,FALSE))</f>
        <v>#REF!</v>
      </c>
      <c r="I35" s="25"/>
      <c r="J35" s="25"/>
      <c r="K35" s="25">
        <v>8</v>
      </c>
      <c r="L35" s="25"/>
      <c r="M35" s="25"/>
      <c r="N35" s="25"/>
      <c r="O35" s="33">
        <f t="shared" si="0"/>
        <v>8</v>
      </c>
      <c r="P35" s="25"/>
      <c r="Q35" s="25">
        <v>0</v>
      </c>
      <c r="R35" s="25"/>
      <c r="S35" s="25"/>
      <c r="T35" s="25">
        <v>8</v>
      </c>
      <c r="U35" s="25"/>
      <c r="V35" s="39"/>
      <c r="W35" s="25"/>
      <c r="X35" s="33">
        <f t="shared" si="1"/>
        <v>8</v>
      </c>
      <c r="Y35" s="39">
        <v>110000</v>
      </c>
      <c r="Z35" s="25">
        <v>880000</v>
      </c>
      <c r="AA35" s="45" t="s">
        <v>218</v>
      </c>
      <c r="AB35" s="45"/>
      <c r="AC35" s="45"/>
      <c r="AD35" s="45"/>
      <c r="AE35" s="45"/>
    </row>
    <row r="36" spans="1:31" s="12" customFormat="1" ht="12" customHeight="1">
      <c r="A36" s="27">
        <v>45597</v>
      </c>
      <c r="B36" s="73" t="s">
        <v>171</v>
      </c>
      <c r="C36" s="37" t="s">
        <v>85</v>
      </c>
      <c r="D36" s="34" t="s">
        <v>192</v>
      </c>
      <c r="E36" s="34" t="e">
        <f>IF(B36="","",VLOOKUP($B36,#REF!,4,FALSE))</f>
        <v>#REF!</v>
      </c>
      <c r="F36" s="34" t="e">
        <f>IF(E36="","",VLOOKUP($B36,#REF!,5,FALSE))</f>
        <v>#REF!</v>
      </c>
      <c r="G36" s="34" t="e">
        <f>IF(F36="","",VLOOKUP($B36,#REF!,6,FALSE))</f>
        <v>#REF!</v>
      </c>
      <c r="H36" s="34" t="e">
        <f>IF(G36="","",VLOOKUP($B36,#REF!,7,FALSE))</f>
        <v>#REF!</v>
      </c>
      <c r="I36" s="25"/>
      <c r="J36" s="25"/>
      <c r="K36" s="25">
        <v>1</v>
      </c>
      <c r="L36" s="25"/>
      <c r="M36" s="25"/>
      <c r="N36" s="25"/>
      <c r="O36" s="33">
        <f t="shared" si="0"/>
        <v>1</v>
      </c>
      <c r="P36" s="25"/>
      <c r="Q36" s="25">
        <v>0</v>
      </c>
      <c r="R36" s="25"/>
      <c r="S36" s="25"/>
      <c r="T36" s="25">
        <v>1</v>
      </c>
      <c r="U36" s="25"/>
      <c r="V36" s="39"/>
      <c r="W36" s="25"/>
      <c r="X36" s="33">
        <f t="shared" si="1"/>
        <v>1</v>
      </c>
      <c r="Y36" s="39">
        <v>53400</v>
      </c>
      <c r="Z36" s="25">
        <v>53400</v>
      </c>
      <c r="AA36" s="45" t="s">
        <v>217</v>
      </c>
      <c r="AB36" s="45"/>
      <c r="AC36" s="45"/>
      <c r="AD36" s="45"/>
      <c r="AE36" s="45"/>
    </row>
    <row r="37" spans="1:31" s="12" customFormat="1" ht="12">
      <c r="A37" s="27">
        <v>45597</v>
      </c>
      <c r="B37" s="53" t="s">
        <v>67</v>
      </c>
      <c r="C37" s="37" t="s">
        <v>85</v>
      </c>
      <c r="D37" s="34" t="s">
        <v>192</v>
      </c>
      <c r="E37" s="34" t="e">
        <f>IF(B37="","",VLOOKUP($B37,#REF!,4,FALSE))</f>
        <v>#REF!</v>
      </c>
      <c r="F37" s="34" t="e">
        <f>IF(E37="","",VLOOKUP($B37,#REF!,5,FALSE))</f>
        <v>#REF!</v>
      </c>
      <c r="G37" s="34" t="e">
        <f>IF(F37="","",VLOOKUP($B37,#REF!,6,FALSE))</f>
        <v>#REF!</v>
      </c>
      <c r="H37" s="34" t="e">
        <f>IF(G37="","",VLOOKUP($B37,#REF!,7,FALSE))</f>
        <v>#REF!</v>
      </c>
      <c r="I37" s="25"/>
      <c r="J37" s="25"/>
      <c r="K37" s="25">
        <v>7</v>
      </c>
      <c r="L37" s="25"/>
      <c r="M37" s="25"/>
      <c r="N37" s="25"/>
      <c r="O37" s="33">
        <f t="shared" si="0"/>
        <v>7</v>
      </c>
      <c r="P37" s="25"/>
      <c r="Q37" s="25">
        <v>0</v>
      </c>
      <c r="R37" s="25"/>
      <c r="S37" s="25"/>
      <c r="T37" s="25">
        <v>7</v>
      </c>
      <c r="U37" s="25"/>
      <c r="V37" s="39"/>
      <c r="W37" s="25"/>
      <c r="X37" s="33">
        <f t="shared" si="1"/>
        <v>7</v>
      </c>
      <c r="Y37" s="39">
        <v>110000</v>
      </c>
      <c r="Z37" s="25">
        <v>770000</v>
      </c>
      <c r="AA37" s="45" t="s">
        <v>217</v>
      </c>
      <c r="AB37" s="45"/>
      <c r="AC37" s="45"/>
      <c r="AD37" s="45"/>
      <c r="AE37" s="45"/>
    </row>
    <row r="38" spans="1:31" s="12" customFormat="1" ht="12">
      <c r="A38" s="27">
        <v>45597</v>
      </c>
      <c r="B38" s="28" t="s">
        <v>15</v>
      </c>
      <c r="C38" s="37" t="s">
        <v>83</v>
      </c>
      <c r="D38" s="34" t="s">
        <v>185</v>
      </c>
      <c r="E38" s="34" t="e">
        <f>IF(B38="","",VLOOKUP($B38,#REF!,4,FALSE))</f>
        <v>#REF!</v>
      </c>
      <c r="F38" s="34" t="e">
        <f>IF(E38="","",VLOOKUP($B38,#REF!,5,FALSE))</f>
        <v>#REF!</v>
      </c>
      <c r="G38" s="34" t="e">
        <f>IF(F38="","",VLOOKUP($B38,#REF!,6,FALSE))</f>
        <v>#REF!</v>
      </c>
      <c r="H38" s="34" t="e">
        <f>IF(G38="","",VLOOKUP($B38,#REF!,7,FALSE))</f>
        <v>#REF!</v>
      </c>
      <c r="I38" s="25"/>
      <c r="J38" s="25"/>
      <c r="K38" s="25"/>
      <c r="L38" s="25"/>
      <c r="M38" s="25"/>
      <c r="N38" s="25"/>
      <c r="O38" s="33">
        <f t="shared" si="0"/>
        <v>0</v>
      </c>
      <c r="P38" s="25"/>
      <c r="Q38" s="25">
        <v>0</v>
      </c>
      <c r="R38" s="25"/>
      <c r="S38" s="25"/>
      <c r="T38" s="25">
        <v>1</v>
      </c>
      <c r="U38" s="25"/>
      <c r="V38" s="39"/>
      <c r="W38" s="25"/>
      <c r="X38" s="33">
        <f t="shared" si="1"/>
        <v>1</v>
      </c>
      <c r="Y38" s="39"/>
      <c r="Z38" s="25">
        <v>0</v>
      </c>
      <c r="AA38" s="45" t="s">
        <v>245</v>
      </c>
      <c r="AB38" s="45"/>
      <c r="AC38" s="45"/>
      <c r="AD38" s="45"/>
      <c r="AE38" s="45"/>
    </row>
    <row r="39" spans="1:31" s="12" customFormat="1" ht="12">
      <c r="A39" s="27">
        <v>45597</v>
      </c>
      <c r="B39" s="73" t="s">
        <v>197</v>
      </c>
      <c r="C39" s="37" t="s">
        <v>85</v>
      </c>
      <c r="D39" s="34" t="s">
        <v>192</v>
      </c>
      <c r="E39" s="34" t="e">
        <f>IF(B39="","",VLOOKUP($B39,#REF!,4,FALSE))</f>
        <v>#REF!</v>
      </c>
      <c r="F39" s="34" t="e">
        <f>IF(E39="","",VLOOKUP($B39,#REF!,5,FALSE))</f>
        <v>#REF!</v>
      </c>
      <c r="G39" s="34" t="e">
        <f>IF(F39="","",VLOOKUP($B39,#REF!,6,FALSE))</f>
        <v>#REF!</v>
      </c>
      <c r="H39" s="34" t="e">
        <f>IF(G39="","",VLOOKUP($B39,#REF!,7,FALSE))</f>
        <v>#REF!</v>
      </c>
      <c r="I39" s="25"/>
      <c r="J39" s="25"/>
      <c r="K39" s="25">
        <v>1</v>
      </c>
      <c r="L39" s="25"/>
      <c r="M39" s="25"/>
      <c r="N39" s="25"/>
      <c r="O39" s="33">
        <f t="shared" si="0"/>
        <v>1</v>
      </c>
      <c r="P39" s="25"/>
      <c r="Q39" s="25">
        <v>0</v>
      </c>
      <c r="R39" s="25"/>
      <c r="S39" s="25"/>
      <c r="T39" s="25">
        <v>1</v>
      </c>
      <c r="U39" s="25"/>
      <c r="V39" s="39"/>
      <c r="W39" s="25"/>
      <c r="X39" s="33">
        <f t="shared" si="1"/>
        <v>1</v>
      </c>
      <c r="Y39" s="39">
        <v>69600</v>
      </c>
      <c r="Z39" s="25">
        <v>69600</v>
      </c>
      <c r="AA39" s="45" t="s">
        <v>217</v>
      </c>
      <c r="AB39" s="45"/>
      <c r="AC39" s="45"/>
      <c r="AD39" s="45"/>
      <c r="AE39" s="45"/>
    </row>
    <row r="40" spans="1:31" s="12" customFormat="1" ht="12">
      <c r="A40" s="27">
        <v>45597</v>
      </c>
      <c r="B40" s="28" t="s">
        <v>78</v>
      </c>
      <c r="C40" s="37" t="s">
        <v>87</v>
      </c>
      <c r="D40" s="34" t="s">
        <v>111</v>
      </c>
      <c r="E40" s="34" t="e">
        <f>IF(B40="","",VLOOKUP($B40,#REF!,4,FALSE))</f>
        <v>#REF!</v>
      </c>
      <c r="F40" s="34" t="e">
        <f>IF(E40="","",VLOOKUP($B40,#REF!,5,FALSE))</f>
        <v>#REF!</v>
      </c>
      <c r="G40" s="34" t="e">
        <f>IF(F40="","",VLOOKUP($B40,#REF!,6,FALSE))</f>
        <v>#REF!</v>
      </c>
      <c r="H40" s="34" t="e">
        <f>IF(G40="","",VLOOKUP($B40,#REF!,7,FALSE))</f>
        <v>#REF!</v>
      </c>
      <c r="I40" s="25"/>
      <c r="J40" s="25"/>
      <c r="K40" s="25"/>
      <c r="L40" s="25"/>
      <c r="M40" s="25"/>
      <c r="N40" s="25"/>
      <c r="O40" s="33">
        <f t="shared" si="0"/>
        <v>0</v>
      </c>
      <c r="P40" s="25"/>
      <c r="Q40" s="25">
        <v>0</v>
      </c>
      <c r="R40" s="25"/>
      <c r="S40" s="25"/>
      <c r="T40" s="25">
        <v>2</v>
      </c>
      <c r="U40" s="25"/>
      <c r="V40" s="39"/>
      <c r="W40" s="25"/>
      <c r="X40" s="33">
        <f t="shared" si="1"/>
        <v>2</v>
      </c>
      <c r="Y40" s="39"/>
      <c r="Z40" s="25">
        <v>0</v>
      </c>
      <c r="AA40" s="45" t="s">
        <v>210</v>
      </c>
      <c r="AB40" s="45"/>
      <c r="AC40" s="45"/>
      <c r="AD40" s="45"/>
      <c r="AE40" s="45"/>
    </row>
    <row r="41" spans="1:31" s="12" customFormat="1" ht="12">
      <c r="A41" s="27">
        <v>45597</v>
      </c>
      <c r="B41" s="28" t="s">
        <v>201</v>
      </c>
      <c r="C41" s="37" t="s">
        <v>146</v>
      </c>
      <c r="D41" s="34" t="s">
        <v>174</v>
      </c>
      <c r="E41" s="34" t="e">
        <f>IF(B41="","",VLOOKUP($B41,#REF!,4,FALSE))</f>
        <v>#REF!</v>
      </c>
      <c r="F41" s="34" t="e">
        <f>IF(E41="","",VLOOKUP($B41,#REF!,5,FALSE))</f>
        <v>#REF!</v>
      </c>
      <c r="G41" s="34" t="e">
        <f>IF(F41="","",VLOOKUP($B41,#REF!,6,FALSE))</f>
        <v>#REF!</v>
      </c>
      <c r="H41" s="34" t="e">
        <f>IF(G41="","",VLOOKUP($B41,#REF!,7,FALSE))</f>
        <v>#REF!</v>
      </c>
      <c r="I41" s="25"/>
      <c r="J41" s="25"/>
      <c r="K41" s="25"/>
      <c r="L41" s="25"/>
      <c r="M41" s="25"/>
      <c r="N41" s="25"/>
      <c r="O41" s="33">
        <f t="shared" si="0"/>
        <v>0</v>
      </c>
      <c r="P41" s="25"/>
      <c r="Q41" s="25">
        <v>0</v>
      </c>
      <c r="R41" s="25"/>
      <c r="S41" s="25">
        <v>1000</v>
      </c>
      <c r="T41" s="25"/>
      <c r="U41" s="25"/>
      <c r="V41" s="39"/>
      <c r="W41" s="25"/>
      <c r="X41" s="33">
        <f t="shared" si="1"/>
        <v>1000</v>
      </c>
      <c r="Y41" s="39">
        <f>Z41/X41</f>
        <v>23118.15</v>
      </c>
      <c r="Z41" s="39">
        <v>23118150</v>
      </c>
      <c r="AA41" s="45" t="s">
        <v>155</v>
      </c>
      <c r="AB41" s="45" t="s">
        <v>146</v>
      </c>
      <c r="AC41" s="45" t="s">
        <v>174</v>
      </c>
      <c r="AD41" s="45"/>
      <c r="AE41" s="45"/>
    </row>
    <row r="42" spans="1:31" s="12" customFormat="1" ht="12">
      <c r="A42" s="27">
        <v>45597</v>
      </c>
      <c r="B42" s="28" t="s">
        <v>36</v>
      </c>
      <c r="C42" s="37" t="s">
        <v>146</v>
      </c>
      <c r="D42" s="34" t="s">
        <v>174</v>
      </c>
      <c r="E42" s="34" t="e">
        <f>IF(B42="","",VLOOKUP($B42,#REF!,4,FALSE))</f>
        <v>#REF!</v>
      </c>
      <c r="F42" s="34" t="e">
        <f>IF(E42="","",VLOOKUP($B42,#REF!,5,FALSE))</f>
        <v>#REF!</v>
      </c>
      <c r="G42" s="34" t="e">
        <f>IF(F42="","",VLOOKUP($B42,#REF!,6,FALSE))</f>
        <v>#REF!</v>
      </c>
      <c r="H42" s="34" t="e">
        <f>IF(G42="","",VLOOKUP($B42,#REF!,7,FALSE))</f>
        <v>#REF!</v>
      </c>
      <c r="I42" s="25"/>
      <c r="J42" s="25"/>
      <c r="K42" s="25"/>
      <c r="L42" s="25"/>
      <c r="M42" s="25"/>
      <c r="N42" s="25"/>
      <c r="O42" s="33">
        <f t="shared" si="0"/>
        <v>0</v>
      </c>
      <c r="P42" s="25"/>
      <c r="Q42" s="25">
        <v>0</v>
      </c>
      <c r="R42" s="25"/>
      <c r="S42" s="25">
        <v>350</v>
      </c>
      <c r="T42" s="25"/>
      <c r="U42" s="25"/>
      <c r="V42" s="39"/>
      <c r="W42" s="25"/>
      <c r="X42" s="33">
        <f t="shared" si="1"/>
        <v>350</v>
      </c>
      <c r="Y42" s="39">
        <f>Z42/X42</f>
        <v>23118.14857142857</v>
      </c>
      <c r="Z42" s="39">
        <v>8091352</v>
      </c>
      <c r="AA42" s="45" t="s">
        <v>155</v>
      </c>
      <c r="AB42" s="45" t="s">
        <v>146</v>
      </c>
      <c r="AC42" s="45" t="s">
        <v>174</v>
      </c>
      <c r="AD42" s="45"/>
      <c r="AE42" s="45"/>
    </row>
    <row r="43" spans="1:31" s="12" customFormat="1" ht="12">
      <c r="A43" s="27">
        <v>45597</v>
      </c>
      <c r="B43" s="29" t="s">
        <v>20</v>
      </c>
      <c r="C43" s="37" t="s">
        <v>129</v>
      </c>
      <c r="D43" s="34" t="s">
        <v>181</v>
      </c>
      <c r="E43" s="34" t="e">
        <f>IF(B43="","",VLOOKUP($B43,#REF!,4,FALSE))</f>
        <v>#REF!</v>
      </c>
      <c r="F43" s="34" t="e">
        <f>IF(E43="","",VLOOKUP($B43,#REF!,5,FALSE))</f>
        <v>#REF!</v>
      </c>
      <c r="G43" s="34" t="e">
        <f>IF(F43="","",VLOOKUP($B43,#REF!,6,FALSE))</f>
        <v>#REF!</v>
      </c>
      <c r="H43" s="34" t="e">
        <f>IF(G43="","",VLOOKUP($B43,#REF!,7,FALSE))</f>
        <v>#REF!</v>
      </c>
      <c r="I43" s="25"/>
      <c r="J43" s="25"/>
      <c r="K43" s="25"/>
      <c r="L43" s="25"/>
      <c r="M43" s="25"/>
      <c r="N43" s="25"/>
      <c r="O43" s="33">
        <f t="shared" si="0"/>
        <v>0</v>
      </c>
      <c r="P43" s="25"/>
      <c r="Q43" s="25">
        <v>0</v>
      </c>
      <c r="R43" s="25"/>
      <c r="S43" s="25">
        <v>2400</v>
      </c>
      <c r="T43" s="25"/>
      <c r="U43" s="25"/>
      <c r="V43" s="39"/>
      <c r="W43" s="25"/>
      <c r="X43" s="33">
        <f t="shared" si="1"/>
        <v>2400</v>
      </c>
      <c r="Y43" s="39">
        <f>Z43/X43</f>
        <v>5775.5945833333335</v>
      </c>
      <c r="Z43" s="39">
        <v>13861427</v>
      </c>
      <c r="AA43" s="45" t="s">
        <v>154</v>
      </c>
      <c r="AB43" s="45" t="s">
        <v>129</v>
      </c>
      <c r="AC43" s="45" t="s">
        <v>181</v>
      </c>
      <c r="AD43" s="45"/>
      <c r="AE43" s="45"/>
    </row>
    <row r="44" spans="1:31" s="12" customFormat="1" ht="12">
      <c r="A44" s="27">
        <v>45597</v>
      </c>
      <c r="B44" s="53" t="s">
        <v>30</v>
      </c>
      <c r="C44" s="37" t="s">
        <v>117</v>
      </c>
      <c r="D44" s="34" t="s">
        <v>225</v>
      </c>
      <c r="E44" s="34" t="e">
        <f>IF(B44="","",VLOOKUP($B44,#REF!,4,FALSE))</f>
        <v>#REF!</v>
      </c>
      <c r="F44" s="34" t="e">
        <f>IF(E44="","",VLOOKUP($B44,#REF!,5,FALSE))</f>
        <v>#REF!</v>
      </c>
      <c r="G44" s="34" t="e">
        <f>IF(F44="","",VLOOKUP($B44,#REF!,6,FALSE))</f>
        <v>#REF!</v>
      </c>
      <c r="H44" s="34" t="e">
        <f>IF(G44="","",VLOOKUP($B44,#REF!,7,FALSE))</f>
        <v>#REF!</v>
      </c>
      <c r="I44" s="25"/>
      <c r="J44" s="25">
        <v>1920</v>
      </c>
      <c r="K44" s="25"/>
      <c r="L44" s="25"/>
      <c r="M44" s="25"/>
      <c r="N44" s="25"/>
      <c r="O44" s="33">
        <f t="shared" si="0"/>
        <v>1920</v>
      </c>
      <c r="P44" s="25">
        <v>17000</v>
      </c>
      <c r="Q44" s="25">
        <v>32640000</v>
      </c>
      <c r="R44" s="25"/>
      <c r="S44" s="25"/>
      <c r="T44" s="25"/>
      <c r="U44" s="25"/>
      <c r="V44" s="39"/>
      <c r="W44" s="25"/>
      <c r="X44" s="33">
        <f t="shared" si="1"/>
        <v>0</v>
      </c>
      <c r="Y44" s="39"/>
      <c r="Z44" s="25">
        <v>0</v>
      </c>
      <c r="AA44" s="45" t="s">
        <v>117</v>
      </c>
      <c r="AB44" s="45" t="s">
        <v>158</v>
      </c>
      <c r="AC44" s="45"/>
      <c r="AD44" s="45"/>
      <c r="AE44" s="45"/>
    </row>
    <row r="45" spans="1:31" s="12" customFormat="1" ht="12">
      <c r="A45" s="27">
        <v>45597</v>
      </c>
      <c r="B45" s="53" t="s">
        <v>30</v>
      </c>
      <c r="C45" s="37" t="s">
        <v>129</v>
      </c>
      <c r="D45" s="34" t="s">
        <v>181</v>
      </c>
      <c r="E45" s="34" t="e">
        <f>IF(B45="","",VLOOKUP($B45,#REF!,4,FALSE))</f>
        <v>#REF!</v>
      </c>
      <c r="F45" s="34" t="e">
        <f>IF(E45="","",VLOOKUP($B45,#REF!,5,FALSE))</f>
        <v>#REF!</v>
      </c>
      <c r="G45" s="34" t="e">
        <f>IF(F45="","",VLOOKUP($B45,#REF!,6,FALSE))</f>
        <v>#REF!</v>
      </c>
      <c r="H45" s="34" t="e">
        <f>IF(G45="","",VLOOKUP($B45,#REF!,7,FALSE))</f>
        <v>#REF!</v>
      </c>
      <c r="I45" s="25"/>
      <c r="J45" s="25"/>
      <c r="K45" s="25"/>
      <c r="L45" s="25"/>
      <c r="M45" s="25"/>
      <c r="N45" s="25"/>
      <c r="O45" s="33">
        <f t="shared" si="0"/>
        <v>0</v>
      </c>
      <c r="P45" s="25"/>
      <c r="Q45" s="25">
        <v>0</v>
      </c>
      <c r="R45" s="25"/>
      <c r="S45" s="25">
        <v>1920</v>
      </c>
      <c r="T45" s="25"/>
      <c r="U45" s="25"/>
      <c r="V45" s="39"/>
      <c r="W45" s="25"/>
      <c r="X45" s="33">
        <f t="shared" si="1"/>
        <v>1920</v>
      </c>
      <c r="Y45" s="39">
        <f>Z45/X45</f>
        <v>19648.121875000001</v>
      </c>
      <c r="Z45" s="39">
        <v>37724394</v>
      </c>
      <c r="AA45" s="45" t="s">
        <v>154</v>
      </c>
      <c r="AB45" s="45" t="s">
        <v>129</v>
      </c>
      <c r="AC45" s="45" t="s">
        <v>181</v>
      </c>
      <c r="AD45" s="45"/>
      <c r="AE45" s="45"/>
    </row>
    <row r="46" spans="1:31" s="12" customFormat="1" ht="12">
      <c r="A46" s="27">
        <v>45597</v>
      </c>
      <c r="B46" s="53" t="s">
        <v>229</v>
      </c>
      <c r="C46" s="37" t="s">
        <v>117</v>
      </c>
      <c r="D46" s="34" t="s">
        <v>225</v>
      </c>
      <c r="E46" s="34" t="e">
        <f>IF(B46="","",VLOOKUP($B46,#REF!,4,FALSE))</f>
        <v>#REF!</v>
      </c>
      <c r="F46" s="34" t="e">
        <f>IF(E46="","",VLOOKUP($B46,#REF!,5,FALSE))</f>
        <v>#REF!</v>
      </c>
      <c r="G46" s="34" t="e">
        <f>IF(F46="","",VLOOKUP($B46,#REF!,6,FALSE))</f>
        <v>#REF!</v>
      </c>
      <c r="H46" s="34" t="e">
        <f>IF(G46="","",VLOOKUP($B46,#REF!,7,FALSE))</f>
        <v>#REF!</v>
      </c>
      <c r="I46" s="25"/>
      <c r="J46" s="25"/>
      <c r="K46" s="25"/>
      <c r="L46" s="25"/>
      <c r="M46" s="25"/>
      <c r="N46" s="25"/>
      <c r="O46" s="33">
        <f t="shared" si="0"/>
        <v>0</v>
      </c>
      <c r="P46" s="25"/>
      <c r="Q46" s="25">
        <v>0</v>
      </c>
      <c r="R46" s="25"/>
      <c r="S46" s="25"/>
      <c r="T46" s="25"/>
      <c r="U46" s="25">
        <v>8064</v>
      </c>
      <c r="V46" s="39"/>
      <c r="W46" s="25"/>
      <c r="X46" s="33">
        <f t="shared" si="1"/>
        <v>8064</v>
      </c>
      <c r="Y46" s="39">
        <v>9800</v>
      </c>
      <c r="Z46" s="25">
        <v>79027200</v>
      </c>
      <c r="AA46" s="45" t="s">
        <v>117</v>
      </c>
      <c r="AB46" s="45" t="s">
        <v>158</v>
      </c>
      <c r="AC46" s="45"/>
      <c r="AD46" s="45"/>
      <c r="AE46" s="45"/>
    </row>
    <row r="47" spans="1:31" s="12" customFormat="1" ht="12">
      <c r="A47" s="27">
        <v>45597</v>
      </c>
      <c r="B47" s="74" t="s">
        <v>35</v>
      </c>
      <c r="C47" s="37" t="s">
        <v>141</v>
      </c>
      <c r="D47" s="34" t="s">
        <v>173</v>
      </c>
      <c r="E47" s="34" t="e">
        <f>IF(B47="","",VLOOKUP($B47,#REF!,4,FALSE))</f>
        <v>#REF!</v>
      </c>
      <c r="F47" s="34" t="e">
        <f>IF(E47="","",VLOOKUP($B47,#REF!,5,FALSE))</f>
        <v>#REF!</v>
      </c>
      <c r="G47" s="34" t="e">
        <f>IF(F47="","",VLOOKUP($B47,#REF!,6,FALSE))</f>
        <v>#REF!</v>
      </c>
      <c r="H47" s="34" t="e">
        <f>IF(G47="","",VLOOKUP($B47,#REF!,7,FALSE))</f>
        <v>#REF!</v>
      </c>
      <c r="I47" s="25"/>
      <c r="J47" s="25"/>
      <c r="K47" s="25"/>
      <c r="L47" s="25"/>
      <c r="M47" s="25"/>
      <c r="N47" s="25"/>
      <c r="O47" s="33">
        <f t="shared" si="0"/>
        <v>0</v>
      </c>
      <c r="P47" s="25"/>
      <c r="Q47" s="25">
        <v>0</v>
      </c>
      <c r="R47" s="25">
        <v>960</v>
      </c>
      <c r="S47" s="25"/>
      <c r="T47" s="25"/>
      <c r="U47" s="25"/>
      <c r="V47" s="39"/>
      <c r="W47" s="25"/>
      <c r="X47" s="33">
        <f t="shared" si="1"/>
        <v>960</v>
      </c>
      <c r="Y47" s="39">
        <f>Z47/X47</f>
        <v>87344.754166666666</v>
      </c>
      <c r="Z47" s="39">
        <v>83850964</v>
      </c>
      <c r="AA47" s="45" t="s">
        <v>154</v>
      </c>
      <c r="AB47" s="45" t="s">
        <v>141</v>
      </c>
      <c r="AC47" s="45" t="s">
        <v>173</v>
      </c>
      <c r="AD47" s="45"/>
      <c r="AE47" s="45"/>
    </row>
    <row r="48" spans="1:31" s="12" customFormat="1" ht="12">
      <c r="A48" s="27">
        <v>45597</v>
      </c>
      <c r="B48" s="74" t="s">
        <v>14</v>
      </c>
      <c r="C48" s="37" t="s">
        <v>84</v>
      </c>
      <c r="D48" s="34" t="s">
        <v>184</v>
      </c>
      <c r="E48" s="34" t="e">
        <f>IF(B48="","",VLOOKUP($B48,#REF!,4,FALSE))</f>
        <v>#REF!</v>
      </c>
      <c r="F48" s="34" t="e">
        <f>IF(E48="","",VLOOKUP($B48,#REF!,5,FALSE))</f>
        <v>#REF!</v>
      </c>
      <c r="G48" s="34" t="e">
        <f>IF(F48="","",VLOOKUP($B48,#REF!,6,FALSE))</f>
        <v>#REF!</v>
      </c>
      <c r="H48" s="34" t="e">
        <f>IF(G48="","",VLOOKUP($B48,#REF!,7,FALSE))</f>
        <v>#REF!</v>
      </c>
      <c r="I48" s="25"/>
      <c r="J48" s="25"/>
      <c r="K48" s="25"/>
      <c r="L48" s="25"/>
      <c r="M48" s="25"/>
      <c r="N48" s="25"/>
      <c r="O48" s="33">
        <f t="shared" si="0"/>
        <v>0</v>
      </c>
      <c r="P48" s="25"/>
      <c r="Q48" s="25">
        <v>0</v>
      </c>
      <c r="R48" s="25"/>
      <c r="S48" s="25"/>
      <c r="T48" s="25">
        <v>23</v>
      </c>
      <c r="U48" s="25"/>
      <c r="V48" s="39"/>
      <c r="W48" s="25"/>
      <c r="X48" s="33">
        <f t="shared" si="1"/>
        <v>23</v>
      </c>
      <c r="Y48" s="39">
        <v>51200</v>
      </c>
      <c r="Z48" s="25">
        <v>1177600</v>
      </c>
      <c r="AA48" s="45" t="s">
        <v>254</v>
      </c>
      <c r="AB48" s="45"/>
      <c r="AC48" s="45"/>
      <c r="AD48" s="45"/>
      <c r="AE48" s="45"/>
    </row>
    <row r="49" spans="1:31" s="12" customFormat="1" ht="12">
      <c r="A49" s="27">
        <v>45597</v>
      </c>
      <c r="B49" s="74" t="s">
        <v>12</v>
      </c>
      <c r="C49" s="37" t="s">
        <v>84</v>
      </c>
      <c r="D49" s="34" t="s">
        <v>184</v>
      </c>
      <c r="E49" s="34" t="e">
        <f>IF(B49="","",VLOOKUP($B49,#REF!,4,FALSE))</f>
        <v>#REF!</v>
      </c>
      <c r="F49" s="34" t="e">
        <f>IF(E49="","",VLOOKUP($B49,#REF!,5,FALSE))</f>
        <v>#REF!</v>
      </c>
      <c r="G49" s="34" t="e">
        <f>IF(F49="","",VLOOKUP($B49,#REF!,6,FALSE))</f>
        <v>#REF!</v>
      </c>
      <c r="H49" s="34" t="e">
        <f>IF(G49="","",VLOOKUP($B49,#REF!,7,FALSE))</f>
        <v>#REF!</v>
      </c>
      <c r="I49" s="25"/>
      <c r="J49" s="25"/>
      <c r="K49" s="25"/>
      <c r="L49" s="25"/>
      <c r="M49" s="25"/>
      <c r="N49" s="25"/>
      <c r="O49" s="33">
        <f t="shared" si="0"/>
        <v>0</v>
      </c>
      <c r="P49" s="25"/>
      <c r="Q49" s="25">
        <v>0</v>
      </c>
      <c r="R49" s="25"/>
      <c r="S49" s="25"/>
      <c r="T49" s="25">
        <v>2</v>
      </c>
      <c r="U49" s="25"/>
      <c r="V49" s="39"/>
      <c r="W49" s="25"/>
      <c r="X49" s="33">
        <f t="shared" si="1"/>
        <v>2</v>
      </c>
      <c r="Y49" s="39">
        <v>41820</v>
      </c>
      <c r="Z49" s="25">
        <v>83636</v>
      </c>
      <c r="AA49" s="45" t="s">
        <v>254</v>
      </c>
      <c r="AB49" s="45"/>
      <c r="AC49" s="45"/>
      <c r="AD49" s="45"/>
      <c r="AE49" s="45"/>
    </row>
    <row r="50" spans="1:31" s="12" customFormat="1" ht="12">
      <c r="A50" s="27">
        <v>45597</v>
      </c>
      <c r="B50" s="74" t="s">
        <v>32</v>
      </c>
      <c r="C50" s="37" t="s">
        <v>84</v>
      </c>
      <c r="D50" s="34" t="s">
        <v>184</v>
      </c>
      <c r="E50" s="34" t="e">
        <f>IF(B50="","",VLOOKUP($B50,#REF!,4,FALSE))</f>
        <v>#REF!</v>
      </c>
      <c r="F50" s="34" t="e">
        <f>IF(E50="","",VLOOKUP($B50,#REF!,5,FALSE))</f>
        <v>#REF!</v>
      </c>
      <c r="G50" s="34" t="e">
        <f>IF(F50="","",VLOOKUP($B50,#REF!,6,FALSE))</f>
        <v>#REF!</v>
      </c>
      <c r="H50" s="34" t="e">
        <f>IF(G50="","",VLOOKUP($B50,#REF!,7,FALSE))</f>
        <v>#REF!</v>
      </c>
      <c r="I50" s="25"/>
      <c r="J50" s="25"/>
      <c r="K50" s="25"/>
      <c r="L50" s="25"/>
      <c r="M50" s="25"/>
      <c r="N50" s="25"/>
      <c r="O50" s="33">
        <f t="shared" si="0"/>
        <v>0</v>
      </c>
      <c r="P50" s="25"/>
      <c r="Q50" s="25">
        <v>0</v>
      </c>
      <c r="R50" s="25"/>
      <c r="S50" s="25"/>
      <c r="T50" s="25">
        <v>14</v>
      </c>
      <c r="U50" s="25"/>
      <c r="V50" s="39"/>
      <c r="W50" s="25"/>
      <c r="X50" s="33">
        <f t="shared" si="1"/>
        <v>14</v>
      </c>
      <c r="Y50" s="39">
        <v>81816</v>
      </c>
      <c r="Z50" s="25">
        <v>1145455</v>
      </c>
      <c r="AA50" s="45" t="s">
        <v>254</v>
      </c>
      <c r="AB50" s="45"/>
      <c r="AC50" s="45"/>
      <c r="AD50" s="45"/>
      <c r="AE50" s="45"/>
    </row>
    <row r="51" spans="1:31" s="12" customFormat="1" ht="12">
      <c r="A51" s="27">
        <v>45597</v>
      </c>
      <c r="B51" s="74" t="s">
        <v>198</v>
      </c>
      <c r="C51" s="37" t="s">
        <v>84</v>
      </c>
      <c r="D51" s="34" t="s">
        <v>184</v>
      </c>
      <c r="E51" s="34" t="e">
        <f>IF(B51="","",VLOOKUP($B51,#REF!,4,FALSE))</f>
        <v>#REF!</v>
      </c>
      <c r="F51" s="34" t="e">
        <f>IF(E51="","",VLOOKUP($B51,#REF!,5,FALSE))</f>
        <v>#REF!</v>
      </c>
      <c r="G51" s="34" t="e">
        <f>IF(F51="","",VLOOKUP($B51,#REF!,6,FALSE))</f>
        <v>#REF!</v>
      </c>
      <c r="H51" s="34" t="e">
        <f>IF(G51="","",VLOOKUP($B51,#REF!,7,FALSE))</f>
        <v>#REF!</v>
      </c>
      <c r="I51" s="25"/>
      <c r="J51" s="25"/>
      <c r="K51" s="25"/>
      <c r="L51" s="25"/>
      <c r="M51" s="25"/>
      <c r="N51" s="25"/>
      <c r="O51" s="33">
        <f t="shared" si="0"/>
        <v>0</v>
      </c>
      <c r="P51" s="25"/>
      <c r="Q51" s="25">
        <v>0</v>
      </c>
      <c r="R51" s="25"/>
      <c r="S51" s="25"/>
      <c r="T51" s="25">
        <v>2</v>
      </c>
      <c r="U51" s="25"/>
      <c r="V51" s="39"/>
      <c r="W51" s="25"/>
      <c r="X51" s="33">
        <f t="shared" si="1"/>
        <v>2</v>
      </c>
      <c r="Y51" s="39">
        <v>76360</v>
      </c>
      <c r="Z51" s="25">
        <v>152727</v>
      </c>
      <c r="AA51" s="45" t="s">
        <v>254</v>
      </c>
      <c r="AB51" s="45"/>
      <c r="AC51" s="45"/>
      <c r="AD51" s="45"/>
      <c r="AE51" s="45"/>
    </row>
    <row r="52" spans="1:31" s="12" customFormat="1" ht="12">
      <c r="A52" s="27">
        <v>45597</v>
      </c>
      <c r="B52" s="74" t="s">
        <v>63</v>
      </c>
      <c r="C52" s="37" t="s">
        <v>84</v>
      </c>
      <c r="D52" s="34" t="s">
        <v>184</v>
      </c>
      <c r="E52" s="34" t="e">
        <f>IF(B52="","",VLOOKUP($B52,#REF!,4,FALSE))</f>
        <v>#REF!</v>
      </c>
      <c r="F52" s="34" t="e">
        <f>IF(E52="","",VLOOKUP($B52,#REF!,5,FALSE))</f>
        <v>#REF!</v>
      </c>
      <c r="G52" s="34" t="e">
        <f>IF(F52="","",VLOOKUP($B52,#REF!,6,FALSE))</f>
        <v>#REF!</v>
      </c>
      <c r="H52" s="34" t="e">
        <f>IF(G52="","",VLOOKUP($B52,#REF!,7,FALSE))</f>
        <v>#REF!</v>
      </c>
      <c r="I52" s="25"/>
      <c r="J52" s="25"/>
      <c r="K52" s="25"/>
      <c r="L52" s="25"/>
      <c r="M52" s="25"/>
      <c r="N52" s="25"/>
      <c r="O52" s="33">
        <f t="shared" si="0"/>
        <v>0</v>
      </c>
      <c r="P52" s="25"/>
      <c r="Q52" s="25">
        <v>0</v>
      </c>
      <c r="R52" s="25"/>
      <c r="S52" s="25"/>
      <c r="T52" s="25">
        <v>5</v>
      </c>
      <c r="U52" s="25"/>
      <c r="V52" s="39"/>
      <c r="W52" s="25"/>
      <c r="X52" s="33">
        <f t="shared" si="1"/>
        <v>5</v>
      </c>
      <c r="Y52" s="39">
        <v>130000</v>
      </c>
      <c r="Z52" s="25">
        <v>650000</v>
      </c>
      <c r="AA52" s="45" t="s">
        <v>254</v>
      </c>
      <c r="AB52" s="45"/>
      <c r="AC52" s="45"/>
      <c r="AD52" s="45"/>
      <c r="AE52" s="45"/>
    </row>
    <row r="53" spans="1:31" s="12" customFormat="1" ht="12">
      <c r="A53" s="27">
        <v>45597</v>
      </c>
      <c r="B53" s="53" t="s">
        <v>64</v>
      </c>
      <c r="C53" s="37" t="s">
        <v>84</v>
      </c>
      <c r="D53" s="34" t="s">
        <v>184</v>
      </c>
      <c r="E53" s="34" t="e">
        <f>IF(B53="","",VLOOKUP($B53,#REF!,4,FALSE))</f>
        <v>#REF!</v>
      </c>
      <c r="F53" s="34" t="e">
        <f>IF(E53="","",VLOOKUP($B53,#REF!,5,FALSE))</f>
        <v>#REF!</v>
      </c>
      <c r="G53" s="34" t="e">
        <f>IF(F53="","",VLOOKUP($B53,#REF!,6,FALSE))</f>
        <v>#REF!</v>
      </c>
      <c r="H53" s="34" t="e">
        <f>IF(G53="","",VLOOKUP($B53,#REF!,7,FALSE))</f>
        <v>#REF!</v>
      </c>
      <c r="I53" s="25"/>
      <c r="J53" s="25"/>
      <c r="K53" s="25"/>
      <c r="L53" s="25"/>
      <c r="M53" s="25"/>
      <c r="N53" s="25"/>
      <c r="O53" s="33">
        <f t="shared" si="0"/>
        <v>0</v>
      </c>
      <c r="P53" s="25"/>
      <c r="Q53" s="25">
        <v>0</v>
      </c>
      <c r="R53" s="25"/>
      <c r="S53" s="25"/>
      <c r="T53" s="25">
        <v>4</v>
      </c>
      <c r="U53" s="25"/>
      <c r="V53" s="39"/>
      <c r="W53" s="25"/>
      <c r="X53" s="33">
        <f t="shared" si="1"/>
        <v>4</v>
      </c>
      <c r="Y53" s="39">
        <v>94550</v>
      </c>
      <c r="Z53" s="25">
        <v>378182</v>
      </c>
      <c r="AA53" s="45" t="s">
        <v>254</v>
      </c>
      <c r="AB53" s="45"/>
      <c r="AC53" s="45"/>
      <c r="AD53" s="45"/>
      <c r="AE53" s="45"/>
    </row>
    <row r="54" spans="1:31" s="12" customFormat="1" ht="12">
      <c r="A54" s="27">
        <v>45597</v>
      </c>
      <c r="B54" s="47" t="s">
        <v>58</v>
      </c>
      <c r="C54" s="37" t="s">
        <v>82</v>
      </c>
      <c r="D54" s="34" t="s">
        <v>186</v>
      </c>
      <c r="E54" s="34" t="e">
        <f>IF(B54="","",VLOOKUP($B54,#REF!,4,FALSE))</f>
        <v>#REF!</v>
      </c>
      <c r="F54" s="34" t="e">
        <f>IF(E54="","",VLOOKUP($B54,#REF!,5,FALSE))</f>
        <v>#REF!</v>
      </c>
      <c r="G54" s="34" t="e">
        <f>IF(F54="","",VLOOKUP($B54,#REF!,6,FALSE))</f>
        <v>#REF!</v>
      </c>
      <c r="H54" s="34" t="e">
        <f>IF(G54="","",VLOOKUP($B54,#REF!,7,FALSE))</f>
        <v>#REF!</v>
      </c>
      <c r="I54" s="25"/>
      <c r="J54" s="25"/>
      <c r="K54" s="25"/>
      <c r="L54" s="25"/>
      <c r="M54" s="25"/>
      <c r="N54" s="25"/>
      <c r="O54" s="33">
        <f t="shared" si="0"/>
        <v>0</v>
      </c>
      <c r="P54" s="25"/>
      <c r="Q54" s="25">
        <v>0</v>
      </c>
      <c r="R54" s="25"/>
      <c r="S54" s="25"/>
      <c r="T54" s="25"/>
      <c r="U54" s="25"/>
      <c r="V54" s="39">
        <v>132</v>
      </c>
      <c r="W54" s="25"/>
      <c r="X54" s="33">
        <f t="shared" si="1"/>
        <v>132</v>
      </c>
      <c r="Y54" s="39">
        <v>170880</v>
      </c>
      <c r="Z54" s="25">
        <v>22556160</v>
      </c>
      <c r="AA54" s="45"/>
      <c r="AB54" s="45"/>
      <c r="AC54" s="45"/>
      <c r="AD54" s="45"/>
      <c r="AE54" s="45"/>
    </row>
    <row r="55" spans="1:31" s="12" customFormat="1" ht="12">
      <c r="A55" s="27">
        <v>45597</v>
      </c>
      <c r="B55" s="53" t="s">
        <v>219</v>
      </c>
      <c r="C55" s="37" t="s">
        <v>82</v>
      </c>
      <c r="D55" s="34" t="s">
        <v>186</v>
      </c>
      <c r="E55" s="34" t="e">
        <f>IF(B55="","",VLOOKUP($B55,#REF!,4,FALSE))</f>
        <v>#REF!</v>
      </c>
      <c r="F55" s="34" t="e">
        <f>IF(E55="","",VLOOKUP($B55,#REF!,5,FALSE))</f>
        <v>#REF!</v>
      </c>
      <c r="G55" s="34" t="e">
        <f>IF(F55="","",VLOOKUP($B55,#REF!,6,FALSE))</f>
        <v>#REF!</v>
      </c>
      <c r="H55" s="34" t="e">
        <f>IF(G55="","",VLOOKUP($B55,#REF!,7,FALSE))</f>
        <v>#REF!</v>
      </c>
      <c r="I55" s="25"/>
      <c r="J55" s="25"/>
      <c r="K55" s="25"/>
      <c r="L55" s="25"/>
      <c r="M55" s="25"/>
      <c r="N55" s="25"/>
      <c r="O55" s="33">
        <f t="shared" si="0"/>
        <v>0</v>
      </c>
      <c r="P55" s="25"/>
      <c r="Q55" s="25">
        <v>0</v>
      </c>
      <c r="R55" s="25"/>
      <c r="S55" s="25"/>
      <c r="T55" s="25"/>
      <c r="U55" s="25"/>
      <c r="V55" s="39">
        <v>192</v>
      </c>
      <c r="W55" s="25"/>
      <c r="X55" s="33">
        <f t="shared" si="1"/>
        <v>192</v>
      </c>
      <c r="Y55" s="39">
        <v>235000</v>
      </c>
      <c r="Z55" s="25">
        <v>45120000</v>
      </c>
      <c r="AA55" s="45"/>
      <c r="AB55" s="45"/>
      <c r="AC55" s="45"/>
      <c r="AD55" s="45"/>
      <c r="AE55" s="45"/>
    </row>
    <row r="56" spans="1:31" s="12" customFormat="1" ht="12">
      <c r="A56" s="27">
        <v>45597</v>
      </c>
      <c r="B56" s="53" t="s">
        <v>57</v>
      </c>
      <c r="C56" s="37" t="s">
        <v>82</v>
      </c>
      <c r="D56" s="34" t="s">
        <v>186</v>
      </c>
      <c r="E56" s="34" t="e">
        <f>IF(B56="","",VLOOKUP($B56,#REF!,4,FALSE))</f>
        <v>#REF!</v>
      </c>
      <c r="F56" s="34" t="e">
        <f>IF(E56="","",VLOOKUP($B56,#REF!,5,FALSE))</f>
        <v>#REF!</v>
      </c>
      <c r="G56" s="34" t="e">
        <f>IF(F56="","",VLOOKUP($B56,#REF!,6,FALSE))</f>
        <v>#REF!</v>
      </c>
      <c r="H56" s="34" t="e">
        <f>IF(G56="","",VLOOKUP($B56,#REF!,7,FALSE))</f>
        <v>#REF!</v>
      </c>
      <c r="I56" s="25"/>
      <c r="J56" s="25"/>
      <c r="K56" s="25"/>
      <c r="L56" s="25"/>
      <c r="M56" s="25"/>
      <c r="N56" s="25"/>
      <c r="O56" s="33">
        <f t="shared" si="0"/>
        <v>0</v>
      </c>
      <c r="P56" s="25"/>
      <c r="Q56" s="25">
        <v>0</v>
      </c>
      <c r="R56" s="25"/>
      <c r="S56" s="25"/>
      <c r="T56" s="25"/>
      <c r="U56" s="25"/>
      <c r="V56" s="39">
        <v>224</v>
      </c>
      <c r="W56" s="25"/>
      <c r="X56" s="33">
        <f t="shared" si="1"/>
        <v>224</v>
      </c>
      <c r="Y56" s="39">
        <v>163800</v>
      </c>
      <c r="Z56" s="25">
        <v>36691200</v>
      </c>
      <c r="AA56" s="45"/>
      <c r="AB56" s="45"/>
      <c r="AC56" s="45"/>
      <c r="AD56" s="45"/>
      <c r="AE56" s="45"/>
    </row>
    <row r="57" spans="1:31" s="12" customFormat="1" ht="12">
      <c r="A57" s="27">
        <v>45597</v>
      </c>
      <c r="B57" s="53" t="s">
        <v>160</v>
      </c>
      <c r="C57" s="37" t="s">
        <v>82</v>
      </c>
      <c r="D57" s="34" t="s">
        <v>186</v>
      </c>
      <c r="E57" s="34" t="e">
        <f>IF(B57="","",VLOOKUP($B57,#REF!,4,FALSE))</f>
        <v>#REF!</v>
      </c>
      <c r="F57" s="34" t="e">
        <f>IF(E57="","",VLOOKUP($B57,#REF!,5,FALSE))</f>
        <v>#REF!</v>
      </c>
      <c r="G57" s="34" t="e">
        <f>IF(F57="","",VLOOKUP($B57,#REF!,6,FALSE))</f>
        <v>#REF!</v>
      </c>
      <c r="H57" s="34" t="e">
        <f>IF(G57="","",VLOOKUP($B57,#REF!,7,FALSE))</f>
        <v>#REF!</v>
      </c>
      <c r="I57" s="25"/>
      <c r="J57" s="25"/>
      <c r="K57" s="25"/>
      <c r="L57" s="25"/>
      <c r="M57" s="25"/>
      <c r="N57" s="25"/>
      <c r="O57" s="33">
        <f t="shared" si="0"/>
        <v>0</v>
      </c>
      <c r="P57" s="25"/>
      <c r="Q57" s="25">
        <v>0</v>
      </c>
      <c r="R57" s="25"/>
      <c r="S57" s="25"/>
      <c r="T57" s="25"/>
      <c r="U57" s="25"/>
      <c r="V57" s="39">
        <v>12</v>
      </c>
      <c r="W57" s="25"/>
      <c r="X57" s="33">
        <f t="shared" si="1"/>
        <v>12</v>
      </c>
      <c r="Y57" s="39">
        <v>100300</v>
      </c>
      <c r="Z57" s="25">
        <v>1203600</v>
      </c>
      <c r="AA57" s="45"/>
      <c r="AB57" s="45"/>
      <c r="AC57" s="45"/>
      <c r="AD57" s="45"/>
      <c r="AE57" s="45"/>
    </row>
    <row r="58" spans="1:31" s="12" customFormat="1" ht="12">
      <c r="A58" s="27">
        <v>45597</v>
      </c>
      <c r="B58" s="53" t="s">
        <v>24</v>
      </c>
      <c r="C58" s="37" t="s">
        <v>82</v>
      </c>
      <c r="D58" s="34" t="s">
        <v>186</v>
      </c>
      <c r="E58" s="34" t="e">
        <f>IF(B58="","",VLOOKUP($B58,#REF!,4,FALSE))</f>
        <v>#REF!</v>
      </c>
      <c r="F58" s="34" t="e">
        <f>IF(E58="","",VLOOKUP($B58,#REF!,5,FALSE))</f>
        <v>#REF!</v>
      </c>
      <c r="G58" s="34" t="e">
        <f>IF(F58="","",VLOOKUP($B58,#REF!,6,FALSE))</f>
        <v>#REF!</v>
      </c>
      <c r="H58" s="34" t="e">
        <f>IF(G58="","",VLOOKUP($B58,#REF!,7,FALSE))</f>
        <v>#REF!</v>
      </c>
      <c r="I58" s="25"/>
      <c r="J58" s="25"/>
      <c r="K58" s="25"/>
      <c r="L58" s="25"/>
      <c r="M58" s="25"/>
      <c r="N58" s="25"/>
      <c r="O58" s="33">
        <f t="shared" si="0"/>
        <v>0</v>
      </c>
      <c r="P58" s="25"/>
      <c r="Q58" s="25">
        <v>0</v>
      </c>
      <c r="R58" s="25"/>
      <c r="S58" s="25"/>
      <c r="T58" s="25"/>
      <c r="U58" s="25"/>
      <c r="V58" s="39">
        <v>168</v>
      </c>
      <c r="W58" s="25"/>
      <c r="X58" s="33">
        <f t="shared" si="1"/>
        <v>168</v>
      </c>
      <c r="Y58" s="39">
        <v>124920</v>
      </c>
      <c r="Z58" s="25">
        <v>20986560</v>
      </c>
      <c r="AA58" s="45"/>
      <c r="AB58" s="45"/>
      <c r="AC58" s="45"/>
      <c r="AD58" s="45"/>
      <c r="AE58" s="45"/>
    </row>
    <row r="59" spans="1:31" s="12" customFormat="1" ht="12">
      <c r="A59" s="27">
        <v>45597</v>
      </c>
      <c r="B59" s="53" t="s">
        <v>160</v>
      </c>
      <c r="C59" s="37" t="s">
        <v>82</v>
      </c>
      <c r="D59" s="34" t="s">
        <v>186</v>
      </c>
      <c r="E59" s="34" t="e">
        <f>IF(B59="","",VLOOKUP($B59,#REF!,4,FALSE))</f>
        <v>#REF!</v>
      </c>
      <c r="F59" s="34" t="e">
        <f>IF(E59="","",VLOOKUP($B59,#REF!,5,FALSE))</f>
        <v>#REF!</v>
      </c>
      <c r="G59" s="34" t="e">
        <f>IF(F59="","",VLOOKUP($B59,#REF!,6,FALSE))</f>
        <v>#REF!</v>
      </c>
      <c r="H59" s="34" t="e">
        <f>IF(G59="","",VLOOKUP($B59,#REF!,7,FALSE))</f>
        <v>#REF!</v>
      </c>
      <c r="I59" s="25"/>
      <c r="J59" s="25"/>
      <c r="K59" s="25"/>
      <c r="L59" s="25"/>
      <c r="M59" s="25"/>
      <c r="N59" s="25"/>
      <c r="O59" s="33">
        <f t="shared" si="0"/>
        <v>0</v>
      </c>
      <c r="P59" s="25"/>
      <c r="Q59" s="25">
        <v>0</v>
      </c>
      <c r="R59" s="25"/>
      <c r="S59" s="25"/>
      <c r="T59" s="25"/>
      <c r="U59" s="25"/>
      <c r="V59" s="39">
        <v>36</v>
      </c>
      <c r="W59" s="25"/>
      <c r="X59" s="33">
        <f t="shared" si="1"/>
        <v>36</v>
      </c>
      <c r="Y59" s="39">
        <v>100300</v>
      </c>
      <c r="Z59" s="25">
        <v>3610800</v>
      </c>
      <c r="AA59" s="45"/>
      <c r="AB59" s="45"/>
      <c r="AC59" s="45"/>
      <c r="AD59" s="45"/>
      <c r="AE59" s="45"/>
    </row>
    <row r="60" spans="1:31" s="12" customFormat="1" ht="12">
      <c r="A60" s="27">
        <v>45597</v>
      </c>
      <c r="B60" s="53" t="s">
        <v>188</v>
      </c>
      <c r="C60" s="37" t="s">
        <v>82</v>
      </c>
      <c r="D60" s="34" t="s">
        <v>186</v>
      </c>
      <c r="E60" s="34" t="e">
        <f>IF(B60="","",VLOOKUP($B60,#REF!,4,FALSE))</f>
        <v>#REF!</v>
      </c>
      <c r="F60" s="34" t="e">
        <f>IF(E60="","",VLOOKUP($B60,#REF!,5,FALSE))</f>
        <v>#REF!</v>
      </c>
      <c r="G60" s="34" t="e">
        <f>IF(F60="","",VLOOKUP($B60,#REF!,6,FALSE))</f>
        <v>#REF!</v>
      </c>
      <c r="H60" s="34" t="e">
        <f>IF(G60="","",VLOOKUP($B60,#REF!,7,FALSE))</f>
        <v>#REF!</v>
      </c>
      <c r="I60" s="25"/>
      <c r="J60" s="25"/>
      <c r="K60" s="25"/>
      <c r="L60" s="25"/>
      <c r="M60" s="25"/>
      <c r="N60" s="25"/>
      <c r="O60" s="33">
        <f t="shared" si="0"/>
        <v>0</v>
      </c>
      <c r="P60" s="25"/>
      <c r="Q60" s="25">
        <v>0</v>
      </c>
      <c r="R60" s="25"/>
      <c r="S60" s="25"/>
      <c r="T60" s="25"/>
      <c r="U60" s="25"/>
      <c r="V60" s="39">
        <v>156</v>
      </c>
      <c r="W60" s="25"/>
      <c r="X60" s="33">
        <f t="shared" si="1"/>
        <v>156</v>
      </c>
      <c r="Y60" s="39">
        <v>128000</v>
      </c>
      <c r="Z60" s="25">
        <v>19968000</v>
      </c>
      <c r="AA60" s="45"/>
      <c r="AB60" s="45"/>
      <c r="AC60" s="45"/>
      <c r="AD60" s="45"/>
      <c r="AE60" s="45"/>
    </row>
    <row r="61" spans="1:31" s="12" customFormat="1" ht="12">
      <c r="A61" s="27">
        <v>45597</v>
      </c>
      <c r="B61" s="53" t="s">
        <v>28</v>
      </c>
      <c r="C61" s="37" t="s">
        <v>82</v>
      </c>
      <c r="D61" s="34" t="s">
        <v>186</v>
      </c>
      <c r="E61" s="34" t="e">
        <f>IF(B61="","",VLOOKUP($B61,#REF!,4,FALSE))</f>
        <v>#REF!</v>
      </c>
      <c r="F61" s="34" t="e">
        <f>IF(E61="","",VLOOKUP($B61,#REF!,5,FALSE))</f>
        <v>#REF!</v>
      </c>
      <c r="G61" s="34" t="e">
        <f>IF(F61="","",VLOOKUP($B61,#REF!,6,FALSE))</f>
        <v>#REF!</v>
      </c>
      <c r="H61" s="34" t="e">
        <f>IF(G61="","",VLOOKUP($B61,#REF!,7,FALSE))</f>
        <v>#REF!</v>
      </c>
      <c r="I61" s="25"/>
      <c r="J61" s="25"/>
      <c r="K61" s="25"/>
      <c r="L61" s="25"/>
      <c r="M61" s="25"/>
      <c r="N61" s="25"/>
      <c r="O61" s="33">
        <f t="shared" si="0"/>
        <v>0</v>
      </c>
      <c r="P61" s="25"/>
      <c r="Q61" s="25">
        <v>0</v>
      </c>
      <c r="R61" s="25"/>
      <c r="S61" s="25"/>
      <c r="T61" s="25"/>
      <c r="U61" s="25"/>
      <c r="V61" s="39">
        <v>84</v>
      </c>
      <c r="W61" s="25"/>
      <c r="X61" s="33">
        <f t="shared" si="1"/>
        <v>84</v>
      </c>
      <c r="Y61" s="39">
        <v>186150</v>
      </c>
      <c r="Z61" s="25">
        <v>15636600</v>
      </c>
      <c r="AA61" s="45"/>
      <c r="AB61" s="45"/>
      <c r="AC61" s="45"/>
      <c r="AD61" s="45"/>
      <c r="AE61" s="45"/>
    </row>
    <row r="62" spans="1:31" s="12" customFormat="1" ht="12">
      <c r="A62" s="27">
        <v>45597</v>
      </c>
      <c r="B62" s="53" t="s">
        <v>160</v>
      </c>
      <c r="C62" s="37" t="s">
        <v>82</v>
      </c>
      <c r="D62" s="34" t="s">
        <v>186</v>
      </c>
      <c r="E62" s="34" t="e">
        <f>IF(B62="","",VLOOKUP($B62,#REF!,4,FALSE))</f>
        <v>#REF!</v>
      </c>
      <c r="F62" s="34" t="e">
        <f>IF(E62="","",VLOOKUP($B62,#REF!,5,FALSE))</f>
        <v>#REF!</v>
      </c>
      <c r="G62" s="34" t="e">
        <f>IF(F62="","",VLOOKUP($B62,#REF!,6,FALSE))</f>
        <v>#REF!</v>
      </c>
      <c r="H62" s="34" t="e">
        <f>IF(G62="","",VLOOKUP($B62,#REF!,7,FALSE))</f>
        <v>#REF!</v>
      </c>
      <c r="I62" s="25"/>
      <c r="J62" s="25"/>
      <c r="K62" s="25"/>
      <c r="L62" s="25"/>
      <c r="M62" s="25"/>
      <c r="N62" s="25"/>
      <c r="O62" s="33">
        <f t="shared" si="0"/>
        <v>0</v>
      </c>
      <c r="P62" s="25"/>
      <c r="Q62" s="25">
        <v>0</v>
      </c>
      <c r="R62" s="25"/>
      <c r="S62" s="25"/>
      <c r="T62" s="25"/>
      <c r="U62" s="25"/>
      <c r="V62" s="39">
        <v>156</v>
      </c>
      <c r="W62" s="25"/>
      <c r="X62" s="33">
        <f t="shared" si="1"/>
        <v>156</v>
      </c>
      <c r="Y62" s="39">
        <v>100300</v>
      </c>
      <c r="Z62" s="25">
        <v>15646800</v>
      </c>
      <c r="AA62" s="45"/>
      <c r="AB62" s="45"/>
      <c r="AC62" s="45"/>
      <c r="AD62" s="45"/>
      <c r="AE62" s="45"/>
    </row>
    <row r="63" spans="1:31" s="12" customFormat="1" ht="12">
      <c r="A63" s="27">
        <v>45597</v>
      </c>
      <c r="B63" s="53" t="s">
        <v>21</v>
      </c>
      <c r="C63" s="37" t="s">
        <v>82</v>
      </c>
      <c r="D63" s="34" t="s">
        <v>186</v>
      </c>
      <c r="E63" s="34" t="e">
        <f>IF(B63="","",VLOOKUP($B63,#REF!,4,FALSE))</f>
        <v>#REF!</v>
      </c>
      <c r="F63" s="34" t="e">
        <f>IF(E63="","",VLOOKUP($B63,#REF!,5,FALSE))</f>
        <v>#REF!</v>
      </c>
      <c r="G63" s="34" t="e">
        <f>IF(F63="","",VLOOKUP($B63,#REF!,6,FALSE))</f>
        <v>#REF!</v>
      </c>
      <c r="H63" s="34" t="e">
        <f>IF(G63="","",VLOOKUP($B63,#REF!,7,FALSE))</f>
        <v>#REF!</v>
      </c>
      <c r="I63" s="25"/>
      <c r="J63" s="25"/>
      <c r="K63" s="25"/>
      <c r="L63" s="25"/>
      <c r="M63" s="25"/>
      <c r="N63" s="25"/>
      <c r="O63" s="33">
        <f t="shared" si="0"/>
        <v>0</v>
      </c>
      <c r="P63" s="25"/>
      <c r="Q63" s="25">
        <v>0</v>
      </c>
      <c r="R63" s="25"/>
      <c r="S63" s="25"/>
      <c r="T63" s="25"/>
      <c r="U63" s="25"/>
      <c r="V63" s="39">
        <v>192</v>
      </c>
      <c r="W63" s="25"/>
      <c r="X63" s="33">
        <f t="shared" si="1"/>
        <v>192</v>
      </c>
      <c r="Y63" s="39">
        <v>81800</v>
      </c>
      <c r="Z63" s="25">
        <v>15705600</v>
      </c>
      <c r="AA63" s="45"/>
      <c r="AB63" s="45"/>
      <c r="AC63" s="45"/>
      <c r="AD63" s="45"/>
      <c r="AE63" s="45"/>
    </row>
    <row r="64" spans="1:31" s="12" customFormat="1" ht="12">
      <c r="A64" s="27">
        <v>45597</v>
      </c>
      <c r="B64" s="53" t="s">
        <v>160</v>
      </c>
      <c r="C64" s="37" t="s">
        <v>82</v>
      </c>
      <c r="D64" s="34" t="s">
        <v>186</v>
      </c>
      <c r="E64" s="34" t="e">
        <f>IF(B64="","",VLOOKUP($B64,#REF!,4,FALSE))</f>
        <v>#REF!</v>
      </c>
      <c r="F64" s="34" t="e">
        <f>IF(E64="","",VLOOKUP($B64,#REF!,5,FALSE))</f>
        <v>#REF!</v>
      </c>
      <c r="G64" s="34" t="e">
        <f>IF(F64="","",VLOOKUP($B64,#REF!,6,FALSE))</f>
        <v>#REF!</v>
      </c>
      <c r="H64" s="34" t="e">
        <f>IF(G64="","",VLOOKUP($B64,#REF!,7,FALSE))</f>
        <v>#REF!</v>
      </c>
      <c r="I64" s="25"/>
      <c r="J64" s="25"/>
      <c r="K64" s="25"/>
      <c r="L64" s="25"/>
      <c r="M64" s="25"/>
      <c r="N64" s="25"/>
      <c r="O64" s="33">
        <f t="shared" si="0"/>
        <v>0</v>
      </c>
      <c r="P64" s="25"/>
      <c r="Q64" s="25">
        <v>0</v>
      </c>
      <c r="R64" s="25"/>
      <c r="S64" s="25"/>
      <c r="T64" s="25"/>
      <c r="U64" s="25"/>
      <c r="V64" s="39">
        <v>48</v>
      </c>
      <c r="W64" s="25"/>
      <c r="X64" s="33">
        <f t="shared" si="1"/>
        <v>48</v>
      </c>
      <c r="Y64" s="39">
        <v>100300</v>
      </c>
      <c r="Z64" s="25">
        <v>4814400</v>
      </c>
      <c r="AA64" s="45"/>
      <c r="AB64" s="45"/>
      <c r="AC64" s="45"/>
      <c r="AD64" s="45"/>
      <c r="AE64" s="45"/>
    </row>
    <row r="65" spans="1:31" s="12" customFormat="1" ht="12">
      <c r="A65" s="27">
        <v>45597</v>
      </c>
      <c r="B65" s="53" t="s">
        <v>211</v>
      </c>
      <c r="C65" s="37" t="s">
        <v>82</v>
      </c>
      <c r="D65" s="34" t="s">
        <v>186</v>
      </c>
      <c r="E65" s="34" t="e">
        <f>IF(B65="","",VLOOKUP($B65,#REF!,4,FALSE))</f>
        <v>#REF!</v>
      </c>
      <c r="F65" s="34" t="e">
        <f>IF(E65="","",VLOOKUP($B65,#REF!,5,FALSE))</f>
        <v>#REF!</v>
      </c>
      <c r="G65" s="34" t="e">
        <f>IF(F65="","",VLOOKUP($B65,#REF!,6,FALSE))</f>
        <v>#REF!</v>
      </c>
      <c r="H65" s="34" t="e">
        <f>IF(G65="","",VLOOKUP($B65,#REF!,7,FALSE))</f>
        <v>#REF!</v>
      </c>
      <c r="I65" s="25"/>
      <c r="J65" s="25"/>
      <c r="K65" s="25"/>
      <c r="L65" s="25"/>
      <c r="M65" s="25"/>
      <c r="N65" s="25"/>
      <c r="O65" s="33">
        <f t="shared" si="0"/>
        <v>0</v>
      </c>
      <c r="P65" s="25"/>
      <c r="Q65" s="25">
        <v>0</v>
      </c>
      <c r="R65" s="25"/>
      <c r="S65" s="25"/>
      <c r="T65" s="25"/>
      <c r="U65" s="25"/>
      <c r="V65" s="39">
        <v>144</v>
      </c>
      <c r="W65" s="25"/>
      <c r="X65" s="33">
        <f t="shared" ref="X65:X128" si="2">SUM(R65:W65)</f>
        <v>144</v>
      </c>
      <c r="Y65" s="39">
        <v>46020</v>
      </c>
      <c r="Z65" s="25">
        <v>6626880</v>
      </c>
      <c r="AA65" s="45"/>
      <c r="AB65" s="45"/>
      <c r="AC65" s="45"/>
      <c r="AD65" s="45"/>
      <c r="AE65" s="45"/>
    </row>
    <row r="66" spans="1:31" s="12" customFormat="1" ht="12">
      <c r="A66" s="27">
        <v>45597</v>
      </c>
      <c r="B66" s="53" t="s">
        <v>211</v>
      </c>
      <c r="C66" s="37" t="s">
        <v>82</v>
      </c>
      <c r="D66" s="34" t="s">
        <v>186</v>
      </c>
      <c r="E66" s="34" t="e">
        <f>IF(B66="","",VLOOKUP($B66,#REF!,4,FALSE))</f>
        <v>#REF!</v>
      </c>
      <c r="F66" s="34" t="e">
        <f>IF(E66="","",VLOOKUP($B66,#REF!,5,FALSE))</f>
        <v>#REF!</v>
      </c>
      <c r="G66" s="34" t="e">
        <f>IF(F66="","",VLOOKUP($B66,#REF!,6,FALSE))</f>
        <v>#REF!</v>
      </c>
      <c r="H66" s="34" t="e">
        <f>IF(G66="","",VLOOKUP($B66,#REF!,7,FALSE))</f>
        <v>#REF!</v>
      </c>
      <c r="I66" s="25"/>
      <c r="J66" s="25"/>
      <c r="K66" s="25"/>
      <c r="L66" s="25"/>
      <c r="M66" s="25"/>
      <c r="N66" s="25"/>
      <c r="O66" s="33">
        <f t="shared" ref="O66:O129" si="3">SUM(I66:N66)</f>
        <v>0</v>
      </c>
      <c r="P66" s="25"/>
      <c r="Q66" s="25">
        <v>0</v>
      </c>
      <c r="R66" s="25"/>
      <c r="S66" s="25"/>
      <c r="T66" s="25"/>
      <c r="U66" s="25"/>
      <c r="V66" s="39">
        <v>192</v>
      </c>
      <c r="W66" s="25"/>
      <c r="X66" s="33">
        <f t="shared" si="2"/>
        <v>192</v>
      </c>
      <c r="Y66" s="39">
        <v>46020</v>
      </c>
      <c r="Z66" s="25">
        <v>8835840</v>
      </c>
      <c r="AA66" s="45"/>
      <c r="AB66" s="45"/>
      <c r="AC66" s="45"/>
      <c r="AD66" s="45"/>
      <c r="AE66" s="45"/>
    </row>
    <row r="67" spans="1:31" s="12" customFormat="1" ht="12">
      <c r="A67" s="27">
        <v>45597</v>
      </c>
      <c r="B67" s="53" t="s">
        <v>24</v>
      </c>
      <c r="C67" s="37" t="s">
        <v>82</v>
      </c>
      <c r="D67" s="34" t="s">
        <v>186</v>
      </c>
      <c r="E67" s="34" t="e">
        <f>IF(B67="","",VLOOKUP($B67,#REF!,4,FALSE))</f>
        <v>#REF!</v>
      </c>
      <c r="F67" s="34" t="e">
        <f>IF(E67="","",VLOOKUP($B67,#REF!,5,FALSE))</f>
        <v>#REF!</v>
      </c>
      <c r="G67" s="34" t="e">
        <f>IF(F67="","",VLOOKUP($B67,#REF!,6,FALSE))</f>
        <v>#REF!</v>
      </c>
      <c r="H67" s="34" t="e">
        <f>IF(G67="","",VLOOKUP($B67,#REF!,7,FALSE))</f>
        <v>#REF!</v>
      </c>
      <c r="I67" s="25"/>
      <c r="J67" s="25"/>
      <c r="K67" s="25"/>
      <c r="L67" s="25"/>
      <c r="M67" s="25"/>
      <c r="N67" s="25"/>
      <c r="O67" s="33">
        <f t="shared" si="3"/>
        <v>0</v>
      </c>
      <c r="P67" s="25"/>
      <c r="Q67" s="25">
        <v>0</v>
      </c>
      <c r="R67" s="25"/>
      <c r="S67" s="25"/>
      <c r="T67" s="25"/>
      <c r="U67" s="25"/>
      <c r="V67" s="39">
        <v>87</v>
      </c>
      <c r="W67" s="25"/>
      <c r="X67" s="33">
        <f t="shared" si="2"/>
        <v>87</v>
      </c>
      <c r="Y67" s="39">
        <v>124920</v>
      </c>
      <c r="Z67" s="25">
        <v>10868040</v>
      </c>
      <c r="AA67" s="45"/>
      <c r="AB67" s="45"/>
      <c r="AC67" s="45"/>
      <c r="AD67" s="45"/>
      <c r="AE67" s="45"/>
    </row>
    <row r="68" spans="1:31" s="12" customFormat="1" ht="12">
      <c r="A68" s="27">
        <v>45597</v>
      </c>
      <c r="B68" s="53" t="s">
        <v>13</v>
      </c>
      <c r="C68" s="37" t="s">
        <v>82</v>
      </c>
      <c r="D68" s="34" t="s">
        <v>186</v>
      </c>
      <c r="E68" s="34" t="e">
        <f>IF(B68="","",VLOOKUP($B68,#REF!,4,FALSE))</f>
        <v>#REF!</v>
      </c>
      <c r="F68" s="34" t="e">
        <f>IF(E68="","",VLOOKUP($B68,#REF!,5,FALSE))</f>
        <v>#REF!</v>
      </c>
      <c r="G68" s="34" t="e">
        <f>IF(F68="","",VLOOKUP($B68,#REF!,6,FALSE))</f>
        <v>#REF!</v>
      </c>
      <c r="H68" s="34" t="e">
        <f>IF(G68="","",VLOOKUP($B68,#REF!,7,FALSE))</f>
        <v>#REF!</v>
      </c>
      <c r="I68" s="25"/>
      <c r="J68" s="25"/>
      <c r="K68" s="25"/>
      <c r="L68" s="25"/>
      <c r="M68" s="25"/>
      <c r="N68" s="25"/>
      <c r="O68" s="33">
        <f t="shared" si="3"/>
        <v>0</v>
      </c>
      <c r="P68" s="25"/>
      <c r="Q68" s="25">
        <v>0</v>
      </c>
      <c r="R68" s="25"/>
      <c r="S68" s="25"/>
      <c r="T68" s="25"/>
      <c r="U68" s="25"/>
      <c r="V68" s="39">
        <v>9</v>
      </c>
      <c r="W68" s="25"/>
      <c r="X68" s="33">
        <f t="shared" si="2"/>
        <v>9</v>
      </c>
      <c r="Y68" s="39">
        <v>124920</v>
      </c>
      <c r="Z68" s="25">
        <v>1124280</v>
      </c>
      <c r="AA68" s="45"/>
      <c r="AB68" s="45"/>
      <c r="AC68" s="45"/>
      <c r="AD68" s="45"/>
      <c r="AE68" s="45"/>
    </row>
    <row r="69" spans="1:31" s="12" customFormat="1" ht="12">
      <c r="A69" s="27">
        <v>45597</v>
      </c>
      <c r="B69" s="53" t="s">
        <v>211</v>
      </c>
      <c r="C69" s="37" t="s">
        <v>82</v>
      </c>
      <c r="D69" s="34" t="s">
        <v>186</v>
      </c>
      <c r="E69" s="34" t="e">
        <f>IF(B69="","",VLOOKUP($B69,#REF!,4,FALSE))</f>
        <v>#REF!</v>
      </c>
      <c r="F69" s="34" t="e">
        <f>IF(E69="","",VLOOKUP($B69,#REF!,5,FALSE))</f>
        <v>#REF!</v>
      </c>
      <c r="G69" s="34" t="e">
        <f>IF(F69="","",VLOOKUP($B69,#REF!,6,FALSE))</f>
        <v>#REF!</v>
      </c>
      <c r="H69" s="34" t="e">
        <f>IF(G69="","",VLOOKUP($B69,#REF!,7,FALSE))</f>
        <v>#REF!</v>
      </c>
      <c r="I69" s="25"/>
      <c r="J69" s="25"/>
      <c r="K69" s="25"/>
      <c r="L69" s="25"/>
      <c r="M69" s="25"/>
      <c r="N69" s="25"/>
      <c r="O69" s="33">
        <f t="shared" si="3"/>
        <v>0</v>
      </c>
      <c r="P69" s="25"/>
      <c r="Q69" s="25">
        <v>0</v>
      </c>
      <c r="R69" s="25"/>
      <c r="S69" s="25"/>
      <c r="T69" s="25"/>
      <c r="U69" s="25"/>
      <c r="V69" s="39">
        <v>192</v>
      </c>
      <c r="W69" s="25"/>
      <c r="X69" s="33">
        <f t="shared" si="2"/>
        <v>192</v>
      </c>
      <c r="Y69" s="39">
        <v>46020</v>
      </c>
      <c r="Z69" s="25">
        <v>8835840</v>
      </c>
      <c r="AA69" s="45"/>
      <c r="AB69" s="45"/>
      <c r="AC69" s="45"/>
      <c r="AD69" s="45"/>
      <c r="AE69" s="45"/>
    </row>
    <row r="70" spans="1:31" s="12" customFormat="1" ht="12">
      <c r="A70" s="27">
        <v>45597</v>
      </c>
      <c r="B70" s="53" t="s">
        <v>211</v>
      </c>
      <c r="C70" s="37" t="s">
        <v>82</v>
      </c>
      <c r="D70" s="34" t="s">
        <v>186</v>
      </c>
      <c r="E70" s="34" t="e">
        <f>IF(B70="","",VLOOKUP($B70,#REF!,4,FALSE))</f>
        <v>#REF!</v>
      </c>
      <c r="F70" s="34" t="e">
        <f>IF(E70="","",VLOOKUP($B70,#REF!,5,FALSE))</f>
        <v>#REF!</v>
      </c>
      <c r="G70" s="34" t="e">
        <f>IF(F70="","",VLOOKUP($B70,#REF!,6,FALSE))</f>
        <v>#REF!</v>
      </c>
      <c r="H70" s="34" t="e">
        <f>IF(G70="","",VLOOKUP($B70,#REF!,7,FALSE))</f>
        <v>#REF!</v>
      </c>
      <c r="I70" s="25"/>
      <c r="J70" s="25"/>
      <c r="K70" s="25"/>
      <c r="L70" s="25"/>
      <c r="M70" s="25"/>
      <c r="N70" s="25"/>
      <c r="O70" s="33">
        <f t="shared" si="3"/>
        <v>0</v>
      </c>
      <c r="P70" s="25"/>
      <c r="Q70" s="25">
        <v>0</v>
      </c>
      <c r="R70" s="25"/>
      <c r="S70" s="25"/>
      <c r="T70" s="25"/>
      <c r="U70" s="25"/>
      <c r="V70" s="39">
        <v>192</v>
      </c>
      <c r="W70" s="25"/>
      <c r="X70" s="33">
        <f t="shared" si="2"/>
        <v>192</v>
      </c>
      <c r="Y70" s="39">
        <v>46020</v>
      </c>
      <c r="Z70" s="25">
        <v>8835840</v>
      </c>
      <c r="AA70" s="45"/>
      <c r="AB70" s="45"/>
      <c r="AC70" s="45"/>
      <c r="AD70" s="45"/>
      <c r="AE70" s="45"/>
    </row>
    <row r="71" spans="1:31" s="12" customFormat="1" ht="12">
      <c r="A71" s="27">
        <v>45597</v>
      </c>
      <c r="B71" s="53" t="s">
        <v>21</v>
      </c>
      <c r="C71" s="37" t="s">
        <v>82</v>
      </c>
      <c r="D71" s="34" t="s">
        <v>186</v>
      </c>
      <c r="E71" s="34" t="e">
        <f>IF(B71="","",VLOOKUP($B71,#REF!,4,FALSE))</f>
        <v>#REF!</v>
      </c>
      <c r="F71" s="34" t="e">
        <f>IF(E71="","",VLOOKUP($B71,#REF!,5,FALSE))</f>
        <v>#REF!</v>
      </c>
      <c r="G71" s="34" t="e">
        <f>IF(F71="","",VLOOKUP($B71,#REF!,6,FALSE))</f>
        <v>#REF!</v>
      </c>
      <c r="H71" s="34" t="e">
        <f>IF(G71="","",VLOOKUP($B71,#REF!,7,FALSE))</f>
        <v>#REF!</v>
      </c>
      <c r="I71" s="25"/>
      <c r="J71" s="25"/>
      <c r="K71" s="25"/>
      <c r="L71" s="25"/>
      <c r="M71" s="25"/>
      <c r="N71" s="25"/>
      <c r="O71" s="33">
        <f t="shared" si="3"/>
        <v>0</v>
      </c>
      <c r="P71" s="25"/>
      <c r="Q71" s="25">
        <v>0</v>
      </c>
      <c r="R71" s="25"/>
      <c r="S71" s="25"/>
      <c r="T71" s="25"/>
      <c r="U71" s="25"/>
      <c r="V71" s="39">
        <v>12</v>
      </c>
      <c r="W71" s="25"/>
      <c r="X71" s="33">
        <f t="shared" si="2"/>
        <v>12</v>
      </c>
      <c r="Y71" s="39">
        <v>80400</v>
      </c>
      <c r="Z71" s="25">
        <v>964800</v>
      </c>
      <c r="AA71" s="45"/>
      <c r="AB71" s="45"/>
      <c r="AC71" s="45"/>
      <c r="AD71" s="45"/>
      <c r="AE71" s="45"/>
    </row>
    <row r="72" spans="1:31" s="12" customFormat="1" ht="12">
      <c r="A72" s="27">
        <v>45597</v>
      </c>
      <c r="B72" s="53" t="s">
        <v>188</v>
      </c>
      <c r="C72" s="37">
        <v>0</v>
      </c>
      <c r="D72" s="34" t="s">
        <v>187</v>
      </c>
      <c r="E72" s="34" t="e">
        <f>IF(B72="","",VLOOKUP($B72,#REF!,4,FALSE))</f>
        <v>#REF!</v>
      </c>
      <c r="F72" s="34" t="e">
        <f>IF(E72="","",VLOOKUP($B72,#REF!,5,FALSE))</f>
        <v>#REF!</v>
      </c>
      <c r="G72" s="34" t="e">
        <f>IF(F72="","",VLOOKUP($B72,#REF!,6,FALSE))</f>
        <v>#REF!</v>
      </c>
      <c r="H72" s="34" t="e">
        <f>IF(G72="","",VLOOKUP($B72,#REF!,7,FALSE))</f>
        <v>#REF!</v>
      </c>
      <c r="I72" s="25"/>
      <c r="J72" s="25"/>
      <c r="K72" s="25"/>
      <c r="L72" s="25"/>
      <c r="M72" s="25"/>
      <c r="N72" s="25"/>
      <c r="O72" s="33">
        <f t="shared" si="3"/>
        <v>0</v>
      </c>
      <c r="P72" s="25"/>
      <c r="Q72" s="25">
        <v>0</v>
      </c>
      <c r="R72" s="25">
        <v>1</v>
      </c>
      <c r="S72" s="25"/>
      <c r="T72" s="25"/>
      <c r="U72" s="25"/>
      <c r="V72" s="39"/>
      <c r="W72" s="25"/>
      <c r="X72" s="33">
        <f t="shared" si="2"/>
        <v>1</v>
      </c>
      <c r="Y72" s="39"/>
      <c r="Z72" s="25">
        <v>0</v>
      </c>
      <c r="AA72" s="45"/>
      <c r="AB72" s="45"/>
      <c r="AC72" s="45"/>
      <c r="AD72" s="45"/>
      <c r="AE72" s="45"/>
    </row>
    <row r="73" spans="1:31" s="12" customFormat="1" ht="12">
      <c r="A73" s="27">
        <v>45597</v>
      </c>
      <c r="B73" s="74" t="s">
        <v>35</v>
      </c>
      <c r="C73" s="37">
        <v>0</v>
      </c>
      <c r="D73" s="34" t="s">
        <v>187</v>
      </c>
      <c r="E73" s="34" t="e">
        <f>IF(B73="","",VLOOKUP($B73,#REF!,4,FALSE))</f>
        <v>#REF!</v>
      </c>
      <c r="F73" s="34" t="e">
        <f>IF(E73="","",VLOOKUP($B73,#REF!,5,FALSE))</f>
        <v>#REF!</v>
      </c>
      <c r="G73" s="34" t="e">
        <f>IF(F73="","",VLOOKUP($B73,#REF!,6,FALSE))</f>
        <v>#REF!</v>
      </c>
      <c r="H73" s="34" t="e">
        <f>IF(G73="","",VLOOKUP($B73,#REF!,7,FALSE))</f>
        <v>#REF!</v>
      </c>
      <c r="I73" s="25">
        <v>558</v>
      </c>
      <c r="J73" s="25"/>
      <c r="K73" s="25"/>
      <c r="L73" s="25"/>
      <c r="M73" s="25"/>
      <c r="N73" s="25"/>
      <c r="O73" s="33">
        <f t="shared" si="3"/>
        <v>558</v>
      </c>
      <c r="P73" s="25"/>
      <c r="Q73" s="25">
        <v>0</v>
      </c>
      <c r="R73" s="25"/>
      <c r="S73" s="25"/>
      <c r="T73" s="25"/>
      <c r="U73" s="25"/>
      <c r="V73" s="39"/>
      <c r="W73" s="25"/>
      <c r="X73" s="33">
        <f>SUM(R73:W73)</f>
        <v>0</v>
      </c>
      <c r="Y73" s="39"/>
      <c r="Z73" s="25">
        <v>0</v>
      </c>
      <c r="AA73" s="45"/>
      <c r="AB73" s="45"/>
      <c r="AC73" s="45"/>
      <c r="AD73" s="45"/>
      <c r="AE73" s="45"/>
    </row>
    <row r="74" spans="1:31" s="12" customFormat="1" ht="12">
      <c r="A74" s="27">
        <v>45597</v>
      </c>
      <c r="B74" s="74" t="s">
        <v>211</v>
      </c>
      <c r="C74" s="37">
        <v>0</v>
      </c>
      <c r="D74" s="34" t="s">
        <v>187</v>
      </c>
      <c r="E74" s="34" t="e">
        <f>IF(B74="","",VLOOKUP($B74,#REF!,4,FALSE))</f>
        <v>#REF!</v>
      </c>
      <c r="F74" s="34" t="e">
        <f>IF(E74="","",VLOOKUP($B74,#REF!,5,FALSE))</f>
        <v>#REF!</v>
      </c>
      <c r="G74" s="34" t="e">
        <f>IF(F74="","",VLOOKUP($B74,#REF!,6,FALSE))</f>
        <v>#REF!</v>
      </c>
      <c r="H74" s="34" t="e">
        <f>IF(G74="","",VLOOKUP($B74,#REF!,7,FALSE))</f>
        <v>#REF!</v>
      </c>
      <c r="I74" s="25"/>
      <c r="J74" s="25"/>
      <c r="K74" s="25"/>
      <c r="L74" s="25">
        <v>888</v>
      </c>
      <c r="M74" s="25"/>
      <c r="N74" s="25"/>
      <c r="O74" s="33">
        <f t="shared" si="3"/>
        <v>888</v>
      </c>
      <c r="P74" s="25"/>
      <c r="Q74" s="25">
        <v>0</v>
      </c>
      <c r="R74" s="25"/>
      <c r="S74" s="25"/>
      <c r="T74" s="25"/>
      <c r="U74" s="25"/>
      <c r="V74" s="39"/>
      <c r="W74" s="25"/>
      <c r="X74" s="33">
        <f t="shared" si="2"/>
        <v>0</v>
      </c>
      <c r="Y74" s="39"/>
      <c r="Z74" s="25">
        <v>0</v>
      </c>
      <c r="AA74" s="45"/>
      <c r="AB74" s="45"/>
      <c r="AC74" s="45"/>
      <c r="AD74" s="45"/>
      <c r="AE74" s="45"/>
    </row>
    <row r="75" spans="1:31" s="12" customFormat="1" ht="12">
      <c r="A75" s="27">
        <v>45597</v>
      </c>
      <c r="B75" s="74" t="s">
        <v>229</v>
      </c>
      <c r="C75" s="37">
        <v>0</v>
      </c>
      <c r="D75" s="34" t="s">
        <v>187</v>
      </c>
      <c r="E75" s="34" t="e">
        <f>IF(B75="","",VLOOKUP($B75,#REF!,4,FALSE))</f>
        <v>#REF!</v>
      </c>
      <c r="F75" s="34" t="e">
        <f>IF(E75="","",VLOOKUP($B75,#REF!,5,FALSE))</f>
        <v>#REF!</v>
      </c>
      <c r="G75" s="34" t="e">
        <f>IF(F75="","",VLOOKUP($B75,#REF!,6,FALSE))</f>
        <v>#REF!</v>
      </c>
      <c r="H75" s="34" t="e">
        <f>IF(G75="","",VLOOKUP($B75,#REF!,7,FALSE))</f>
        <v>#REF!</v>
      </c>
      <c r="I75" s="25"/>
      <c r="J75" s="25"/>
      <c r="K75" s="25"/>
      <c r="L75" s="25">
        <v>1886</v>
      </c>
      <c r="M75" s="25"/>
      <c r="N75" s="25"/>
      <c r="O75" s="33">
        <f t="shared" si="3"/>
        <v>1886</v>
      </c>
      <c r="P75" s="25"/>
      <c r="Q75" s="25">
        <v>0</v>
      </c>
      <c r="R75" s="25"/>
      <c r="S75" s="25"/>
      <c r="T75" s="25"/>
      <c r="U75" s="25"/>
      <c r="V75" s="39"/>
      <c r="W75" s="25"/>
      <c r="X75" s="33">
        <f t="shared" si="2"/>
        <v>0</v>
      </c>
      <c r="Y75" s="39"/>
      <c r="Z75" s="25">
        <v>0</v>
      </c>
      <c r="AA75" s="45"/>
      <c r="AB75" s="45"/>
      <c r="AC75" s="45"/>
      <c r="AD75" s="45"/>
      <c r="AE75" s="45"/>
    </row>
    <row r="76" spans="1:31" s="12" customFormat="1" ht="12">
      <c r="A76" s="27">
        <v>45597</v>
      </c>
      <c r="B76" s="74" t="s">
        <v>42</v>
      </c>
      <c r="C76" s="37">
        <v>0</v>
      </c>
      <c r="D76" s="34" t="s">
        <v>187</v>
      </c>
      <c r="E76" s="34" t="e">
        <f>IF(B76="","",VLOOKUP($B76,#REF!,4,FALSE))</f>
        <v>#REF!</v>
      </c>
      <c r="F76" s="34" t="e">
        <f>IF(E76="","",VLOOKUP($B76,#REF!,5,FALSE))</f>
        <v>#REF!</v>
      </c>
      <c r="G76" s="34" t="e">
        <f>IF(F76="","",VLOOKUP($B76,#REF!,6,FALSE))</f>
        <v>#REF!</v>
      </c>
      <c r="H76" s="34" t="e">
        <f>IF(G76="","",VLOOKUP($B76,#REF!,7,FALSE))</f>
        <v>#REF!</v>
      </c>
      <c r="I76" s="25"/>
      <c r="J76" s="25">
        <v>386</v>
      </c>
      <c r="K76" s="25"/>
      <c r="L76" s="25"/>
      <c r="M76" s="25"/>
      <c r="N76" s="25"/>
      <c r="O76" s="33">
        <f t="shared" si="3"/>
        <v>386</v>
      </c>
      <c r="P76" s="25"/>
      <c r="Q76" s="25">
        <v>0</v>
      </c>
      <c r="R76" s="25"/>
      <c r="S76" s="25"/>
      <c r="T76" s="25"/>
      <c r="U76" s="25"/>
      <c r="V76" s="39"/>
      <c r="W76" s="25"/>
      <c r="X76" s="33">
        <f t="shared" si="2"/>
        <v>0</v>
      </c>
      <c r="Y76" s="39"/>
      <c r="Z76" s="25">
        <v>0</v>
      </c>
      <c r="AA76" s="45"/>
      <c r="AB76" s="45"/>
      <c r="AC76" s="45"/>
      <c r="AD76" s="45"/>
      <c r="AE76" s="45"/>
    </row>
    <row r="77" spans="1:31" s="12" customFormat="1" ht="12">
      <c r="A77" s="27">
        <v>45597</v>
      </c>
      <c r="B77" s="74" t="s">
        <v>24</v>
      </c>
      <c r="C77" s="37" t="s">
        <v>117</v>
      </c>
      <c r="D77" s="34" t="s">
        <v>225</v>
      </c>
      <c r="E77" s="34" t="e">
        <f>IF(B77="","",VLOOKUP($B77,#REF!,4,FALSE))</f>
        <v>#REF!</v>
      </c>
      <c r="F77" s="34" t="e">
        <f>IF(E77="","",VLOOKUP($B77,#REF!,5,FALSE))</f>
        <v>#REF!</v>
      </c>
      <c r="G77" s="34" t="e">
        <f>IF(F77="","",VLOOKUP($B77,#REF!,6,FALSE))</f>
        <v>#REF!</v>
      </c>
      <c r="H77" s="34" t="e">
        <f>IF(G77="","",VLOOKUP($B77,#REF!,7,FALSE))</f>
        <v>#REF!</v>
      </c>
      <c r="I77" s="25"/>
      <c r="J77" s="25">
        <v>320</v>
      </c>
      <c r="K77" s="25"/>
      <c r="L77" s="25"/>
      <c r="M77" s="25"/>
      <c r="N77" s="25"/>
      <c r="O77" s="33">
        <f t="shared" si="3"/>
        <v>320</v>
      </c>
      <c r="P77" s="25">
        <v>74400</v>
      </c>
      <c r="Q77" s="25">
        <v>23808000</v>
      </c>
      <c r="R77" s="25"/>
      <c r="S77" s="25"/>
      <c r="T77" s="25"/>
      <c r="U77" s="25"/>
      <c r="V77" s="39"/>
      <c r="W77" s="25"/>
      <c r="X77" s="33">
        <f t="shared" si="2"/>
        <v>0</v>
      </c>
      <c r="Y77" s="39"/>
      <c r="Z77" s="25">
        <v>0</v>
      </c>
      <c r="AA77" s="45"/>
      <c r="AB77" s="45"/>
      <c r="AC77" s="45"/>
      <c r="AD77" s="45"/>
      <c r="AE77" s="45"/>
    </row>
    <row r="78" spans="1:31" s="12" customFormat="1" ht="12">
      <c r="A78" s="27">
        <v>45598</v>
      </c>
      <c r="B78" s="74" t="s">
        <v>24</v>
      </c>
      <c r="C78" s="37" t="s">
        <v>82</v>
      </c>
      <c r="D78" s="34" t="s">
        <v>186</v>
      </c>
      <c r="E78" s="34" t="e">
        <f>IF(B78="","",VLOOKUP($B78,#REF!,4,FALSE))</f>
        <v>#REF!</v>
      </c>
      <c r="F78" s="34" t="e">
        <f>IF(E78="","",VLOOKUP($B78,#REF!,5,FALSE))</f>
        <v>#REF!</v>
      </c>
      <c r="G78" s="34" t="e">
        <f>IF(F78="","",VLOOKUP($B78,#REF!,6,FALSE))</f>
        <v>#REF!</v>
      </c>
      <c r="H78" s="34" t="e">
        <f>IF(G78="","",VLOOKUP($B78,#REF!,7,FALSE))</f>
        <v>#REF!</v>
      </c>
      <c r="I78" s="25"/>
      <c r="J78" s="25"/>
      <c r="K78" s="25"/>
      <c r="L78" s="25"/>
      <c r="M78" s="25"/>
      <c r="N78" s="25"/>
      <c r="O78" s="33">
        <f t="shared" si="3"/>
        <v>0</v>
      </c>
      <c r="P78" s="25"/>
      <c r="Q78" s="25">
        <v>0</v>
      </c>
      <c r="R78" s="25"/>
      <c r="S78" s="25"/>
      <c r="T78" s="25"/>
      <c r="U78" s="25"/>
      <c r="V78" s="39">
        <v>168</v>
      </c>
      <c r="W78" s="25"/>
      <c r="X78" s="33">
        <f t="shared" si="2"/>
        <v>168</v>
      </c>
      <c r="Y78" s="39">
        <v>124920</v>
      </c>
      <c r="Z78" s="25">
        <v>20986560</v>
      </c>
      <c r="AA78" s="45"/>
      <c r="AB78" s="45"/>
      <c r="AC78" s="45"/>
      <c r="AD78" s="45"/>
      <c r="AE78" s="45"/>
    </row>
    <row r="79" spans="1:31" s="12" customFormat="1" ht="12">
      <c r="A79" s="27">
        <v>45598</v>
      </c>
      <c r="B79" s="74" t="s">
        <v>211</v>
      </c>
      <c r="C79" s="37" t="s">
        <v>82</v>
      </c>
      <c r="D79" s="34" t="s">
        <v>186</v>
      </c>
      <c r="E79" s="34" t="e">
        <f>IF(B79="","",VLOOKUP($B79,#REF!,4,FALSE))</f>
        <v>#REF!</v>
      </c>
      <c r="F79" s="34" t="e">
        <f>IF(E79="","",VLOOKUP($B79,#REF!,5,FALSE))</f>
        <v>#REF!</v>
      </c>
      <c r="G79" s="34" t="e">
        <f>IF(F79="","",VLOOKUP($B79,#REF!,6,FALSE))</f>
        <v>#REF!</v>
      </c>
      <c r="H79" s="34" t="e">
        <f>IF(G79="","",VLOOKUP($B79,#REF!,7,FALSE))</f>
        <v>#REF!</v>
      </c>
      <c r="I79" s="25"/>
      <c r="J79" s="25"/>
      <c r="K79" s="25"/>
      <c r="L79" s="25"/>
      <c r="M79" s="25"/>
      <c r="N79" s="25"/>
      <c r="O79" s="33">
        <f t="shared" si="3"/>
        <v>0</v>
      </c>
      <c r="P79" s="25"/>
      <c r="Q79" s="25">
        <v>0</v>
      </c>
      <c r="R79" s="25"/>
      <c r="S79" s="25"/>
      <c r="T79" s="25"/>
      <c r="U79" s="25"/>
      <c r="V79" s="39">
        <v>144</v>
      </c>
      <c r="W79" s="25"/>
      <c r="X79" s="33">
        <f t="shared" si="2"/>
        <v>144</v>
      </c>
      <c r="Y79" s="39">
        <v>46020</v>
      </c>
      <c r="Z79" s="25">
        <v>6626880</v>
      </c>
      <c r="AA79" s="45"/>
      <c r="AB79" s="45"/>
      <c r="AC79" s="45"/>
      <c r="AD79" s="45"/>
      <c r="AE79" s="45"/>
    </row>
    <row r="80" spans="1:31" s="12" customFormat="1" ht="12">
      <c r="A80" s="27">
        <v>45598</v>
      </c>
      <c r="B80" s="74" t="s">
        <v>211</v>
      </c>
      <c r="C80" s="37" t="s">
        <v>82</v>
      </c>
      <c r="D80" s="34" t="s">
        <v>186</v>
      </c>
      <c r="E80" s="34" t="e">
        <f>IF(B80="","",VLOOKUP($B80,#REF!,4,FALSE))</f>
        <v>#REF!</v>
      </c>
      <c r="F80" s="34" t="e">
        <f>IF(E80="","",VLOOKUP($B80,#REF!,5,FALSE))</f>
        <v>#REF!</v>
      </c>
      <c r="G80" s="34" t="e">
        <f>IF(F80="","",VLOOKUP($B80,#REF!,6,FALSE))</f>
        <v>#REF!</v>
      </c>
      <c r="H80" s="34" t="e">
        <f>IF(G80="","",VLOOKUP($B80,#REF!,7,FALSE))</f>
        <v>#REF!</v>
      </c>
      <c r="I80" s="25"/>
      <c r="J80" s="25"/>
      <c r="K80" s="25"/>
      <c r="L80" s="25"/>
      <c r="M80" s="25"/>
      <c r="N80" s="25"/>
      <c r="O80" s="33">
        <f t="shared" si="3"/>
        <v>0</v>
      </c>
      <c r="P80" s="25"/>
      <c r="Q80" s="25">
        <v>0</v>
      </c>
      <c r="R80" s="25"/>
      <c r="S80" s="25"/>
      <c r="T80" s="25"/>
      <c r="U80" s="25"/>
      <c r="V80" s="39">
        <v>192</v>
      </c>
      <c r="W80" s="25"/>
      <c r="X80" s="33">
        <f t="shared" si="2"/>
        <v>192</v>
      </c>
      <c r="Y80" s="39">
        <v>46020</v>
      </c>
      <c r="Z80" s="25">
        <v>8835840</v>
      </c>
      <c r="AA80" s="45"/>
      <c r="AB80" s="45"/>
      <c r="AC80" s="45"/>
      <c r="AD80" s="45"/>
      <c r="AE80" s="45"/>
    </row>
    <row r="81" spans="1:31" s="12" customFormat="1" ht="12">
      <c r="A81" s="27">
        <v>45598</v>
      </c>
      <c r="B81" s="74" t="s">
        <v>211</v>
      </c>
      <c r="C81" s="37" t="s">
        <v>82</v>
      </c>
      <c r="D81" s="34" t="s">
        <v>186</v>
      </c>
      <c r="E81" s="34" t="e">
        <f>IF(B81="","",VLOOKUP($B81,#REF!,4,FALSE))</f>
        <v>#REF!</v>
      </c>
      <c r="F81" s="34" t="e">
        <f>IF(E81="","",VLOOKUP($B81,#REF!,5,FALSE))</f>
        <v>#REF!</v>
      </c>
      <c r="G81" s="34" t="e">
        <f>IF(F81="","",VLOOKUP($B81,#REF!,6,FALSE))</f>
        <v>#REF!</v>
      </c>
      <c r="H81" s="34" t="e">
        <f>IF(G81="","",VLOOKUP($B81,#REF!,7,FALSE))</f>
        <v>#REF!</v>
      </c>
      <c r="I81" s="25"/>
      <c r="J81" s="25"/>
      <c r="K81" s="25"/>
      <c r="L81" s="25"/>
      <c r="M81" s="25"/>
      <c r="N81" s="25"/>
      <c r="O81" s="33">
        <f t="shared" si="3"/>
        <v>0</v>
      </c>
      <c r="P81" s="25"/>
      <c r="Q81" s="25">
        <v>0</v>
      </c>
      <c r="R81" s="25"/>
      <c r="S81" s="25"/>
      <c r="T81" s="25"/>
      <c r="U81" s="25"/>
      <c r="V81" s="39">
        <v>192</v>
      </c>
      <c r="W81" s="25"/>
      <c r="X81" s="33">
        <f t="shared" si="2"/>
        <v>192</v>
      </c>
      <c r="Y81" s="39">
        <v>46020</v>
      </c>
      <c r="Z81" s="25">
        <v>8835840</v>
      </c>
      <c r="AA81" s="45"/>
      <c r="AB81" s="45"/>
      <c r="AC81" s="45"/>
      <c r="AD81" s="45"/>
      <c r="AE81" s="45"/>
    </row>
    <row r="82" spans="1:31" s="12" customFormat="1" ht="12">
      <c r="A82" s="27">
        <v>45598</v>
      </c>
      <c r="B82" s="74" t="s">
        <v>211</v>
      </c>
      <c r="C82" s="37" t="s">
        <v>82</v>
      </c>
      <c r="D82" s="34" t="s">
        <v>186</v>
      </c>
      <c r="E82" s="34" t="e">
        <f>IF(B82="","",VLOOKUP($B82,#REF!,4,FALSE))</f>
        <v>#REF!</v>
      </c>
      <c r="F82" s="34" t="e">
        <f>IF(E82="","",VLOOKUP($B82,#REF!,5,FALSE))</f>
        <v>#REF!</v>
      </c>
      <c r="G82" s="34" t="e">
        <f>IF(F82="","",VLOOKUP($B82,#REF!,6,FALSE))</f>
        <v>#REF!</v>
      </c>
      <c r="H82" s="34" t="e">
        <f>IF(G82="","",VLOOKUP($B82,#REF!,7,FALSE))</f>
        <v>#REF!</v>
      </c>
      <c r="I82" s="25"/>
      <c r="J82" s="25"/>
      <c r="K82" s="25"/>
      <c r="L82" s="25"/>
      <c r="M82" s="25"/>
      <c r="N82" s="25"/>
      <c r="O82" s="33">
        <f t="shared" si="3"/>
        <v>0</v>
      </c>
      <c r="P82" s="25"/>
      <c r="Q82" s="25">
        <v>0</v>
      </c>
      <c r="R82" s="25"/>
      <c r="S82" s="25"/>
      <c r="T82" s="25"/>
      <c r="U82" s="25"/>
      <c r="V82" s="39">
        <v>192</v>
      </c>
      <c r="W82" s="25"/>
      <c r="X82" s="33">
        <f t="shared" si="2"/>
        <v>192</v>
      </c>
      <c r="Y82" s="39">
        <v>46020</v>
      </c>
      <c r="Z82" s="25">
        <v>8835840</v>
      </c>
      <c r="AA82" s="45"/>
      <c r="AB82" s="45"/>
      <c r="AC82" s="45"/>
      <c r="AD82" s="45"/>
      <c r="AE82" s="45"/>
    </row>
    <row r="83" spans="1:31" s="12" customFormat="1" ht="12">
      <c r="A83" s="27">
        <v>45598</v>
      </c>
      <c r="B83" s="74" t="s">
        <v>160</v>
      </c>
      <c r="C83" s="37" t="s">
        <v>82</v>
      </c>
      <c r="D83" s="34" t="s">
        <v>186</v>
      </c>
      <c r="E83" s="34" t="e">
        <f>IF(B83="","",VLOOKUP($B83,#REF!,4,FALSE))</f>
        <v>#REF!</v>
      </c>
      <c r="F83" s="34" t="e">
        <f>IF(E83="","",VLOOKUP($B83,#REF!,5,FALSE))</f>
        <v>#REF!</v>
      </c>
      <c r="G83" s="34" t="e">
        <f>IF(F83="","",VLOOKUP($B83,#REF!,6,FALSE))</f>
        <v>#REF!</v>
      </c>
      <c r="H83" s="34" t="e">
        <f>IF(G83="","",VLOOKUP($B83,#REF!,7,FALSE))</f>
        <v>#REF!</v>
      </c>
      <c r="I83" s="25"/>
      <c r="J83" s="25"/>
      <c r="K83" s="25"/>
      <c r="L83" s="25"/>
      <c r="M83" s="25"/>
      <c r="N83" s="25"/>
      <c r="O83" s="33">
        <f t="shared" si="3"/>
        <v>0</v>
      </c>
      <c r="P83" s="25"/>
      <c r="Q83" s="25">
        <v>0</v>
      </c>
      <c r="R83" s="25"/>
      <c r="S83" s="25"/>
      <c r="T83" s="25"/>
      <c r="U83" s="25"/>
      <c r="V83" s="39">
        <v>192</v>
      </c>
      <c r="W83" s="25"/>
      <c r="X83" s="33">
        <f t="shared" si="2"/>
        <v>192</v>
      </c>
      <c r="Y83" s="39">
        <v>100300</v>
      </c>
      <c r="Z83" s="25">
        <v>19257600</v>
      </c>
      <c r="AA83" s="45"/>
      <c r="AB83" s="45"/>
      <c r="AC83" s="45"/>
      <c r="AD83" s="45"/>
      <c r="AE83" s="45"/>
    </row>
    <row r="84" spans="1:31" s="12" customFormat="1" ht="12">
      <c r="A84" s="27">
        <v>45598</v>
      </c>
      <c r="B84" s="74" t="s">
        <v>211</v>
      </c>
      <c r="C84" s="37" t="s">
        <v>82</v>
      </c>
      <c r="D84" s="34" t="s">
        <v>186</v>
      </c>
      <c r="E84" s="34" t="e">
        <f>IF(B84="","",VLOOKUP($B84,#REF!,4,FALSE))</f>
        <v>#REF!</v>
      </c>
      <c r="F84" s="34" t="e">
        <f>IF(E84="","",VLOOKUP($B84,#REF!,5,FALSE))</f>
        <v>#REF!</v>
      </c>
      <c r="G84" s="34" t="e">
        <f>IF(F84="","",VLOOKUP($B84,#REF!,6,FALSE))</f>
        <v>#REF!</v>
      </c>
      <c r="H84" s="34" t="e">
        <f>IF(G84="","",VLOOKUP($B84,#REF!,7,FALSE))</f>
        <v>#REF!</v>
      </c>
      <c r="I84" s="25"/>
      <c r="J84" s="25"/>
      <c r="K84" s="25"/>
      <c r="L84" s="25"/>
      <c r="M84" s="25"/>
      <c r="N84" s="25"/>
      <c r="O84" s="33">
        <f t="shared" si="3"/>
        <v>0</v>
      </c>
      <c r="P84" s="25"/>
      <c r="Q84" s="25">
        <v>0</v>
      </c>
      <c r="R84" s="25"/>
      <c r="S84" s="25"/>
      <c r="T84" s="25"/>
      <c r="U84" s="25"/>
      <c r="V84" s="39">
        <v>192</v>
      </c>
      <c r="W84" s="25"/>
      <c r="X84" s="33">
        <f t="shared" si="2"/>
        <v>192</v>
      </c>
      <c r="Y84" s="39">
        <v>46020</v>
      </c>
      <c r="Z84" s="25">
        <v>8835840</v>
      </c>
      <c r="AA84" s="45"/>
      <c r="AB84" s="45"/>
      <c r="AC84" s="45"/>
      <c r="AD84" s="45"/>
      <c r="AE84" s="45"/>
    </row>
    <row r="85" spans="1:31" s="12" customFormat="1" ht="12">
      <c r="A85" s="27">
        <v>45598</v>
      </c>
      <c r="B85" s="74" t="s">
        <v>21</v>
      </c>
      <c r="C85" s="37" t="s">
        <v>82</v>
      </c>
      <c r="D85" s="34" t="s">
        <v>186</v>
      </c>
      <c r="E85" s="34" t="e">
        <f>IF(B85="","",VLOOKUP($B85,#REF!,4,FALSE))</f>
        <v>#REF!</v>
      </c>
      <c r="F85" s="34" t="e">
        <f>IF(E85="","",VLOOKUP($B85,#REF!,5,FALSE))</f>
        <v>#REF!</v>
      </c>
      <c r="G85" s="34" t="e">
        <f>IF(F85="","",VLOOKUP($B85,#REF!,6,FALSE))</f>
        <v>#REF!</v>
      </c>
      <c r="H85" s="34" t="e">
        <f>IF(G85="","",VLOOKUP($B85,#REF!,7,FALSE))</f>
        <v>#REF!</v>
      </c>
      <c r="I85" s="25"/>
      <c r="J85" s="25"/>
      <c r="K85" s="25"/>
      <c r="L85" s="25"/>
      <c r="M85" s="25"/>
      <c r="N85" s="25"/>
      <c r="O85" s="33">
        <f t="shared" si="3"/>
        <v>0</v>
      </c>
      <c r="P85" s="25"/>
      <c r="Q85" s="25">
        <v>0</v>
      </c>
      <c r="R85" s="25"/>
      <c r="S85" s="25"/>
      <c r="T85" s="25"/>
      <c r="U85" s="25"/>
      <c r="V85" s="39">
        <v>12</v>
      </c>
      <c r="W85" s="25"/>
      <c r="X85" s="33">
        <f t="shared" si="2"/>
        <v>12</v>
      </c>
      <c r="Y85" s="39">
        <v>80400</v>
      </c>
      <c r="Z85" s="25">
        <v>964800</v>
      </c>
      <c r="AA85" s="45"/>
      <c r="AB85" s="45"/>
      <c r="AC85" s="45"/>
      <c r="AD85" s="45"/>
      <c r="AE85" s="45"/>
    </row>
    <row r="86" spans="1:31" s="12" customFormat="1" ht="12">
      <c r="A86" s="27">
        <v>45598</v>
      </c>
      <c r="B86" s="74" t="s">
        <v>160</v>
      </c>
      <c r="C86" s="37" t="s">
        <v>82</v>
      </c>
      <c r="D86" s="34" t="s">
        <v>186</v>
      </c>
      <c r="E86" s="34" t="e">
        <f>IF(B86="","",VLOOKUP($B86,#REF!,4,FALSE))</f>
        <v>#REF!</v>
      </c>
      <c r="F86" s="34" t="e">
        <f>IF(E86="","",VLOOKUP($B86,#REF!,5,FALSE))</f>
        <v>#REF!</v>
      </c>
      <c r="G86" s="34" t="e">
        <f>IF(F86="","",VLOOKUP($B86,#REF!,6,FALSE))</f>
        <v>#REF!</v>
      </c>
      <c r="H86" s="34" t="e">
        <f>IF(G86="","",VLOOKUP($B86,#REF!,7,FALSE))</f>
        <v>#REF!</v>
      </c>
      <c r="I86" s="25"/>
      <c r="J86" s="25"/>
      <c r="K86" s="25"/>
      <c r="L86" s="25"/>
      <c r="M86" s="25"/>
      <c r="N86" s="25"/>
      <c r="O86" s="33">
        <f t="shared" si="3"/>
        <v>0</v>
      </c>
      <c r="P86" s="25"/>
      <c r="Q86" s="25">
        <v>0</v>
      </c>
      <c r="R86" s="25"/>
      <c r="S86" s="25"/>
      <c r="T86" s="25"/>
      <c r="U86" s="25"/>
      <c r="V86" s="39">
        <v>60</v>
      </c>
      <c r="W86" s="25"/>
      <c r="X86" s="33">
        <f t="shared" si="2"/>
        <v>60</v>
      </c>
      <c r="Y86" s="39">
        <v>97900</v>
      </c>
      <c r="Z86" s="25">
        <v>5874000</v>
      </c>
      <c r="AA86" s="45"/>
      <c r="AB86" s="45"/>
      <c r="AC86" s="45"/>
      <c r="AD86" s="45"/>
      <c r="AE86" s="45"/>
    </row>
    <row r="87" spans="1:31" s="12" customFormat="1" ht="12">
      <c r="A87" s="27">
        <v>45598</v>
      </c>
      <c r="B87" s="74" t="s">
        <v>219</v>
      </c>
      <c r="C87" s="37" t="s">
        <v>82</v>
      </c>
      <c r="D87" s="34" t="s">
        <v>186</v>
      </c>
      <c r="E87" s="34" t="e">
        <f>IF(B87="","",VLOOKUP($B87,#REF!,4,FALSE))</f>
        <v>#REF!</v>
      </c>
      <c r="F87" s="34" t="e">
        <f>IF(E87="","",VLOOKUP($B87,#REF!,5,FALSE))</f>
        <v>#REF!</v>
      </c>
      <c r="G87" s="34" t="e">
        <f>IF(F87="","",VLOOKUP($B87,#REF!,6,FALSE))</f>
        <v>#REF!</v>
      </c>
      <c r="H87" s="34" t="e">
        <f>IF(G87="","",VLOOKUP($B87,#REF!,7,FALSE))</f>
        <v>#REF!</v>
      </c>
      <c r="I87" s="25"/>
      <c r="J87" s="25"/>
      <c r="K87" s="25"/>
      <c r="L87" s="25"/>
      <c r="M87" s="25"/>
      <c r="N87" s="25"/>
      <c r="O87" s="33">
        <f t="shared" si="3"/>
        <v>0</v>
      </c>
      <c r="P87" s="25"/>
      <c r="Q87" s="25">
        <v>0</v>
      </c>
      <c r="R87" s="25"/>
      <c r="S87" s="25"/>
      <c r="T87" s="25"/>
      <c r="U87" s="25"/>
      <c r="V87" s="39">
        <v>12</v>
      </c>
      <c r="W87" s="25"/>
      <c r="X87" s="33">
        <f t="shared" si="2"/>
        <v>12</v>
      </c>
      <c r="Y87" s="39">
        <v>227240</v>
      </c>
      <c r="Z87" s="25">
        <v>2726880</v>
      </c>
      <c r="AA87" s="45"/>
      <c r="AB87" s="45"/>
      <c r="AC87" s="45"/>
      <c r="AD87" s="45"/>
      <c r="AE87" s="45"/>
    </row>
    <row r="88" spans="1:31" s="12" customFormat="1" ht="12">
      <c r="A88" s="27">
        <v>45600</v>
      </c>
      <c r="B88" s="74" t="s">
        <v>211</v>
      </c>
      <c r="C88" s="37">
        <v>0</v>
      </c>
      <c r="D88" s="34" t="s">
        <v>187</v>
      </c>
      <c r="E88" s="34" t="e">
        <f>IF(B88="","",VLOOKUP($B88,#REF!,4,FALSE))</f>
        <v>#REF!</v>
      </c>
      <c r="F88" s="34" t="e">
        <f>IF(E88="","",VLOOKUP($B88,#REF!,5,FALSE))</f>
        <v>#REF!</v>
      </c>
      <c r="G88" s="34" t="e">
        <f>IF(F88="","",VLOOKUP($B88,#REF!,6,FALSE))</f>
        <v>#REF!</v>
      </c>
      <c r="H88" s="34" t="e">
        <f>IF(G88="","",VLOOKUP($B88,#REF!,7,FALSE))</f>
        <v>#REF!</v>
      </c>
      <c r="I88" s="25"/>
      <c r="J88" s="25"/>
      <c r="K88" s="25"/>
      <c r="L88" s="25">
        <v>905</v>
      </c>
      <c r="M88" s="25"/>
      <c r="N88" s="25"/>
      <c r="O88" s="33">
        <f t="shared" si="3"/>
        <v>905</v>
      </c>
      <c r="P88" s="25"/>
      <c r="Q88" s="25">
        <v>0</v>
      </c>
      <c r="R88" s="25"/>
      <c r="S88" s="25"/>
      <c r="T88" s="25"/>
      <c r="U88" s="25"/>
      <c r="V88" s="39"/>
      <c r="W88" s="25"/>
      <c r="X88" s="33">
        <f t="shared" si="2"/>
        <v>0</v>
      </c>
      <c r="Y88" s="39"/>
      <c r="Z88" s="25">
        <v>0</v>
      </c>
      <c r="AA88" s="45"/>
      <c r="AB88" s="45"/>
      <c r="AC88" s="45"/>
      <c r="AD88" s="45"/>
      <c r="AE88" s="45"/>
    </row>
    <row r="89" spans="1:31" s="12" customFormat="1" ht="12">
      <c r="A89" s="27">
        <v>45600</v>
      </c>
      <c r="B89" s="53" t="s">
        <v>229</v>
      </c>
      <c r="C89" s="37">
        <v>0</v>
      </c>
      <c r="D89" s="34" t="s">
        <v>187</v>
      </c>
      <c r="E89" s="34" t="e">
        <f>IF(B89="","",VLOOKUP($B89,#REF!,4,FALSE))</f>
        <v>#REF!</v>
      </c>
      <c r="F89" s="34" t="e">
        <f>IF(E89="","",VLOOKUP($B89,#REF!,5,FALSE))</f>
        <v>#REF!</v>
      </c>
      <c r="G89" s="34" t="e">
        <f>IF(F89="","",VLOOKUP($B89,#REF!,6,FALSE))</f>
        <v>#REF!</v>
      </c>
      <c r="H89" s="34" t="e">
        <f>IF(G89="","",VLOOKUP($B89,#REF!,7,FALSE))</f>
        <v>#REF!</v>
      </c>
      <c r="I89" s="25"/>
      <c r="J89" s="25"/>
      <c r="K89" s="25"/>
      <c r="L89" s="25">
        <v>2488</v>
      </c>
      <c r="M89" s="25"/>
      <c r="N89" s="25"/>
      <c r="O89" s="33">
        <f t="shared" si="3"/>
        <v>2488</v>
      </c>
      <c r="P89" s="25"/>
      <c r="Q89" s="25">
        <v>0</v>
      </c>
      <c r="R89" s="25"/>
      <c r="S89" s="25"/>
      <c r="T89" s="25"/>
      <c r="U89" s="25"/>
      <c r="V89" s="39"/>
      <c r="W89" s="25"/>
      <c r="X89" s="33">
        <f t="shared" si="2"/>
        <v>0</v>
      </c>
      <c r="Y89" s="39"/>
      <c r="Z89" s="25">
        <v>0</v>
      </c>
      <c r="AA89" s="45"/>
      <c r="AB89" s="45"/>
      <c r="AC89" s="45"/>
      <c r="AD89" s="45"/>
      <c r="AE89" s="45"/>
    </row>
    <row r="90" spans="1:31" s="12" customFormat="1" ht="12">
      <c r="A90" s="27">
        <v>45600</v>
      </c>
      <c r="B90" s="53" t="s">
        <v>58</v>
      </c>
      <c r="C90" s="37">
        <v>0</v>
      </c>
      <c r="D90" s="34" t="s">
        <v>187</v>
      </c>
      <c r="E90" s="34" t="e">
        <f>IF(B90="","",VLOOKUP($B90,#REF!,4,FALSE))</f>
        <v>#REF!</v>
      </c>
      <c r="F90" s="34" t="e">
        <f>IF(E90="","",VLOOKUP($B90,#REF!,5,FALSE))</f>
        <v>#REF!</v>
      </c>
      <c r="G90" s="34" t="e">
        <f>IF(F90="","",VLOOKUP($B90,#REF!,6,FALSE))</f>
        <v>#REF!</v>
      </c>
      <c r="H90" s="34" t="e">
        <f>IF(G90="","",VLOOKUP($B90,#REF!,7,FALSE))</f>
        <v>#REF!</v>
      </c>
      <c r="I90" s="25"/>
      <c r="J90" s="25"/>
      <c r="K90" s="25"/>
      <c r="L90" s="25">
        <v>302</v>
      </c>
      <c r="M90" s="25"/>
      <c r="N90" s="25"/>
      <c r="O90" s="33">
        <f t="shared" si="3"/>
        <v>302</v>
      </c>
      <c r="P90" s="25"/>
      <c r="Q90" s="25">
        <v>0</v>
      </c>
      <c r="R90" s="25"/>
      <c r="S90" s="25"/>
      <c r="T90" s="25"/>
      <c r="U90" s="25"/>
      <c r="V90" s="39"/>
      <c r="W90" s="25"/>
      <c r="X90" s="33">
        <f t="shared" si="2"/>
        <v>0</v>
      </c>
      <c r="Y90" s="39"/>
      <c r="Z90" s="25">
        <v>0</v>
      </c>
      <c r="AA90" s="45"/>
      <c r="AB90" s="45"/>
      <c r="AC90" s="45"/>
      <c r="AD90" s="45"/>
      <c r="AE90" s="45"/>
    </row>
    <row r="91" spans="1:31" s="12" customFormat="1" ht="12">
      <c r="A91" s="27">
        <v>45600</v>
      </c>
      <c r="B91" s="53" t="s">
        <v>42</v>
      </c>
      <c r="C91" s="37">
        <v>0</v>
      </c>
      <c r="D91" s="34" t="s">
        <v>187</v>
      </c>
      <c r="E91" s="34" t="e">
        <f>IF(B91="","",VLOOKUP($B91,#REF!,4,FALSE))</f>
        <v>#REF!</v>
      </c>
      <c r="F91" s="34" t="e">
        <f>IF(E91="","",VLOOKUP($B91,#REF!,5,FALSE))</f>
        <v>#REF!</v>
      </c>
      <c r="G91" s="34" t="e">
        <f>IF(F91="","",VLOOKUP($B91,#REF!,6,FALSE))</f>
        <v>#REF!</v>
      </c>
      <c r="H91" s="34" t="e">
        <f>IF(G91="","",VLOOKUP($B91,#REF!,7,FALSE))</f>
        <v>#REF!</v>
      </c>
      <c r="I91" s="25"/>
      <c r="J91" s="25">
        <v>237</v>
      </c>
      <c r="K91" s="25"/>
      <c r="L91" s="25"/>
      <c r="M91" s="25"/>
      <c r="N91" s="25"/>
      <c r="O91" s="33">
        <f t="shared" si="3"/>
        <v>237</v>
      </c>
      <c r="P91" s="25"/>
      <c r="Q91" s="25">
        <v>0</v>
      </c>
      <c r="R91" s="25"/>
      <c r="S91" s="25"/>
      <c r="T91" s="25"/>
      <c r="U91" s="25"/>
      <c r="V91" s="39"/>
      <c r="W91" s="25"/>
      <c r="X91" s="33">
        <f t="shared" si="2"/>
        <v>0</v>
      </c>
      <c r="Y91" s="39"/>
      <c r="Z91" s="25">
        <v>0</v>
      </c>
      <c r="AA91" s="45"/>
      <c r="AB91" s="45"/>
      <c r="AC91" s="45"/>
      <c r="AD91" s="45"/>
      <c r="AE91" s="45"/>
    </row>
    <row r="92" spans="1:31" s="12" customFormat="1" ht="12">
      <c r="A92" s="27">
        <v>45600</v>
      </c>
      <c r="B92" s="53" t="s">
        <v>47</v>
      </c>
      <c r="C92" s="37">
        <v>0</v>
      </c>
      <c r="D92" s="34" t="s">
        <v>187</v>
      </c>
      <c r="E92" s="34" t="e">
        <f>IF(B92="","",VLOOKUP($B92,#REF!,4,FALSE))</f>
        <v>#REF!</v>
      </c>
      <c r="F92" s="34" t="e">
        <f>IF(E92="","",VLOOKUP($B92,#REF!,5,FALSE))</f>
        <v>#REF!</v>
      </c>
      <c r="G92" s="34" t="e">
        <f>IF(F92="","",VLOOKUP($B92,#REF!,6,FALSE))</f>
        <v>#REF!</v>
      </c>
      <c r="H92" s="34" t="e">
        <f>IF(G92="","",VLOOKUP($B92,#REF!,7,FALSE))</f>
        <v>#REF!</v>
      </c>
      <c r="I92" s="25"/>
      <c r="J92" s="25">
        <v>681</v>
      </c>
      <c r="K92" s="25"/>
      <c r="L92" s="25"/>
      <c r="M92" s="25"/>
      <c r="N92" s="25"/>
      <c r="O92" s="33">
        <f t="shared" si="3"/>
        <v>681</v>
      </c>
      <c r="P92" s="25"/>
      <c r="Q92" s="25">
        <v>0</v>
      </c>
      <c r="R92" s="25"/>
      <c r="S92" s="25"/>
      <c r="T92" s="25"/>
      <c r="U92" s="25"/>
      <c r="V92" s="39"/>
      <c r="W92" s="25"/>
      <c r="X92" s="33">
        <f t="shared" si="2"/>
        <v>0</v>
      </c>
      <c r="Y92" s="39"/>
      <c r="Z92" s="25">
        <v>0</v>
      </c>
      <c r="AA92" s="45"/>
      <c r="AB92" s="45"/>
      <c r="AC92" s="45"/>
      <c r="AD92" s="45"/>
      <c r="AE92" s="45"/>
    </row>
    <row r="93" spans="1:31" s="12" customFormat="1" ht="12">
      <c r="A93" s="27">
        <v>45600</v>
      </c>
      <c r="B93" s="53" t="s">
        <v>24</v>
      </c>
      <c r="C93" s="37" t="s">
        <v>117</v>
      </c>
      <c r="D93" s="34" t="s">
        <v>225</v>
      </c>
      <c r="E93" s="34" t="e">
        <f>IF(B93="","",VLOOKUP($B93,#REF!,4,FALSE))</f>
        <v>#REF!</v>
      </c>
      <c r="F93" s="34" t="e">
        <f>IF(E93="","",VLOOKUP($B93,#REF!,5,FALSE))</f>
        <v>#REF!</v>
      </c>
      <c r="G93" s="34" t="e">
        <f>IF(F93="","",VLOOKUP($B93,#REF!,6,FALSE))</f>
        <v>#REF!</v>
      </c>
      <c r="H93" s="34" t="e">
        <f>IF(G93="","",VLOOKUP($B93,#REF!,7,FALSE))</f>
        <v>#REF!</v>
      </c>
      <c r="I93" s="25"/>
      <c r="J93" s="25">
        <v>320</v>
      </c>
      <c r="K93" s="25"/>
      <c r="L93" s="25"/>
      <c r="M93" s="25"/>
      <c r="N93" s="25"/>
      <c r="O93" s="33">
        <f t="shared" si="3"/>
        <v>320</v>
      </c>
      <c r="P93" s="25">
        <v>74400</v>
      </c>
      <c r="Q93" s="25">
        <v>23808000</v>
      </c>
      <c r="R93" s="25"/>
      <c r="S93" s="25"/>
      <c r="T93" s="25"/>
      <c r="U93" s="25"/>
      <c r="V93" s="39"/>
      <c r="W93" s="25"/>
      <c r="X93" s="33">
        <f t="shared" si="2"/>
        <v>0</v>
      </c>
      <c r="Y93" s="39"/>
      <c r="Z93" s="25">
        <v>0</v>
      </c>
      <c r="AA93" s="45"/>
      <c r="AB93" s="45"/>
      <c r="AC93" s="45"/>
      <c r="AD93" s="45"/>
      <c r="AE93" s="45"/>
    </row>
    <row r="94" spans="1:31" s="12" customFormat="1" ht="12">
      <c r="A94" s="27">
        <v>45600</v>
      </c>
      <c r="B94" s="53" t="s">
        <v>230</v>
      </c>
      <c r="C94" s="37" t="s">
        <v>117</v>
      </c>
      <c r="D94" s="34" t="s">
        <v>225</v>
      </c>
      <c r="E94" s="34" t="e">
        <f>IF(B94="","",VLOOKUP($B94,#REF!,4,FALSE))</f>
        <v>#REF!</v>
      </c>
      <c r="F94" s="34" t="e">
        <f>IF(E94="","",VLOOKUP($B94,#REF!,5,FALSE))</f>
        <v>#REF!</v>
      </c>
      <c r="G94" s="34" t="e">
        <f>IF(F94="","",VLOOKUP($B94,#REF!,6,FALSE))</f>
        <v>#REF!</v>
      </c>
      <c r="H94" s="34" t="e">
        <f>IF(G94="","",VLOOKUP($B94,#REF!,7,FALSE))</f>
        <v>#REF!</v>
      </c>
      <c r="I94" s="25"/>
      <c r="J94" s="25">
        <v>0</v>
      </c>
      <c r="K94" s="25"/>
      <c r="L94" s="25"/>
      <c r="M94" s="25"/>
      <c r="N94" s="25"/>
      <c r="O94" s="33">
        <f t="shared" si="3"/>
        <v>0</v>
      </c>
      <c r="P94" s="25"/>
      <c r="Q94" s="25">
        <v>0</v>
      </c>
      <c r="R94" s="25">
        <v>672</v>
      </c>
      <c r="S94" s="25"/>
      <c r="T94" s="25"/>
      <c r="U94" s="25"/>
      <c r="V94" s="39"/>
      <c r="W94" s="25"/>
      <c r="X94" s="33">
        <f t="shared" si="2"/>
        <v>672</v>
      </c>
      <c r="Y94" s="39">
        <v>150000</v>
      </c>
      <c r="Z94" s="25">
        <v>100800000</v>
      </c>
      <c r="AA94" s="45"/>
      <c r="AB94" s="45"/>
      <c r="AC94" s="45"/>
      <c r="AD94" s="45"/>
      <c r="AE94" s="45"/>
    </row>
    <row r="95" spans="1:31" s="12" customFormat="1" ht="12">
      <c r="A95" s="27">
        <v>45600</v>
      </c>
      <c r="B95" s="53" t="s">
        <v>231</v>
      </c>
      <c r="C95" s="37" t="s">
        <v>224</v>
      </c>
      <c r="D95" s="34" t="s">
        <v>212</v>
      </c>
      <c r="E95" s="34" t="e">
        <f>IF(B95="","",VLOOKUP($B95,#REF!,4,FALSE))</f>
        <v>#REF!</v>
      </c>
      <c r="F95" s="34" t="e">
        <f>IF(E95="","",VLOOKUP($B95,#REF!,5,FALSE))</f>
        <v>#REF!</v>
      </c>
      <c r="G95" s="34" t="e">
        <f>IF(F95="","",VLOOKUP($B95,#REF!,6,FALSE))</f>
        <v>#REF!</v>
      </c>
      <c r="H95" s="34" t="e">
        <f>IF(G95="","",VLOOKUP($B95,#REF!,7,FALSE))</f>
        <v>#REF!</v>
      </c>
      <c r="I95" s="25"/>
      <c r="J95" s="25"/>
      <c r="K95" s="25"/>
      <c r="L95" s="25">
        <v>408</v>
      </c>
      <c r="M95" s="25"/>
      <c r="N95" s="25"/>
      <c r="O95" s="33">
        <f t="shared" si="3"/>
        <v>408</v>
      </c>
      <c r="P95" s="51">
        <v>30450</v>
      </c>
      <c r="Q95" s="51">
        <f>L95*P95</f>
        <v>12423600</v>
      </c>
      <c r="R95" s="25"/>
      <c r="S95" s="25"/>
      <c r="T95" s="25"/>
      <c r="U95" s="25"/>
      <c r="V95" s="39"/>
      <c r="W95" s="25"/>
      <c r="X95" s="33">
        <f t="shared" si="2"/>
        <v>0</v>
      </c>
      <c r="Y95" s="39"/>
      <c r="Z95" s="25">
        <v>0</v>
      </c>
      <c r="AA95" s="45" t="s">
        <v>213</v>
      </c>
      <c r="AB95" s="45"/>
      <c r="AC95" s="45"/>
      <c r="AD95" s="45"/>
      <c r="AE95" s="45"/>
    </row>
    <row r="96" spans="1:31" s="12" customFormat="1" ht="12">
      <c r="A96" s="27">
        <v>45600</v>
      </c>
      <c r="B96" s="53" t="s">
        <v>231</v>
      </c>
      <c r="C96" s="37" t="s">
        <v>224</v>
      </c>
      <c r="D96" s="34" t="s">
        <v>212</v>
      </c>
      <c r="E96" s="34" t="e">
        <f>IF(B96="","",VLOOKUP($B96,#REF!,4,FALSE))</f>
        <v>#REF!</v>
      </c>
      <c r="F96" s="34" t="e">
        <f>IF(E96="","",VLOOKUP($B96,#REF!,5,FALSE))</f>
        <v>#REF!</v>
      </c>
      <c r="G96" s="34" t="e">
        <f>IF(F96="","",VLOOKUP($B96,#REF!,6,FALSE))</f>
        <v>#REF!</v>
      </c>
      <c r="H96" s="34" t="e">
        <f>IF(G96="","",VLOOKUP($B96,#REF!,7,FALSE))</f>
        <v>#REF!</v>
      </c>
      <c r="I96" s="25"/>
      <c r="J96" s="25"/>
      <c r="K96" s="25"/>
      <c r="L96" s="25">
        <v>264</v>
      </c>
      <c r="M96" s="25"/>
      <c r="N96" s="25"/>
      <c r="O96" s="33">
        <f t="shared" si="3"/>
        <v>264</v>
      </c>
      <c r="P96" s="51">
        <v>30450</v>
      </c>
      <c r="Q96" s="51">
        <f>L96*P96</f>
        <v>8038800</v>
      </c>
      <c r="R96" s="25"/>
      <c r="S96" s="25"/>
      <c r="T96" s="25"/>
      <c r="U96" s="25"/>
      <c r="V96" s="39"/>
      <c r="W96" s="25"/>
      <c r="X96" s="33">
        <f t="shared" si="2"/>
        <v>0</v>
      </c>
      <c r="Y96" s="39"/>
      <c r="Z96" s="25">
        <v>0</v>
      </c>
      <c r="AA96" s="45" t="s">
        <v>213</v>
      </c>
      <c r="AB96" s="45"/>
      <c r="AC96" s="45"/>
      <c r="AD96" s="45"/>
      <c r="AE96" s="45"/>
    </row>
    <row r="97" spans="1:31" s="12" customFormat="1" ht="12">
      <c r="A97" s="27">
        <v>45600</v>
      </c>
      <c r="B97" s="53" t="s">
        <v>222</v>
      </c>
      <c r="C97" s="37" t="s">
        <v>87</v>
      </c>
      <c r="D97" s="34" t="s">
        <v>111</v>
      </c>
      <c r="E97" s="34" t="e">
        <f>IF(B97="","",VLOOKUP($B97,#REF!,4,FALSE))</f>
        <v>#REF!</v>
      </c>
      <c r="F97" s="34" t="e">
        <f>IF(E97="","",VLOOKUP($B97,#REF!,5,FALSE))</f>
        <v>#REF!</v>
      </c>
      <c r="G97" s="34" t="e">
        <f>IF(F97="","",VLOOKUP($B97,#REF!,6,FALSE))</f>
        <v>#REF!</v>
      </c>
      <c r="H97" s="34" t="e">
        <f>IF(G97="","",VLOOKUP($B97,#REF!,7,FALSE))</f>
        <v>#REF!</v>
      </c>
      <c r="I97" s="25"/>
      <c r="J97" s="25">
        <v>362</v>
      </c>
      <c r="K97" s="25"/>
      <c r="L97" s="25"/>
      <c r="M97" s="25"/>
      <c r="N97" s="25"/>
      <c r="O97" s="33">
        <f t="shared" si="3"/>
        <v>362</v>
      </c>
      <c r="P97" s="25"/>
      <c r="Q97" s="25">
        <v>0</v>
      </c>
      <c r="R97" s="25"/>
      <c r="S97" s="25"/>
      <c r="T97" s="25"/>
      <c r="U97" s="25"/>
      <c r="V97" s="39"/>
      <c r="W97" s="25"/>
      <c r="X97" s="33">
        <f t="shared" si="2"/>
        <v>0</v>
      </c>
      <c r="Y97" s="39"/>
      <c r="Z97" s="25">
        <v>0</v>
      </c>
      <c r="AA97" s="45"/>
      <c r="AB97" s="45"/>
      <c r="AC97" s="45"/>
      <c r="AD97" s="45"/>
      <c r="AE97" s="45"/>
    </row>
    <row r="98" spans="1:31" s="12" customFormat="1" ht="12">
      <c r="A98" s="27">
        <v>45600</v>
      </c>
      <c r="B98" s="54" t="s">
        <v>222</v>
      </c>
      <c r="C98" s="37" t="s">
        <v>130</v>
      </c>
      <c r="D98" s="34" t="s">
        <v>191</v>
      </c>
      <c r="E98" s="34" t="e">
        <f>IF(B98="","",VLOOKUP($B98,#REF!,4,FALSE))</f>
        <v>#REF!</v>
      </c>
      <c r="F98" s="34" t="e">
        <f>IF(E98="","",VLOOKUP($B98,#REF!,5,FALSE))</f>
        <v>#REF!</v>
      </c>
      <c r="G98" s="34" t="e">
        <f>IF(F98="","",VLOOKUP($B98,#REF!,6,FALSE))</f>
        <v>#REF!</v>
      </c>
      <c r="H98" s="34" t="e">
        <f>IF(G98="","",VLOOKUP($B98,#REF!,7,FALSE))</f>
        <v>#REF!</v>
      </c>
      <c r="I98" s="25"/>
      <c r="J98" s="25">
        <v>0</v>
      </c>
      <c r="K98" s="25"/>
      <c r="L98" s="25"/>
      <c r="M98" s="25"/>
      <c r="N98" s="25"/>
      <c r="O98" s="33">
        <f t="shared" si="3"/>
        <v>0</v>
      </c>
      <c r="P98" s="25"/>
      <c r="Q98" s="25">
        <v>0</v>
      </c>
      <c r="R98" s="25"/>
      <c r="S98" s="25">
        <v>362</v>
      </c>
      <c r="T98" s="25"/>
      <c r="U98" s="25"/>
      <c r="V98" s="39"/>
      <c r="W98" s="25"/>
      <c r="X98" s="33">
        <f t="shared" si="2"/>
        <v>362</v>
      </c>
      <c r="Y98" s="39">
        <v>10000</v>
      </c>
      <c r="Z98" s="25">
        <v>3620000</v>
      </c>
      <c r="AA98" s="45"/>
      <c r="AB98" s="45"/>
      <c r="AC98" s="45"/>
      <c r="AD98" s="45"/>
      <c r="AE98" s="45"/>
    </row>
    <row r="99" spans="1:31" s="12" customFormat="1" ht="12">
      <c r="A99" s="27">
        <v>45600</v>
      </c>
      <c r="B99" s="53" t="s">
        <v>223</v>
      </c>
      <c r="C99" s="37" t="s">
        <v>87</v>
      </c>
      <c r="D99" s="34" t="s">
        <v>111</v>
      </c>
      <c r="E99" s="34" t="e">
        <f>IF(B99="","",VLOOKUP($B99,#REF!,4,FALSE))</f>
        <v>#REF!</v>
      </c>
      <c r="F99" s="34" t="e">
        <f>IF(E99="","",VLOOKUP($B99,#REF!,5,FALSE))</f>
        <v>#REF!</v>
      </c>
      <c r="G99" s="34" t="e">
        <f>IF(F99="","",VLOOKUP($B99,#REF!,6,FALSE))</f>
        <v>#REF!</v>
      </c>
      <c r="H99" s="34" t="e">
        <f>IF(G99="","",VLOOKUP($B99,#REF!,7,FALSE))</f>
        <v>#REF!</v>
      </c>
      <c r="I99" s="25"/>
      <c r="J99" s="25">
        <v>132</v>
      </c>
      <c r="K99" s="25"/>
      <c r="L99" s="25"/>
      <c r="M99" s="25"/>
      <c r="N99" s="25"/>
      <c r="O99" s="33">
        <f t="shared" si="3"/>
        <v>132</v>
      </c>
      <c r="P99" s="25"/>
      <c r="Q99" s="25">
        <v>0</v>
      </c>
      <c r="R99" s="25"/>
      <c r="S99" s="25">
        <v>0</v>
      </c>
      <c r="T99" s="25"/>
      <c r="U99" s="25"/>
      <c r="V99" s="39"/>
      <c r="W99" s="25"/>
      <c r="X99" s="33">
        <f t="shared" si="2"/>
        <v>0</v>
      </c>
      <c r="Y99" s="39"/>
      <c r="Z99" s="25">
        <v>0</v>
      </c>
      <c r="AA99" s="45"/>
      <c r="AB99" s="45"/>
      <c r="AC99" s="45"/>
      <c r="AD99" s="45"/>
      <c r="AE99" s="45"/>
    </row>
    <row r="100" spans="1:31" s="12" customFormat="1" ht="12">
      <c r="A100" s="27">
        <v>45600</v>
      </c>
      <c r="B100" s="53" t="s">
        <v>223</v>
      </c>
      <c r="C100" s="37" t="s">
        <v>130</v>
      </c>
      <c r="D100" s="34" t="s">
        <v>191</v>
      </c>
      <c r="E100" s="34" t="e">
        <f>IF(B100="","",VLOOKUP($B100,#REF!,4,FALSE))</f>
        <v>#REF!</v>
      </c>
      <c r="F100" s="34" t="e">
        <f>IF(E100="","",VLOOKUP($B100,#REF!,5,FALSE))</f>
        <v>#REF!</v>
      </c>
      <c r="G100" s="34" t="e">
        <f>IF(F100="","",VLOOKUP($B100,#REF!,6,FALSE))</f>
        <v>#REF!</v>
      </c>
      <c r="H100" s="34" t="e">
        <f>IF(G100="","",VLOOKUP($B100,#REF!,7,FALSE))</f>
        <v>#REF!</v>
      </c>
      <c r="I100" s="25"/>
      <c r="J100" s="25"/>
      <c r="K100" s="25"/>
      <c r="L100" s="25"/>
      <c r="M100" s="25"/>
      <c r="N100" s="25"/>
      <c r="O100" s="33">
        <f t="shared" si="3"/>
        <v>0</v>
      </c>
      <c r="P100" s="25"/>
      <c r="Q100" s="25">
        <v>0</v>
      </c>
      <c r="R100" s="25"/>
      <c r="S100" s="25">
        <v>132</v>
      </c>
      <c r="T100" s="25"/>
      <c r="U100" s="25"/>
      <c r="V100" s="39"/>
      <c r="W100" s="25"/>
      <c r="X100" s="33">
        <f t="shared" si="2"/>
        <v>132</v>
      </c>
      <c r="Y100" s="39">
        <v>8000</v>
      </c>
      <c r="Z100" s="25">
        <v>1056000</v>
      </c>
      <c r="AA100" s="45"/>
      <c r="AB100" s="45"/>
      <c r="AC100" s="45"/>
      <c r="AD100" s="45"/>
      <c r="AE100" s="45"/>
    </row>
    <row r="101" spans="1:31" s="12" customFormat="1" ht="12">
      <c r="A101" s="27">
        <v>45600</v>
      </c>
      <c r="B101" s="53" t="s">
        <v>198</v>
      </c>
      <c r="C101" s="37">
        <v>0</v>
      </c>
      <c r="D101" s="34" t="s">
        <v>187</v>
      </c>
      <c r="E101" s="34" t="e">
        <f>IF(B101="","",VLOOKUP($B101,#REF!,4,FALSE))</f>
        <v>#REF!</v>
      </c>
      <c r="F101" s="34" t="e">
        <f>IF(E101="","",VLOOKUP($B101,#REF!,5,FALSE))</f>
        <v>#REF!</v>
      </c>
      <c r="G101" s="34" t="e">
        <f>IF(F101="","",VLOOKUP($B101,#REF!,6,FALSE))</f>
        <v>#REF!</v>
      </c>
      <c r="H101" s="34" t="e">
        <f>IF(G101="","",VLOOKUP($B101,#REF!,7,FALSE))</f>
        <v>#REF!</v>
      </c>
      <c r="I101" s="25"/>
      <c r="J101" s="25"/>
      <c r="K101" s="25"/>
      <c r="L101" s="25"/>
      <c r="M101" s="25"/>
      <c r="N101" s="25"/>
      <c r="O101" s="33">
        <f t="shared" si="3"/>
        <v>0</v>
      </c>
      <c r="P101" s="25"/>
      <c r="Q101" s="25">
        <v>0</v>
      </c>
      <c r="R101" s="25"/>
      <c r="S101" s="25"/>
      <c r="T101" s="25">
        <v>3</v>
      </c>
      <c r="U101" s="25"/>
      <c r="V101" s="39"/>
      <c r="W101" s="25"/>
      <c r="X101" s="33">
        <f t="shared" si="2"/>
        <v>3</v>
      </c>
      <c r="Y101" s="39"/>
      <c r="Z101" s="25">
        <v>0</v>
      </c>
      <c r="AA101" s="45" t="s">
        <v>255</v>
      </c>
      <c r="AB101" s="45"/>
      <c r="AC101" s="45"/>
      <c r="AD101" s="45"/>
      <c r="AE101" s="45"/>
    </row>
    <row r="102" spans="1:31" s="12" customFormat="1" ht="12">
      <c r="A102" s="27">
        <v>45600</v>
      </c>
      <c r="B102" s="53" t="s">
        <v>8</v>
      </c>
      <c r="C102" s="37">
        <v>0</v>
      </c>
      <c r="D102" s="34" t="s">
        <v>187</v>
      </c>
      <c r="E102" s="34" t="e">
        <f>IF(B102="","",VLOOKUP($B102,#REF!,4,FALSE))</f>
        <v>#REF!</v>
      </c>
      <c r="F102" s="34" t="e">
        <f>IF(E102="","",VLOOKUP($B102,#REF!,5,FALSE))</f>
        <v>#REF!</v>
      </c>
      <c r="G102" s="34" t="e">
        <f>IF(F102="","",VLOOKUP($B102,#REF!,6,FALSE))</f>
        <v>#REF!</v>
      </c>
      <c r="H102" s="34" t="e">
        <f>IF(G102="","",VLOOKUP($B102,#REF!,7,FALSE))</f>
        <v>#REF!</v>
      </c>
      <c r="I102" s="25"/>
      <c r="J102" s="25"/>
      <c r="K102" s="25"/>
      <c r="L102" s="25"/>
      <c r="M102" s="25"/>
      <c r="N102" s="25"/>
      <c r="O102" s="33">
        <f t="shared" si="3"/>
        <v>0</v>
      </c>
      <c r="P102" s="25"/>
      <c r="Q102" s="25">
        <v>0</v>
      </c>
      <c r="R102" s="25"/>
      <c r="S102" s="25"/>
      <c r="T102" s="25">
        <v>2</v>
      </c>
      <c r="U102" s="25"/>
      <c r="V102" s="39"/>
      <c r="W102" s="25"/>
      <c r="X102" s="33">
        <f t="shared" si="2"/>
        <v>2</v>
      </c>
      <c r="Y102" s="39"/>
      <c r="Z102" s="25">
        <v>0</v>
      </c>
      <c r="AA102" s="45" t="s">
        <v>255</v>
      </c>
      <c r="AB102" s="45"/>
      <c r="AC102" s="45"/>
      <c r="AD102" s="45"/>
      <c r="AE102" s="45"/>
    </row>
    <row r="103" spans="1:31" s="12" customFormat="1" ht="12">
      <c r="A103" s="27">
        <v>45600</v>
      </c>
      <c r="B103" s="53" t="s">
        <v>39</v>
      </c>
      <c r="C103" s="37">
        <v>0</v>
      </c>
      <c r="D103" s="34" t="s">
        <v>187</v>
      </c>
      <c r="E103" s="34" t="e">
        <f>IF(B103="","",VLOOKUP($B103,#REF!,4,FALSE))</f>
        <v>#REF!</v>
      </c>
      <c r="F103" s="34" t="e">
        <f>IF(E103="","",VLOOKUP($B103,#REF!,5,FALSE))</f>
        <v>#REF!</v>
      </c>
      <c r="G103" s="34" t="e">
        <f>IF(F103="","",VLOOKUP($B103,#REF!,6,FALSE))</f>
        <v>#REF!</v>
      </c>
      <c r="H103" s="34" t="e">
        <f>IF(G103="","",VLOOKUP($B103,#REF!,7,FALSE))</f>
        <v>#REF!</v>
      </c>
      <c r="I103" s="25"/>
      <c r="J103" s="25"/>
      <c r="K103" s="25"/>
      <c r="L103" s="25"/>
      <c r="M103" s="25"/>
      <c r="N103" s="25"/>
      <c r="O103" s="33">
        <f t="shared" si="3"/>
        <v>0</v>
      </c>
      <c r="P103" s="25"/>
      <c r="Q103" s="25">
        <v>0</v>
      </c>
      <c r="R103" s="25"/>
      <c r="S103" s="25"/>
      <c r="T103" s="25">
        <v>3</v>
      </c>
      <c r="U103" s="25"/>
      <c r="V103" s="39"/>
      <c r="W103" s="25"/>
      <c r="X103" s="33">
        <f t="shared" si="2"/>
        <v>3</v>
      </c>
      <c r="Y103" s="39"/>
      <c r="Z103" s="25">
        <v>0</v>
      </c>
      <c r="AA103" s="45" t="s">
        <v>255</v>
      </c>
      <c r="AB103" s="45"/>
      <c r="AC103" s="45"/>
      <c r="AD103" s="45"/>
      <c r="AE103" s="45"/>
    </row>
    <row r="104" spans="1:31" s="12" customFormat="1" ht="12">
      <c r="A104" s="27">
        <v>45600</v>
      </c>
      <c r="B104" s="28" t="s">
        <v>10</v>
      </c>
      <c r="C104" s="37">
        <v>0</v>
      </c>
      <c r="D104" s="34" t="s">
        <v>187</v>
      </c>
      <c r="E104" s="34" t="e">
        <f>IF(B104="","",VLOOKUP($B104,#REF!,4,FALSE))</f>
        <v>#REF!</v>
      </c>
      <c r="F104" s="34" t="e">
        <f>IF(E104="","",VLOOKUP($B104,#REF!,5,FALSE))</f>
        <v>#REF!</v>
      </c>
      <c r="G104" s="34" t="e">
        <f>IF(F104="","",VLOOKUP($B104,#REF!,6,FALSE))</f>
        <v>#REF!</v>
      </c>
      <c r="H104" s="34" t="e">
        <f>IF(G104="","",VLOOKUP($B104,#REF!,7,FALSE))</f>
        <v>#REF!</v>
      </c>
      <c r="I104" s="25"/>
      <c r="J104" s="25"/>
      <c r="K104" s="25"/>
      <c r="L104" s="25"/>
      <c r="M104" s="25"/>
      <c r="N104" s="25"/>
      <c r="O104" s="33">
        <f t="shared" si="3"/>
        <v>0</v>
      </c>
      <c r="P104" s="25"/>
      <c r="Q104" s="25">
        <v>0</v>
      </c>
      <c r="R104" s="25"/>
      <c r="S104" s="25"/>
      <c r="T104" s="25">
        <v>20</v>
      </c>
      <c r="U104" s="25"/>
      <c r="V104" s="39"/>
      <c r="W104" s="25"/>
      <c r="X104" s="33">
        <f t="shared" si="2"/>
        <v>20</v>
      </c>
      <c r="Y104" s="39"/>
      <c r="Z104" s="25">
        <v>0</v>
      </c>
      <c r="AA104" s="45" t="s">
        <v>255</v>
      </c>
      <c r="AB104" s="45"/>
      <c r="AC104" s="45"/>
      <c r="AD104" s="45"/>
      <c r="AE104" s="45"/>
    </row>
    <row r="105" spans="1:31" s="12" customFormat="1" ht="12">
      <c r="A105" s="27">
        <v>45600</v>
      </c>
      <c r="B105" s="53" t="s">
        <v>56</v>
      </c>
      <c r="C105" s="37">
        <v>0</v>
      </c>
      <c r="D105" s="34" t="s">
        <v>187</v>
      </c>
      <c r="E105" s="34" t="e">
        <f>IF(B105="","",VLOOKUP($B105,#REF!,4,FALSE))</f>
        <v>#REF!</v>
      </c>
      <c r="F105" s="34" t="e">
        <f>IF(E105="","",VLOOKUP($B105,#REF!,5,FALSE))</f>
        <v>#REF!</v>
      </c>
      <c r="G105" s="34" t="e">
        <f>IF(F105="","",VLOOKUP($B105,#REF!,6,FALSE))</f>
        <v>#REF!</v>
      </c>
      <c r="H105" s="34" t="e">
        <f>IF(G105="","",VLOOKUP($B105,#REF!,7,FALSE))</f>
        <v>#REF!</v>
      </c>
      <c r="I105" s="25"/>
      <c r="J105" s="25"/>
      <c r="K105" s="25"/>
      <c r="L105" s="25"/>
      <c r="M105" s="25"/>
      <c r="N105" s="25"/>
      <c r="O105" s="33">
        <f t="shared" si="3"/>
        <v>0</v>
      </c>
      <c r="P105" s="25"/>
      <c r="Q105" s="25">
        <v>0</v>
      </c>
      <c r="R105" s="25"/>
      <c r="S105" s="25"/>
      <c r="T105" s="25"/>
      <c r="U105" s="25">
        <v>2</v>
      </c>
      <c r="V105" s="39"/>
      <c r="W105" s="25"/>
      <c r="X105" s="33">
        <f t="shared" si="2"/>
        <v>2</v>
      </c>
      <c r="Y105" s="39"/>
      <c r="Z105" s="25">
        <v>0</v>
      </c>
      <c r="AA105" s="45" t="s">
        <v>255</v>
      </c>
      <c r="AB105" s="45"/>
      <c r="AC105" s="45"/>
      <c r="AD105" s="45"/>
      <c r="AE105" s="45"/>
    </row>
    <row r="106" spans="1:31" s="12" customFormat="1" ht="12">
      <c r="A106" s="27">
        <v>45600</v>
      </c>
      <c r="B106" s="56" t="s">
        <v>69</v>
      </c>
      <c r="C106" s="37" t="s">
        <v>86</v>
      </c>
      <c r="D106" s="34" t="s">
        <v>51</v>
      </c>
      <c r="E106" s="34" t="e">
        <f>IF(B106="","",VLOOKUP($B106,#REF!,4,FALSE))</f>
        <v>#REF!</v>
      </c>
      <c r="F106" s="34" t="e">
        <f>IF(E106="","",VLOOKUP($B106,#REF!,5,FALSE))</f>
        <v>#REF!</v>
      </c>
      <c r="G106" s="34" t="e">
        <f>IF(F106="","",VLOOKUP($B106,#REF!,6,FALSE))</f>
        <v>#REF!</v>
      </c>
      <c r="H106" s="34" t="e">
        <f>IF(G106="","",VLOOKUP($B106,#REF!,7,FALSE))</f>
        <v>#REF!</v>
      </c>
      <c r="I106" s="25"/>
      <c r="J106" s="25"/>
      <c r="K106" s="25">
        <v>2</v>
      </c>
      <c r="L106" s="25"/>
      <c r="M106" s="25"/>
      <c r="N106" s="25"/>
      <c r="O106" s="33">
        <f t="shared" si="3"/>
        <v>2</v>
      </c>
      <c r="P106" s="25"/>
      <c r="Q106" s="25">
        <v>0</v>
      </c>
      <c r="R106" s="25"/>
      <c r="S106" s="25"/>
      <c r="T106" s="25">
        <v>2</v>
      </c>
      <c r="U106" s="25"/>
      <c r="V106" s="39"/>
      <c r="W106" s="25"/>
      <c r="X106" s="33">
        <f t="shared" si="2"/>
        <v>2</v>
      </c>
      <c r="Y106" s="39">
        <v>220000</v>
      </c>
      <c r="Z106" s="25">
        <v>440000</v>
      </c>
      <c r="AA106" s="45" t="s">
        <v>256</v>
      </c>
      <c r="AB106" s="45"/>
      <c r="AC106" s="45"/>
      <c r="AD106" s="45"/>
      <c r="AE106" s="45"/>
    </row>
    <row r="107" spans="1:31" s="12" customFormat="1" ht="12">
      <c r="A107" s="27">
        <v>45600</v>
      </c>
      <c r="B107" s="47" t="s">
        <v>56</v>
      </c>
      <c r="C107" s="37" t="s">
        <v>82</v>
      </c>
      <c r="D107" s="34" t="s">
        <v>186</v>
      </c>
      <c r="E107" s="34" t="e">
        <f>IF(B107="","",VLOOKUP($B107,#REF!,4,FALSE))</f>
        <v>#REF!</v>
      </c>
      <c r="F107" s="34" t="e">
        <f>IF(E107="","",VLOOKUP($B107,#REF!,5,FALSE))</f>
        <v>#REF!</v>
      </c>
      <c r="G107" s="34" t="e">
        <f>IF(F107="","",VLOOKUP($B107,#REF!,6,FALSE))</f>
        <v>#REF!</v>
      </c>
      <c r="H107" s="34" t="e">
        <f>IF(G107="","",VLOOKUP($B107,#REF!,7,FALSE))</f>
        <v>#REF!</v>
      </c>
      <c r="I107" s="25"/>
      <c r="J107" s="25"/>
      <c r="K107" s="25"/>
      <c r="L107" s="25"/>
      <c r="M107" s="25"/>
      <c r="N107" s="25"/>
      <c r="O107" s="33">
        <f t="shared" si="3"/>
        <v>0</v>
      </c>
      <c r="P107" s="25"/>
      <c r="Q107" s="25">
        <v>0</v>
      </c>
      <c r="R107" s="25"/>
      <c r="S107" s="25"/>
      <c r="T107" s="25"/>
      <c r="U107" s="25">
        <v>5</v>
      </c>
      <c r="V107" s="39"/>
      <c r="W107" s="25"/>
      <c r="X107" s="33">
        <f t="shared" si="2"/>
        <v>5</v>
      </c>
      <c r="Y107" s="39"/>
      <c r="Z107" s="25">
        <v>0</v>
      </c>
      <c r="AA107" s="45" t="s">
        <v>257</v>
      </c>
      <c r="AB107" s="45"/>
      <c r="AC107" s="45"/>
      <c r="AD107" s="45"/>
      <c r="AE107" s="45"/>
    </row>
    <row r="108" spans="1:31" s="12" customFormat="1" ht="12">
      <c r="A108" s="27">
        <v>45600</v>
      </c>
      <c r="B108" s="53" t="s">
        <v>64</v>
      </c>
      <c r="C108" s="37" t="s">
        <v>84</v>
      </c>
      <c r="D108" s="34" t="s">
        <v>184</v>
      </c>
      <c r="E108" s="34" t="e">
        <f>IF(B108="","",VLOOKUP($B108,#REF!,4,FALSE))</f>
        <v>#REF!</v>
      </c>
      <c r="F108" s="34" t="e">
        <f>IF(E108="","",VLOOKUP($B108,#REF!,5,FALSE))</f>
        <v>#REF!</v>
      </c>
      <c r="G108" s="34" t="e">
        <f>IF(F108="","",VLOOKUP($B108,#REF!,6,FALSE))</f>
        <v>#REF!</v>
      </c>
      <c r="H108" s="34" t="e">
        <f>IF(G108="","",VLOOKUP($B108,#REF!,7,FALSE))</f>
        <v>#REF!</v>
      </c>
      <c r="I108" s="25"/>
      <c r="J108" s="25"/>
      <c r="K108" s="25">
        <v>10</v>
      </c>
      <c r="L108" s="25"/>
      <c r="M108" s="25"/>
      <c r="N108" s="25"/>
      <c r="O108" s="33">
        <f t="shared" si="3"/>
        <v>10</v>
      </c>
      <c r="P108" s="25"/>
      <c r="Q108" s="25">
        <v>0</v>
      </c>
      <c r="R108" s="25"/>
      <c r="S108" s="25"/>
      <c r="T108" s="25"/>
      <c r="U108" s="25"/>
      <c r="V108" s="39"/>
      <c r="W108" s="25"/>
      <c r="X108" s="33">
        <f t="shared" si="2"/>
        <v>0</v>
      </c>
      <c r="Y108" s="39"/>
      <c r="Z108" s="25">
        <v>0</v>
      </c>
      <c r="AA108" s="45" t="s">
        <v>258</v>
      </c>
      <c r="AB108" s="45"/>
      <c r="AC108" s="45"/>
      <c r="AD108" s="45"/>
      <c r="AE108" s="45"/>
    </row>
    <row r="109" spans="1:31" s="12" customFormat="1" ht="12">
      <c r="A109" s="27">
        <v>45600</v>
      </c>
      <c r="B109" s="73" t="s">
        <v>163</v>
      </c>
      <c r="C109" s="37" t="s">
        <v>136</v>
      </c>
      <c r="D109" s="34" t="s">
        <v>177</v>
      </c>
      <c r="E109" s="34" t="e">
        <f>IF(B109="","",VLOOKUP($B109,#REF!,4,FALSE))</f>
        <v>#REF!</v>
      </c>
      <c r="F109" s="34" t="e">
        <f>IF(E109="","",VLOOKUP($B109,#REF!,5,FALSE))</f>
        <v>#REF!</v>
      </c>
      <c r="G109" s="34" t="e">
        <f>IF(F109="","",VLOOKUP($B109,#REF!,6,FALSE))</f>
        <v>#REF!</v>
      </c>
      <c r="H109" s="34" t="e">
        <f>IF(G109="","",VLOOKUP($B109,#REF!,7,FALSE))</f>
        <v>#REF!</v>
      </c>
      <c r="I109" s="25"/>
      <c r="J109" s="25"/>
      <c r="K109" s="25"/>
      <c r="L109" s="25"/>
      <c r="M109" s="25"/>
      <c r="N109" s="25"/>
      <c r="O109" s="33">
        <f t="shared" si="3"/>
        <v>0</v>
      </c>
      <c r="P109" s="25"/>
      <c r="Q109" s="25">
        <v>0</v>
      </c>
      <c r="R109" s="25"/>
      <c r="S109" s="25"/>
      <c r="T109" s="25">
        <v>2</v>
      </c>
      <c r="U109" s="25"/>
      <c r="V109" s="39"/>
      <c r="W109" s="25"/>
      <c r="X109" s="33">
        <f t="shared" si="2"/>
        <v>2</v>
      </c>
      <c r="Y109" s="39">
        <v>46400</v>
      </c>
      <c r="Z109" s="25">
        <v>92800</v>
      </c>
      <c r="AA109" s="45" t="s">
        <v>136</v>
      </c>
      <c r="AB109" s="45" t="s">
        <v>177</v>
      </c>
      <c r="AC109" s="45"/>
      <c r="AD109" s="45"/>
      <c r="AE109" s="45"/>
    </row>
    <row r="110" spans="1:31" s="12" customFormat="1" ht="12">
      <c r="A110" s="27">
        <v>45600</v>
      </c>
      <c r="B110" s="53" t="s">
        <v>11</v>
      </c>
      <c r="C110" s="37" t="s">
        <v>136</v>
      </c>
      <c r="D110" s="34" t="s">
        <v>178</v>
      </c>
      <c r="E110" s="34" t="e">
        <f>IF(B110="","",VLOOKUP($B110,#REF!,4,FALSE))</f>
        <v>#REF!</v>
      </c>
      <c r="F110" s="34" t="e">
        <f>IF(E110="","",VLOOKUP($B110,#REF!,5,FALSE))</f>
        <v>#REF!</v>
      </c>
      <c r="G110" s="34" t="e">
        <f>IF(F110="","",VLOOKUP($B110,#REF!,6,FALSE))</f>
        <v>#REF!</v>
      </c>
      <c r="H110" s="34" t="e">
        <f>IF(G110="","",VLOOKUP($B110,#REF!,7,FALSE))</f>
        <v>#REF!</v>
      </c>
      <c r="I110" s="25"/>
      <c r="J110" s="25"/>
      <c r="K110" s="25"/>
      <c r="L110" s="25"/>
      <c r="M110" s="25"/>
      <c r="N110" s="25"/>
      <c r="O110" s="33">
        <f t="shared" si="3"/>
        <v>0</v>
      </c>
      <c r="P110" s="25"/>
      <c r="Q110" s="25">
        <v>0</v>
      </c>
      <c r="R110" s="25"/>
      <c r="S110" s="25"/>
      <c r="T110" s="25">
        <v>1</v>
      </c>
      <c r="U110" s="25"/>
      <c r="V110" s="39"/>
      <c r="W110" s="25"/>
      <c r="X110" s="33">
        <f t="shared" si="2"/>
        <v>1</v>
      </c>
      <c r="Y110" s="39">
        <v>44000</v>
      </c>
      <c r="Z110" s="25">
        <v>44000</v>
      </c>
      <c r="AA110" s="45" t="s">
        <v>136</v>
      </c>
      <c r="AB110" s="45" t="s">
        <v>178</v>
      </c>
      <c r="AC110" s="45"/>
      <c r="AD110" s="45"/>
      <c r="AE110" s="45"/>
    </row>
    <row r="111" spans="1:31" s="12" customFormat="1" ht="12">
      <c r="A111" s="27">
        <v>45600</v>
      </c>
      <c r="B111" s="28" t="s">
        <v>10</v>
      </c>
      <c r="C111" s="37" t="s">
        <v>83</v>
      </c>
      <c r="D111" s="34" t="s">
        <v>185</v>
      </c>
      <c r="E111" s="34" t="e">
        <f>IF(B111="","",VLOOKUP($B111,#REF!,4,FALSE))</f>
        <v>#REF!</v>
      </c>
      <c r="F111" s="34" t="e">
        <f>IF(E111="","",VLOOKUP($B111,#REF!,5,FALSE))</f>
        <v>#REF!</v>
      </c>
      <c r="G111" s="34" t="e">
        <f>IF(F111="","",VLOOKUP($B111,#REF!,6,FALSE))</f>
        <v>#REF!</v>
      </c>
      <c r="H111" s="34" t="e">
        <f>IF(G111="","",VLOOKUP($B111,#REF!,7,FALSE))</f>
        <v>#REF!</v>
      </c>
      <c r="I111" s="25"/>
      <c r="J111" s="25"/>
      <c r="K111" s="25"/>
      <c r="L111" s="25"/>
      <c r="M111" s="25"/>
      <c r="N111" s="25"/>
      <c r="O111" s="33">
        <f t="shared" si="3"/>
        <v>0</v>
      </c>
      <c r="P111" s="25"/>
      <c r="Q111" s="25">
        <v>0</v>
      </c>
      <c r="R111" s="25"/>
      <c r="S111" s="25"/>
      <c r="T111" s="25">
        <v>1</v>
      </c>
      <c r="U111" s="25"/>
      <c r="V111" s="39"/>
      <c r="W111" s="25"/>
      <c r="X111" s="33">
        <f t="shared" si="2"/>
        <v>1</v>
      </c>
      <c r="Y111" s="39"/>
      <c r="Z111" s="25">
        <v>0</v>
      </c>
      <c r="AA111" s="45"/>
      <c r="AB111" s="45"/>
      <c r="AC111" s="45"/>
      <c r="AD111" s="45"/>
      <c r="AE111" s="45"/>
    </row>
    <row r="112" spans="1:31" s="12" customFormat="1" ht="12">
      <c r="A112" s="27">
        <v>45600</v>
      </c>
      <c r="B112" s="73" t="s">
        <v>46</v>
      </c>
      <c r="C112" s="37" t="s">
        <v>135</v>
      </c>
      <c r="D112" s="34" t="s">
        <v>179</v>
      </c>
      <c r="E112" s="34" t="e">
        <f>IF(B112="","",VLOOKUP($B112,#REF!,4,FALSE))</f>
        <v>#REF!</v>
      </c>
      <c r="F112" s="34" t="e">
        <f>IF(E112="","",VLOOKUP($B112,#REF!,5,FALSE))</f>
        <v>#REF!</v>
      </c>
      <c r="G112" s="34" t="e">
        <f>IF(F112="","",VLOOKUP($B112,#REF!,6,FALSE))</f>
        <v>#REF!</v>
      </c>
      <c r="H112" s="34" t="e">
        <f>IF(G112="","",VLOOKUP($B112,#REF!,7,FALSE))</f>
        <v>#REF!</v>
      </c>
      <c r="I112" s="25"/>
      <c r="J112" s="25"/>
      <c r="K112" s="25">
        <v>1</v>
      </c>
      <c r="L112" s="25"/>
      <c r="M112" s="25"/>
      <c r="N112" s="25"/>
      <c r="O112" s="33">
        <f t="shared" si="3"/>
        <v>1</v>
      </c>
      <c r="P112" s="25"/>
      <c r="Q112" s="25">
        <v>0</v>
      </c>
      <c r="R112" s="25"/>
      <c r="S112" s="25"/>
      <c r="T112" s="25">
        <v>1</v>
      </c>
      <c r="U112" s="25"/>
      <c r="V112" s="39"/>
      <c r="W112" s="25"/>
      <c r="X112" s="33">
        <f t="shared" si="2"/>
        <v>1</v>
      </c>
      <c r="Y112" s="39">
        <v>56400</v>
      </c>
      <c r="Z112" s="25">
        <v>56400</v>
      </c>
      <c r="AA112" s="45" t="s">
        <v>135</v>
      </c>
      <c r="AB112" s="45" t="s">
        <v>179</v>
      </c>
      <c r="AC112" s="45"/>
      <c r="AD112" s="45"/>
      <c r="AE112" s="45"/>
    </row>
    <row r="113" spans="1:31" s="12" customFormat="1" ht="12">
      <c r="A113" s="27">
        <v>45600</v>
      </c>
      <c r="B113" s="28" t="s">
        <v>11</v>
      </c>
      <c r="C113" s="37" t="s">
        <v>135</v>
      </c>
      <c r="D113" s="34" t="s">
        <v>179</v>
      </c>
      <c r="E113" s="34" t="e">
        <f>IF(B113="","",VLOOKUP($B113,#REF!,4,FALSE))</f>
        <v>#REF!</v>
      </c>
      <c r="F113" s="34" t="e">
        <f>IF(E113="","",VLOOKUP($B113,#REF!,5,FALSE))</f>
        <v>#REF!</v>
      </c>
      <c r="G113" s="34" t="e">
        <f>IF(F113="","",VLOOKUP($B113,#REF!,6,FALSE))</f>
        <v>#REF!</v>
      </c>
      <c r="H113" s="34" t="e">
        <f>IF(G113="","",VLOOKUP($B113,#REF!,7,FALSE))</f>
        <v>#REF!</v>
      </c>
      <c r="I113" s="25"/>
      <c r="J113" s="25"/>
      <c r="K113" s="25"/>
      <c r="L113" s="25"/>
      <c r="M113" s="25"/>
      <c r="N113" s="25"/>
      <c r="O113" s="33">
        <f t="shared" si="3"/>
        <v>0</v>
      </c>
      <c r="P113" s="25"/>
      <c r="Q113" s="25">
        <v>0</v>
      </c>
      <c r="R113" s="25"/>
      <c r="S113" s="25"/>
      <c r="T113" s="25">
        <v>2</v>
      </c>
      <c r="U113" s="25"/>
      <c r="V113" s="39"/>
      <c r="W113" s="25"/>
      <c r="X113" s="33">
        <f t="shared" si="2"/>
        <v>2</v>
      </c>
      <c r="Y113" s="39">
        <v>44000</v>
      </c>
      <c r="Z113" s="25">
        <v>88000</v>
      </c>
      <c r="AA113" s="45" t="s">
        <v>135</v>
      </c>
      <c r="AB113" s="45" t="s">
        <v>179</v>
      </c>
      <c r="AC113" s="45"/>
      <c r="AD113" s="45"/>
      <c r="AE113" s="45"/>
    </row>
    <row r="114" spans="1:31" s="12" customFormat="1" ht="12">
      <c r="A114" s="27">
        <v>45600</v>
      </c>
      <c r="B114" s="28" t="s">
        <v>15</v>
      </c>
      <c r="C114" s="37" t="s">
        <v>83</v>
      </c>
      <c r="D114" s="34" t="s">
        <v>185</v>
      </c>
      <c r="E114" s="34" t="e">
        <f>IF(B114="","",VLOOKUP($B114,#REF!,4,FALSE))</f>
        <v>#REF!</v>
      </c>
      <c r="F114" s="34" t="e">
        <f>IF(E114="","",VLOOKUP($B114,#REF!,5,FALSE))</f>
        <v>#REF!</v>
      </c>
      <c r="G114" s="34" t="e">
        <f>IF(F114="","",VLOOKUP($B114,#REF!,6,FALSE))</f>
        <v>#REF!</v>
      </c>
      <c r="H114" s="34" t="e">
        <f>IF(G114="","",VLOOKUP($B114,#REF!,7,FALSE))</f>
        <v>#REF!</v>
      </c>
      <c r="I114" s="25"/>
      <c r="J114" s="25"/>
      <c r="K114" s="25"/>
      <c r="L114" s="25"/>
      <c r="M114" s="25"/>
      <c r="N114" s="25"/>
      <c r="O114" s="33">
        <f t="shared" si="3"/>
        <v>0</v>
      </c>
      <c r="P114" s="25"/>
      <c r="Q114" s="25">
        <v>0</v>
      </c>
      <c r="R114" s="25"/>
      <c r="S114" s="25"/>
      <c r="T114" s="25">
        <v>4</v>
      </c>
      <c r="U114" s="25"/>
      <c r="V114" s="39"/>
      <c r="W114" s="25"/>
      <c r="X114" s="33">
        <f t="shared" si="2"/>
        <v>4</v>
      </c>
      <c r="Y114" s="39">
        <v>69600</v>
      </c>
      <c r="Z114" s="25">
        <v>278400</v>
      </c>
      <c r="AA114" s="45"/>
      <c r="AB114" s="45"/>
      <c r="AC114" s="45"/>
      <c r="AD114" s="45"/>
      <c r="AE114" s="45"/>
    </row>
    <row r="115" spans="1:31" s="12" customFormat="1" ht="12">
      <c r="A115" s="27">
        <v>45600</v>
      </c>
      <c r="B115" s="28" t="s">
        <v>10</v>
      </c>
      <c r="C115" s="37" t="s">
        <v>83</v>
      </c>
      <c r="D115" s="34" t="s">
        <v>185</v>
      </c>
      <c r="E115" s="34" t="e">
        <f>IF(B115="","",VLOOKUP($B115,#REF!,4,FALSE))</f>
        <v>#REF!</v>
      </c>
      <c r="F115" s="34" t="e">
        <f>IF(E115="","",VLOOKUP($B115,#REF!,5,FALSE))</f>
        <v>#REF!</v>
      </c>
      <c r="G115" s="34" t="e">
        <f>IF(F115="","",VLOOKUP($B115,#REF!,6,FALSE))</f>
        <v>#REF!</v>
      </c>
      <c r="H115" s="34" t="e">
        <f>IF(G115="","",VLOOKUP($B115,#REF!,7,FALSE))</f>
        <v>#REF!</v>
      </c>
      <c r="I115" s="25"/>
      <c r="J115" s="25"/>
      <c r="K115" s="25"/>
      <c r="L115" s="25"/>
      <c r="M115" s="25"/>
      <c r="N115" s="25"/>
      <c r="O115" s="33">
        <f t="shared" si="3"/>
        <v>0</v>
      </c>
      <c r="P115" s="25"/>
      <c r="Q115" s="25">
        <v>0</v>
      </c>
      <c r="R115" s="25"/>
      <c r="S115" s="25"/>
      <c r="T115" s="25">
        <v>7</v>
      </c>
      <c r="U115" s="25"/>
      <c r="V115" s="39"/>
      <c r="W115" s="25"/>
      <c r="X115" s="33">
        <f t="shared" si="2"/>
        <v>7</v>
      </c>
      <c r="Y115" s="39">
        <v>57000</v>
      </c>
      <c r="Z115" s="25">
        <v>399000</v>
      </c>
      <c r="AA115" s="45"/>
      <c r="AB115" s="45"/>
      <c r="AC115" s="45"/>
      <c r="AD115" s="45"/>
      <c r="AE115" s="45"/>
    </row>
    <row r="116" spans="1:31" s="12" customFormat="1" ht="12">
      <c r="A116" s="27">
        <v>45600</v>
      </c>
      <c r="B116" s="29" t="s">
        <v>25</v>
      </c>
      <c r="C116" s="37" t="s">
        <v>83</v>
      </c>
      <c r="D116" s="34" t="s">
        <v>185</v>
      </c>
      <c r="E116" s="34" t="e">
        <f>IF(B116="","",VLOOKUP($B116,#REF!,4,FALSE))</f>
        <v>#REF!</v>
      </c>
      <c r="F116" s="34" t="e">
        <f>IF(E116="","",VLOOKUP($B116,#REF!,5,FALSE))</f>
        <v>#REF!</v>
      </c>
      <c r="G116" s="34" t="e">
        <f>IF(F116="","",VLOOKUP($B116,#REF!,6,FALSE))</f>
        <v>#REF!</v>
      </c>
      <c r="H116" s="34" t="e">
        <f>IF(G116="","",VLOOKUP($B116,#REF!,7,FALSE))</f>
        <v>#REF!</v>
      </c>
      <c r="I116" s="25"/>
      <c r="J116" s="25"/>
      <c r="K116" s="25"/>
      <c r="L116" s="25"/>
      <c r="M116" s="25"/>
      <c r="N116" s="25"/>
      <c r="O116" s="33">
        <f t="shared" si="3"/>
        <v>0</v>
      </c>
      <c r="P116" s="25"/>
      <c r="Q116" s="25">
        <v>0</v>
      </c>
      <c r="R116" s="25"/>
      <c r="S116" s="25"/>
      <c r="T116" s="25">
        <v>3</v>
      </c>
      <c r="U116" s="25"/>
      <c r="V116" s="39"/>
      <c r="W116" s="25"/>
      <c r="X116" s="33">
        <f t="shared" si="2"/>
        <v>3</v>
      </c>
      <c r="Y116" s="39">
        <v>57000</v>
      </c>
      <c r="Z116" s="25">
        <v>171000</v>
      </c>
      <c r="AA116" s="45"/>
      <c r="AB116" s="45"/>
      <c r="AC116" s="45"/>
      <c r="AD116" s="45"/>
      <c r="AE116" s="45"/>
    </row>
    <row r="117" spans="1:31" s="12" customFormat="1" ht="12">
      <c r="A117" s="27">
        <v>45600</v>
      </c>
      <c r="B117" s="28" t="s">
        <v>38</v>
      </c>
      <c r="C117" s="37" t="s">
        <v>83</v>
      </c>
      <c r="D117" s="34" t="s">
        <v>185</v>
      </c>
      <c r="E117" s="34" t="e">
        <f>IF(B117="","",VLOOKUP($B117,#REF!,4,FALSE))</f>
        <v>#REF!</v>
      </c>
      <c r="F117" s="34" t="e">
        <f>IF(E117="","",VLOOKUP($B117,#REF!,5,FALSE))</f>
        <v>#REF!</v>
      </c>
      <c r="G117" s="34" t="e">
        <f>IF(F117="","",VLOOKUP($B117,#REF!,6,FALSE))</f>
        <v>#REF!</v>
      </c>
      <c r="H117" s="34" t="e">
        <f>IF(G117="","",VLOOKUP($B117,#REF!,7,FALSE))</f>
        <v>#REF!</v>
      </c>
      <c r="I117" s="25"/>
      <c r="J117" s="25"/>
      <c r="K117" s="25"/>
      <c r="L117" s="25"/>
      <c r="M117" s="25"/>
      <c r="N117" s="25"/>
      <c r="O117" s="33">
        <f t="shared" si="3"/>
        <v>0</v>
      </c>
      <c r="P117" s="25"/>
      <c r="Q117" s="25">
        <v>0</v>
      </c>
      <c r="R117" s="25"/>
      <c r="S117" s="25"/>
      <c r="T117" s="25">
        <v>19</v>
      </c>
      <c r="U117" s="25"/>
      <c r="V117" s="39"/>
      <c r="W117" s="25"/>
      <c r="X117" s="33">
        <f t="shared" si="2"/>
        <v>19</v>
      </c>
      <c r="Y117" s="39">
        <v>54600</v>
      </c>
      <c r="Z117" s="25">
        <v>1037400</v>
      </c>
      <c r="AA117" s="45"/>
      <c r="AB117" s="45"/>
      <c r="AC117" s="45"/>
      <c r="AD117" s="45"/>
      <c r="AE117" s="45"/>
    </row>
    <row r="118" spans="1:31" s="12" customFormat="1" ht="12">
      <c r="A118" s="27">
        <v>45600</v>
      </c>
      <c r="B118" s="28" t="s">
        <v>23</v>
      </c>
      <c r="C118" s="37" t="s">
        <v>83</v>
      </c>
      <c r="D118" s="34" t="s">
        <v>185</v>
      </c>
      <c r="E118" s="34" t="e">
        <f>IF(B118="","",VLOOKUP($B118,#REF!,4,FALSE))</f>
        <v>#REF!</v>
      </c>
      <c r="F118" s="34" t="e">
        <f>IF(E118="","",VLOOKUP($B118,#REF!,5,FALSE))</f>
        <v>#REF!</v>
      </c>
      <c r="G118" s="34" t="e">
        <f>IF(F118="","",VLOOKUP($B118,#REF!,6,FALSE))</f>
        <v>#REF!</v>
      </c>
      <c r="H118" s="34" t="e">
        <f>IF(G118="","",VLOOKUP($B118,#REF!,7,FALSE))</f>
        <v>#REF!</v>
      </c>
      <c r="I118" s="25"/>
      <c r="J118" s="25"/>
      <c r="K118" s="25"/>
      <c r="L118" s="25"/>
      <c r="M118" s="25"/>
      <c r="N118" s="25"/>
      <c r="O118" s="33">
        <f t="shared" si="3"/>
        <v>0</v>
      </c>
      <c r="P118" s="25"/>
      <c r="Q118" s="25">
        <v>0</v>
      </c>
      <c r="R118" s="25"/>
      <c r="S118" s="25"/>
      <c r="T118" s="25">
        <v>18</v>
      </c>
      <c r="U118" s="25"/>
      <c r="V118" s="39"/>
      <c r="W118" s="25"/>
      <c r="X118" s="33">
        <f t="shared" si="2"/>
        <v>18</v>
      </c>
      <c r="Y118" s="39">
        <v>46080</v>
      </c>
      <c r="Z118" s="25">
        <v>829440</v>
      </c>
      <c r="AA118" s="45"/>
      <c r="AB118" s="45"/>
      <c r="AC118" s="45"/>
      <c r="AD118" s="45"/>
      <c r="AE118" s="45"/>
    </row>
    <row r="119" spans="1:31" s="12" customFormat="1" ht="12">
      <c r="A119" s="27">
        <v>45600</v>
      </c>
      <c r="B119" s="20" t="s">
        <v>61</v>
      </c>
      <c r="C119" s="37" t="s">
        <v>83</v>
      </c>
      <c r="D119" s="34" t="s">
        <v>185</v>
      </c>
      <c r="E119" s="34" t="e">
        <f>IF(B119="","",VLOOKUP($B119,#REF!,4,FALSE))</f>
        <v>#REF!</v>
      </c>
      <c r="F119" s="34" t="e">
        <f>IF(E119="","",VLOOKUP($B119,#REF!,5,FALSE))</f>
        <v>#REF!</v>
      </c>
      <c r="G119" s="34" t="e">
        <f>IF(F119="","",VLOOKUP($B119,#REF!,6,FALSE))</f>
        <v>#REF!</v>
      </c>
      <c r="H119" s="34" t="e">
        <f>IF(G119="","",VLOOKUP($B119,#REF!,7,FALSE))</f>
        <v>#REF!</v>
      </c>
      <c r="I119" s="25"/>
      <c r="J119" s="25"/>
      <c r="K119" s="25"/>
      <c r="L119" s="25"/>
      <c r="M119" s="25"/>
      <c r="N119" s="25"/>
      <c r="O119" s="33">
        <f t="shared" si="3"/>
        <v>0</v>
      </c>
      <c r="P119" s="25"/>
      <c r="Q119" s="25">
        <v>0</v>
      </c>
      <c r="R119" s="25"/>
      <c r="S119" s="25"/>
      <c r="T119" s="25">
        <v>22</v>
      </c>
      <c r="U119" s="25"/>
      <c r="V119" s="39"/>
      <c r="W119" s="25"/>
      <c r="X119" s="33">
        <f t="shared" si="2"/>
        <v>22</v>
      </c>
      <c r="Y119" s="39">
        <v>67500</v>
      </c>
      <c r="Z119" s="25">
        <v>1485000</v>
      </c>
      <c r="AA119" s="45" t="s">
        <v>259</v>
      </c>
      <c r="AB119" s="45"/>
      <c r="AC119" s="45"/>
      <c r="AD119" s="45"/>
      <c r="AE119" s="45"/>
    </row>
    <row r="120" spans="1:31" s="12" customFormat="1" ht="12">
      <c r="A120" s="27">
        <v>45600</v>
      </c>
      <c r="B120" s="53" t="s">
        <v>26</v>
      </c>
      <c r="C120" s="37" t="s">
        <v>83</v>
      </c>
      <c r="D120" s="34" t="s">
        <v>185</v>
      </c>
      <c r="E120" s="34" t="e">
        <f>IF(B120="","",VLOOKUP($B120,#REF!,4,FALSE))</f>
        <v>#REF!</v>
      </c>
      <c r="F120" s="34" t="e">
        <f>IF(E120="","",VLOOKUP($B120,#REF!,5,FALSE))</f>
        <v>#REF!</v>
      </c>
      <c r="G120" s="34" t="e">
        <f>IF(F120="","",VLOOKUP($B120,#REF!,6,FALSE))</f>
        <v>#REF!</v>
      </c>
      <c r="H120" s="34" t="e">
        <f>IF(G120="","",VLOOKUP($B120,#REF!,7,FALSE))</f>
        <v>#REF!</v>
      </c>
      <c r="I120" s="25"/>
      <c r="J120" s="25"/>
      <c r="K120" s="25"/>
      <c r="L120" s="25"/>
      <c r="M120" s="25"/>
      <c r="N120" s="25"/>
      <c r="O120" s="33">
        <f t="shared" si="3"/>
        <v>0</v>
      </c>
      <c r="P120" s="25"/>
      <c r="Q120" s="25">
        <v>0</v>
      </c>
      <c r="R120" s="25"/>
      <c r="S120" s="25"/>
      <c r="T120" s="25">
        <v>9</v>
      </c>
      <c r="U120" s="25"/>
      <c r="V120" s="39"/>
      <c r="W120" s="25"/>
      <c r="X120" s="33">
        <f t="shared" si="2"/>
        <v>9</v>
      </c>
      <c r="Y120" s="39">
        <v>23200</v>
      </c>
      <c r="Z120" s="25">
        <v>208800</v>
      </c>
      <c r="AA120" s="45"/>
      <c r="AB120" s="45"/>
      <c r="AC120" s="45"/>
      <c r="AD120" s="45"/>
      <c r="AE120" s="45"/>
    </row>
    <row r="121" spans="1:31" s="12" customFormat="1" ht="12">
      <c r="A121" s="27">
        <v>45600</v>
      </c>
      <c r="B121" s="53" t="s">
        <v>10</v>
      </c>
      <c r="C121" s="37" t="s">
        <v>83</v>
      </c>
      <c r="D121" s="34" t="s">
        <v>185</v>
      </c>
      <c r="E121" s="34" t="e">
        <f>IF(B121="","",VLOOKUP($B121,#REF!,4,FALSE))</f>
        <v>#REF!</v>
      </c>
      <c r="F121" s="34" t="e">
        <f>IF(E121="","",VLOOKUP($B121,#REF!,5,FALSE))</f>
        <v>#REF!</v>
      </c>
      <c r="G121" s="34" t="e">
        <f>IF(F121="","",VLOOKUP($B121,#REF!,6,FALSE))</f>
        <v>#REF!</v>
      </c>
      <c r="H121" s="34" t="e">
        <f>IF(G121="","",VLOOKUP($B121,#REF!,7,FALSE))</f>
        <v>#REF!</v>
      </c>
      <c r="I121" s="25"/>
      <c r="J121" s="25"/>
      <c r="K121" s="25"/>
      <c r="L121" s="25"/>
      <c r="M121" s="25"/>
      <c r="N121" s="25"/>
      <c r="O121" s="33">
        <f t="shared" si="3"/>
        <v>0</v>
      </c>
      <c r="P121" s="25"/>
      <c r="Q121" s="25">
        <v>0</v>
      </c>
      <c r="R121" s="25"/>
      <c r="S121" s="25"/>
      <c r="T121" s="25">
        <v>5</v>
      </c>
      <c r="U121" s="25"/>
      <c r="V121" s="39"/>
      <c r="W121" s="25"/>
      <c r="X121" s="33">
        <f t="shared" si="2"/>
        <v>5</v>
      </c>
      <c r="Y121" s="39"/>
      <c r="Z121" s="25">
        <v>0</v>
      </c>
      <c r="AA121" s="45"/>
      <c r="AB121" s="45"/>
      <c r="AC121" s="45"/>
      <c r="AD121" s="45"/>
      <c r="AE121" s="45"/>
    </row>
    <row r="122" spans="1:31" s="12" customFormat="1" ht="12">
      <c r="A122" s="27">
        <v>45600</v>
      </c>
      <c r="B122" s="53" t="s">
        <v>161</v>
      </c>
      <c r="C122" s="37" t="s">
        <v>83</v>
      </c>
      <c r="D122" s="34" t="s">
        <v>185</v>
      </c>
      <c r="E122" s="34" t="e">
        <f>IF(B122="","",VLOOKUP($B122,#REF!,4,FALSE))</f>
        <v>#REF!</v>
      </c>
      <c r="F122" s="34" t="e">
        <f>IF(E122="","",VLOOKUP($B122,#REF!,5,FALSE))</f>
        <v>#REF!</v>
      </c>
      <c r="G122" s="34" t="e">
        <f>IF(F122="","",VLOOKUP($B122,#REF!,6,FALSE))</f>
        <v>#REF!</v>
      </c>
      <c r="H122" s="34" t="e">
        <f>IF(G122="","",VLOOKUP($B122,#REF!,7,FALSE))</f>
        <v>#REF!</v>
      </c>
      <c r="I122" s="25"/>
      <c r="J122" s="25"/>
      <c r="K122" s="25">
        <v>5</v>
      </c>
      <c r="L122" s="25"/>
      <c r="M122" s="25"/>
      <c r="N122" s="25"/>
      <c r="O122" s="33">
        <f t="shared" si="3"/>
        <v>5</v>
      </c>
      <c r="P122" s="25"/>
      <c r="Q122" s="25">
        <v>0</v>
      </c>
      <c r="R122" s="25"/>
      <c r="S122" s="25"/>
      <c r="T122" s="25">
        <v>5</v>
      </c>
      <c r="U122" s="25"/>
      <c r="V122" s="39"/>
      <c r="W122" s="25"/>
      <c r="X122" s="33">
        <f t="shared" si="2"/>
        <v>5</v>
      </c>
      <c r="Y122" s="39">
        <v>44280</v>
      </c>
      <c r="Z122" s="25">
        <v>221400</v>
      </c>
      <c r="AA122" s="45"/>
      <c r="AB122" s="45"/>
      <c r="AC122" s="45"/>
      <c r="AD122" s="45"/>
      <c r="AE122" s="45"/>
    </row>
    <row r="123" spans="1:31" s="12" customFormat="1" ht="12">
      <c r="A123" s="27">
        <v>45600</v>
      </c>
      <c r="B123" s="53" t="s">
        <v>15</v>
      </c>
      <c r="C123" s="37" t="s">
        <v>83</v>
      </c>
      <c r="D123" s="34" t="s">
        <v>185</v>
      </c>
      <c r="E123" s="34" t="e">
        <f>IF(B123="","",VLOOKUP($B123,#REF!,4,FALSE))</f>
        <v>#REF!</v>
      </c>
      <c r="F123" s="34" t="e">
        <f>IF(E123="","",VLOOKUP($B123,#REF!,5,FALSE))</f>
        <v>#REF!</v>
      </c>
      <c r="G123" s="34" t="e">
        <f>IF(F123="","",VLOOKUP($B123,#REF!,6,FALSE))</f>
        <v>#REF!</v>
      </c>
      <c r="H123" s="34" t="e">
        <f>IF(G123="","",VLOOKUP($B123,#REF!,7,FALSE))</f>
        <v>#REF!</v>
      </c>
      <c r="I123" s="25"/>
      <c r="J123" s="25"/>
      <c r="K123" s="25"/>
      <c r="L123" s="25"/>
      <c r="M123" s="25"/>
      <c r="N123" s="25"/>
      <c r="O123" s="33">
        <f t="shared" si="3"/>
        <v>0</v>
      </c>
      <c r="P123" s="25"/>
      <c r="Q123" s="25">
        <v>0</v>
      </c>
      <c r="R123" s="25"/>
      <c r="S123" s="25"/>
      <c r="T123" s="25">
        <v>1</v>
      </c>
      <c r="U123" s="25"/>
      <c r="V123" s="39"/>
      <c r="W123" s="25"/>
      <c r="X123" s="33">
        <f t="shared" si="2"/>
        <v>1</v>
      </c>
      <c r="Y123" s="39">
        <v>69600</v>
      </c>
      <c r="Z123" s="25">
        <v>69600</v>
      </c>
      <c r="AA123" s="45"/>
      <c r="AB123" s="45"/>
      <c r="AC123" s="45"/>
      <c r="AD123" s="45"/>
      <c r="AE123" s="45"/>
    </row>
    <row r="124" spans="1:31" s="12" customFormat="1" ht="12">
      <c r="A124" s="27">
        <v>45600</v>
      </c>
      <c r="B124" s="53" t="s">
        <v>231</v>
      </c>
      <c r="C124" s="37" t="s">
        <v>141</v>
      </c>
      <c r="D124" s="34" t="s">
        <v>173</v>
      </c>
      <c r="E124" s="34" t="e">
        <f>IF(B124="","",VLOOKUP($B124,#REF!,4,FALSE))</f>
        <v>#REF!</v>
      </c>
      <c r="F124" s="34" t="e">
        <f>IF(E124="","",VLOOKUP($B124,#REF!,5,FALSE))</f>
        <v>#REF!</v>
      </c>
      <c r="G124" s="34" t="e">
        <f>IF(F124="","",VLOOKUP($B124,#REF!,6,FALSE))</f>
        <v>#REF!</v>
      </c>
      <c r="H124" s="34" t="e">
        <f>IF(G124="","",VLOOKUP($B124,#REF!,7,FALSE))</f>
        <v>#REF!</v>
      </c>
      <c r="I124" s="25"/>
      <c r="J124" s="25"/>
      <c r="K124" s="25"/>
      <c r="L124" s="25"/>
      <c r="M124" s="25"/>
      <c r="N124" s="25"/>
      <c r="O124" s="33">
        <f t="shared" si="3"/>
        <v>0</v>
      </c>
      <c r="P124" s="25"/>
      <c r="Q124" s="25">
        <v>0</v>
      </c>
      <c r="R124" s="25"/>
      <c r="S124" s="25"/>
      <c r="T124" s="25"/>
      <c r="U124" s="25">
        <v>672</v>
      </c>
      <c r="V124" s="39"/>
      <c r="W124" s="25"/>
      <c r="X124" s="33">
        <f t="shared" si="2"/>
        <v>672</v>
      </c>
      <c r="Y124" s="39">
        <f>Z124/X124</f>
        <v>306438.59970238095</v>
      </c>
      <c r="Z124" s="39">
        <v>205926739</v>
      </c>
      <c r="AA124" s="45" t="s">
        <v>154</v>
      </c>
      <c r="AB124" s="45" t="s">
        <v>141</v>
      </c>
      <c r="AC124" s="45" t="s">
        <v>173</v>
      </c>
      <c r="AD124" s="45"/>
      <c r="AE124" s="45"/>
    </row>
    <row r="125" spans="1:31" s="12" customFormat="1" ht="12">
      <c r="A125" s="27">
        <v>45600</v>
      </c>
      <c r="B125" s="53" t="s">
        <v>211</v>
      </c>
      <c r="C125" s="37" t="s">
        <v>82</v>
      </c>
      <c r="D125" s="34" t="s">
        <v>186</v>
      </c>
      <c r="E125" s="34" t="e">
        <f>IF(B125="","",VLOOKUP($B125,#REF!,4,FALSE))</f>
        <v>#REF!</v>
      </c>
      <c r="F125" s="34" t="e">
        <f>IF(E125="","",VLOOKUP($B125,#REF!,5,FALSE))</f>
        <v>#REF!</v>
      </c>
      <c r="G125" s="34" t="e">
        <f>IF(F125="","",VLOOKUP($B125,#REF!,6,FALSE))</f>
        <v>#REF!</v>
      </c>
      <c r="H125" s="34" t="e">
        <f>IF(G125="","",VLOOKUP($B125,#REF!,7,FALSE))</f>
        <v>#REF!</v>
      </c>
      <c r="I125" s="25"/>
      <c r="J125" s="25"/>
      <c r="K125" s="25"/>
      <c r="L125" s="25"/>
      <c r="M125" s="25"/>
      <c r="N125" s="25"/>
      <c r="O125" s="33">
        <f t="shared" si="3"/>
        <v>0</v>
      </c>
      <c r="P125" s="25"/>
      <c r="Q125" s="25">
        <v>0</v>
      </c>
      <c r="R125" s="25"/>
      <c r="S125" s="25"/>
      <c r="T125" s="25"/>
      <c r="U125" s="25"/>
      <c r="V125" s="39">
        <v>72</v>
      </c>
      <c r="W125" s="25"/>
      <c r="X125" s="33">
        <f t="shared" si="2"/>
        <v>72</v>
      </c>
      <c r="Y125" s="39">
        <v>46020</v>
      </c>
      <c r="Z125" s="25">
        <v>3313440</v>
      </c>
      <c r="AA125" s="45"/>
      <c r="AB125" s="45"/>
      <c r="AC125" s="45"/>
      <c r="AD125" s="45"/>
      <c r="AE125" s="45"/>
    </row>
    <row r="126" spans="1:31" s="12" customFormat="1" ht="12">
      <c r="A126" s="27">
        <v>45600</v>
      </c>
      <c r="B126" s="53" t="s">
        <v>211</v>
      </c>
      <c r="C126" s="37" t="s">
        <v>82</v>
      </c>
      <c r="D126" s="34" t="s">
        <v>186</v>
      </c>
      <c r="E126" s="34" t="e">
        <f>IF(B126="","",VLOOKUP($B126,#REF!,4,FALSE))</f>
        <v>#REF!</v>
      </c>
      <c r="F126" s="34" t="e">
        <f>IF(E126="","",VLOOKUP($B126,#REF!,5,FALSE))</f>
        <v>#REF!</v>
      </c>
      <c r="G126" s="34" t="e">
        <f>IF(F126="","",VLOOKUP($B126,#REF!,6,FALSE))</f>
        <v>#REF!</v>
      </c>
      <c r="H126" s="34" t="e">
        <f>IF(G126="","",VLOOKUP($B126,#REF!,7,FALSE))</f>
        <v>#REF!</v>
      </c>
      <c r="I126" s="25"/>
      <c r="J126" s="25"/>
      <c r="K126" s="25"/>
      <c r="L126" s="25"/>
      <c r="M126" s="25"/>
      <c r="N126" s="25"/>
      <c r="O126" s="33">
        <f t="shared" si="3"/>
        <v>0</v>
      </c>
      <c r="P126" s="25"/>
      <c r="Q126" s="25">
        <v>0</v>
      </c>
      <c r="R126" s="25"/>
      <c r="S126" s="25"/>
      <c r="T126" s="25"/>
      <c r="U126" s="25"/>
      <c r="V126" s="39">
        <v>192</v>
      </c>
      <c r="W126" s="25"/>
      <c r="X126" s="33">
        <f t="shared" si="2"/>
        <v>192</v>
      </c>
      <c r="Y126" s="39">
        <v>46020</v>
      </c>
      <c r="Z126" s="25">
        <v>8835840</v>
      </c>
      <c r="AA126" s="45"/>
      <c r="AB126" s="45"/>
      <c r="AC126" s="45"/>
      <c r="AD126" s="45"/>
      <c r="AE126" s="45"/>
    </row>
    <row r="127" spans="1:31" s="12" customFormat="1" ht="12">
      <c r="A127" s="27">
        <v>45600</v>
      </c>
      <c r="B127" s="53" t="s">
        <v>211</v>
      </c>
      <c r="C127" s="37" t="s">
        <v>82</v>
      </c>
      <c r="D127" s="34" t="s">
        <v>186</v>
      </c>
      <c r="E127" s="34" t="e">
        <f>IF(B127="","",VLOOKUP($B127,#REF!,4,FALSE))</f>
        <v>#REF!</v>
      </c>
      <c r="F127" s="34" t="e">
        <f>IF(E127="","",VLOOKUP($B127,#REF!,5,FALSE))</f>
        <v>#REF!</v>
      </c>
      <c r="G127" s="34" t="e">
        <f>IF(F127="","",VLOOKUP($B127,#REF!,6,FALSE))</f>
        <v>#REF!</v>
      </c>
      <c r="H127" s="34" t="e">
        <f>IF(G127="","",VLOOKUP($B127,#REF!,7,FALSE))</f>
        <v>#REF!</v>
      </c>
      <c r="I127" s="25"/>
      <c r="J127" s="25"/>
      <c r="K127" s="25"/>
      <c r="L127" s="25"/>
      <c r="M127" s="25"/>
      <c r="N127" s="25"/>
      <c r="O127" s="33">
        <f t="shared" si="3"/>
        <v>0</v>
      </c>
      <c r="P127" s="25"/>
      <c r="Q127" s="25">
        <v>0</v>
      </c>
      <c r="R127" s="25"/>
      <c r="S127" s="25"/>
      <c r="T127" s="25"/>
      <c r="U127" s="25"/>
      <c r="V127" s="39">
        <v>36</v>
      </c>
      <c r="W127" s="25"/>
      <c r="X127" s="33">
        <f t="shared" si="2"/>
        <v>36</v>
      </c>
      <c r="Y127" s="39">
        <v>46020</v>
      </c>
      <c r="Z127" s="25">
        <v>1656720</v>
      </c>
      <c r="AA127" s="45"/>
      <c r="AB127" s="45"/>
      <c r="AC127" s="45"/>
      <c r="AD127" s="45"/>
      <c r="AE127" s="45"/>
    </row>
    <row r="128" spans="1:31" s="12" customFormat="1" ht="12">
      <c r="A128" s="27">
        <v>45600</v>
      </c>
      <c r="B128" s="47" t="s">
        <v>211</v>
      </c>
      <c r="C128" s="37" t="s">
        <v>82</v>
      </c>
      <c r="D128" s="34" t="s">
        <v>186</v>
      </c>
      <c r="E128" s="34" t="e">
        <f>IF(B128="","",VLOOKUP($B128,#REF!,4,FALSE))</f>
        <v>#REF!</v>
      </c>
      <c r="F128" s="34" t="e">
        <f>IF(E128="","",VLOOKUP($B128,#REF!,5,FALSE))</f>
        <v>#REF!</v>
      </c>
      <c r="G128" s="34" t="e">
        <f>IF(F128="","",VLOOKUP($B128,#REF!,6,FALSE))</f>
        <v>#REF!</v>
      </c>
      <c r="H128" s="34" t="e">
        <f>IF(G128="","",VLOOKUP($B128,#REF!,7,FALSE))</f>
        <v>#REF!</v>
      </c>
      <c r="I128" s="25"/>
      <c r="J128" s="25"/>
      <c r="K128" s="25"/>
      <c r="L128" s="25"/>
      <c r="M128" s="25"/>
      <c r="N128" s="25"/>
      <c r="O128" s="33">
        <f t="shared" si="3"/>
        <v>0</v>
      </c>
      <c r="P128" s="25"/>
      <c r="Q128" s="25">
        <v>0</v>
      </c>
      <c r="R128" s="25"/>
      <c r="S128" s="25"/>
      <c r="T128" s="25"/>
      <c r="U128" s="25"/>
      <c r="V128" s="39">
        <v>192</v>
      </c>
      <c r="W128" s="25"/>
      <c r="X128" s="33">
        <f t="shared" si="2"/>
        <v>192</v>
      </c>
      <c r="Y128" s="39">
        <v>46020</v>
      </c>
      <c r="Z128" s="25">
        <v>8835840</v>
      </c>
      <c r="AA128" s="45"/>
      <c r="AB128" s="45"/>
      <c r="AC128" s="45"/>
      <c r="AD128" s="45"/>
      <c r="AE128" s="45"/>
    </row>
    <row r="129" spans="1:31" s="12" customFormat="1" ht="12">
      <c r="A129" s="27">
        <v>45600</v>
      </c>
      <c r="B129" s="53" t="s">
        <v>58</v>
      </c>
      <c r="C129" s="37" t="s">
        <v>82</v>
      </c>
      <c r="D129" s="34" t="s">
        <v>186</v>
      </c>
      <c r="E129" s="34" t="e">
        <f>IF(B129="","",VLOOKUP($B129,#REF!,4,FALSE))</f>
        <v>#REF!</v>
      </c>
      <c r="F129" s="34" t="e">
        <f>IF(E129="","",VLOOKUP($B129,#REF!,5,FALSE))</f>
        <v>#REF!</v>
      </c>
      <c r="G129" s="34" t="e">
        <f>IF(F129="","",VLOOKUP($B129,#REF!,6,FALSE))</f>
        <v>#REF!</v>
      </c>
      <c r="H129" s="34" t="e">
        <f>IF(G129="","",VLOOKUP($B129,#REF!,7,FALSE))</f>
        <v>#REF!</v>
      </c>
      <c r="I129" s="25"/>
      <c r="J129" s="25"/>
      <c r="K129" s="25"/>
      <c r="L129" s="25"/>
      <c r="M129" s="25"/>
      <c r="N129" s="25"/>
      <c r="O129" s="33">
        <f t="shared" si="3"/>
        <v>0</v>
      </c>
      <c r="P129" s="25"/>
      <c r="Q129" s="25">
        <v>0</v>
      </c>
      <c r="R129" s="25"/>
      <c r="S129" s="25"/>
      <c r="T129" s="25"/>
      <c r="U129" s="25"/>
      <c r="V129" s="39">
        <v>72</v>
      </c>
      <c r="W129" s="25"/>
      <c r="X129" s="33">
        <f t="shared" ref="X129:X195" si="4">SUM(R129:W129)</f>
        <v>72</v>
      </c>
      <c r="Y129" s="39">
        <v>170880</v>
      </c>
      <c r="Z129" s="25">
        <v>12303360</v>
      </c>
      <c r="AA129" s="45"/>
      <c r="AB129" s="45"/>
      <c r="AC129" s="45"/>
      <c r="AD129" s="45"/>
      <c r="AE129" s="45"/>
    </row>
    <row r="130" spans="1:31" s="12" customFormat="1" ht="12">
      <c r="A130" s="27">
        <v>45600</v>
      </c>
      <c r="B130" s="53" t="s">
        <v>219</v>
      </c>
      <c r="C130" s="37" t="s">
        <v>82</v>
      </c>
      <c r="D130" s="34" t="s">
        <v>186</v>
      </c>
      <c r="E130" s="34" t="e">
        <f>IF(B130="","",VLOOKUP($B130,#REF!,4,FALSE))</f>
        <v>#REF!</v>
      </c>
      <c r="F130" s="34" t="e">
        <f>IF(E130="","",VLOOKUP($B130,#REF!,5,FALSE))</f>
        <v>#REF!</v>
      </c>
      <c r="G130" s="34" t="e">
        <f>IF(F130="","",VLOOKUP($B130,#REF!,6,FALSE))</f>
        <v>#REF!</v>
      </c>
      <c r="H130" s="34" t="e">
        <f>IF(G130="","",VLOOKUP($B130,#REF!,7,FALSE))</f>
        <v>#REF!</v>
      </c>
      <c r="I130" s="25"/>
      <c r="J130" s="25"/>
      <c r="K130" s="25"/>
      <c r="L130" s="25"/>
      <c r="M130" s="25"/>
      <c r="N130" s="25"/>
      <c r="O130" s="33">
        <f t="shared" ref="O130:O196" si="5">SUM(I130:N130)</f>
        <v>0</v>
      </c>
      <c r="P130" s="25"/>
      <c r="Q130" s="25">
        <v>0</v>
      </c>
      <c r="R130" s="25"/>
      <c r="S130" s="25"/>
      <c r="T130" s="25"/>
      <c r="U130" s="25"/>
      <c r="V130" s="39">
        <v>96</v>
      </c>
      <c r="W130" s="25"/>
      <c r="X130" s="33">
        <f t="shared" si="4"/>
        <v>96</v>
      </c>
      <c r="Y130" s="39">
        <v>235000</v>
      </c>
      <c r="Z130" s="25">
        <v>22560000</v>
      </c>
      <c r="AA130" s="45"/>
      <c r="AB130" s="45"/>
      <c r="AC130" s="45"/>
      <c r="AD130" s="45"/>
      <c r="AE130" s="45"/>
    </row>
    <row r="131" spans="1:31" s="12" customFormat="1" ht="12">
      <c r="A131" s="27">
        <v>45600</v>
      </c>
      <c r="B131" s="53" t="s">
        <v>57</v>
      </c>
      <c r="C131" s="37" t="s">
        <v>82</v>
      </c>
      <c r="D131" s="34" t="s">
        <v>186</v>
      </c>
      <c r="E131" s="34" t="e">
        <f>IF(B131="","",VLOOKUP($B131,#REF!,4,FALSE))</f>
        <v>#REF!</v>
      </c>
      <c r="F131" s="34" t="e">
        <f>IF(E131="","",VLOOKUP($B131,#REF!,5,FALSE))</f>
        <v>#REF!</v>
      </c>
      <c r="G131" s="34" t="e">
        <f>IF(F131="","",VLOOKUP($B131,#REF!,6,FALSE))</f>
        <v>#REF!</v>
      </c>
      <c r="H131" s="34" t="e">
        <f>IF(G131="","",VLOOKUP($B131,#REF!,7,FALSE))</f>
        <v>#REF!</v>
      </c>
      <c r="I131" s="25"/>
      <c r="J131" s="25"/>
      <c r="K131" s="25"/>
      <c r="L131" s="25"/>
      <c r="M131" s="25"/>
      <c r="N131" s="25"/>
      <c r="O131" s="33">
        <f t="shared" si="5"/>
        <v>0</v>
      </c>
      <c r="P131" s="25"/>
      <c r="Q131" s="25">
        <v>0</v>
      </c>
      <c r="R131" s="25"/>
      <c r="S131" s="25"/>
      <c r="T131" s="25"/>
      <c r="U131" s="25"/>
      <c r="V131" s="39">
        <v>160</v>
      </c>
      <c r="W131" s="25"/>
      <c r="X131" s="33">
        <f t="shared" si="4"/>
        <v>160</v>
      </c>
      <c r="Y131" s="39">
        <v>163800</v>
      </c>
      <c r="Z131" s="25">
        <v>26208000</v>
      </c>
      <c r="AA131" s="45"/>
      <c r="AB131" s="45"/>
      <c r="AC131" s="45"/>
      <c r="AD131" s="45"/>
      <c r="AE131" s="45"/>
    </row>
    <row r="132" spans="1:31" s="12" customFormat="1" ht="12">
      <c r="A132" s="27">
        <v>45600</v>
      </c>
      <c r="B132" s="53" t="s">
        <v>24</v>
      </c>
      <c r="C132" s="37" t="s">
        <v>82</v>
      </c>
      <c r="D132" s="34" t="s">
        <v>186</v>
      </c>
      <c r="E132" s="34" t="e">
        <f>IF(B132="","",VLOOKUP($B132,#REF!,4,FALSE))</f>
        <v>#REF!</v>
      </c>
      <c r="F132" s="34" t="e">
        <f>IF(E132="","",VLOOKUP($B132,#REF!,5,FALSE))</f>
        <v>#REF!</v>
      </c>
      <c r="G132" s="34" t="e">
        <f>IF(F132="","",VLOOKUP($B132,#REF!,6,FALSE))</f>
        <v>#REF!</v>
      </c>
      <c r="H132" s="34" t="e">
        <f>IF(G132="","",VLOOKUP($B132,#REF!,7,FALSE))</f>
        <v>#REF!</v>
      </c>
      <c r="I132" s="25"/>
      <c r="J132" s="25"/>
      <c r="K132" s="25"/>
      <c r="L132" s="25"/>
      <c r="M132" s="25"/>
      <c r="N132" s="25"/>
      <c r="O132" s="33">
        <f t="shared" si="5"/>
        <v>0</v>
      </c>
      <c r="P132" s="25"/>
      <c r="Q132" s="25">
        <v>0</v>
      </c>
      <c r="R132" s="25"/>
      <c r="S132" s="25"/>
      <c r="T132" s="25"/>
      <c r="U132" s="25"/>
      <c r="V132" s="39">
        <v>192</v>
      </c>
      <c r="W132" s="25"/>
      <c r="X132" s="33">
        <f t="shared" si="4"/>
        <v>192</v>
      </c>
      <c r="Y132" s="39">
        <v>124920</v>
      </c>
      <c r="Z132" s="25">
        <v>23984640</v>
      </c>
      <c r="AA132" s="45"/>
      <c r="AB132" s="45"/>
      <c r="AC132" s="45"/>
      <c r="AD132" s="45"/>
      <c r="AE132" s="45"/>
    </row>
    <row r="133" spans="1:31" s="12" customFormat="1" ht="12">
      <c r="A133" s="27">
        <v>45600</v>
      </c>
      <c r="B133" s="53" t="s">
        <v>160</v>
      </c>
      <c r="C133" s="37" t="s">
        <v>82</v>
      </c>
      <c r="D133" s="34" t="s">
        <v>186</v>
      </c>
      <c r="E133" s="34" t="e">
        <f>IF(B133="","",VLOOKUP($B133,#REF!,4,FALSE))</f>
        <v>#REF!</v>
      </c>
      <c r="F133" s="34" t="e">
        <f>IF(E133="","",VLOOKUP($B133,#REF!,5,FALSE))</f>
        <v>#REF!</v>
      </c>
      <c r="G133" s="34" t="e">
        <f>IF(F133="","",VLOOKUP($B133,#REF!,6,FALSE))</f>
        <v>#REF!</v>
      </c>
      <c r="H133" s="34" t="e">
        <f>IF(G133="","",VLOOKUP($B133,#REF!,7,FALSE))</f>
        <v>#REF!</v>
      </c>
      <c r="I133" s="25"/>
      <c r="J133" s="25"/>
      <c r="K133" s="25"/>
      <c r="L133" s="25"/>
      <c r="M133" s="25"/>
      <c r="N133" s="25"/>
      <c r="O133" s="33">
        <f t="shared" si="5"/>
        <v>0</v>
      </c>
      <c r="P133" s="25"/>
      <c r="Q133" s="25">
        <v>0</v>
      </c>
      <c r="R133" s="25"/>
      <c r="S133" s="25"/>
      <c r="T133" s="25"/>
      <c r="U133" s="25"/>
      <c r="V133" s="39">
        <v>192</v>
      </c>
      <c r="W133" s="25"/>
      <c r="X133" s="33">
        <f t="shared" si="4"/>
        <v>192</v>
      </c>
      <c r="Y133" s="39">
        <v>100300</v>
      </c>
      <c r="Z133" s="25">
        <v>19257600</v>
      </c>
      <c r="AA133" s="45"/>
      <c r="AB133" s="45"/>
      <c r="AC133" s="45"/>
      <c r="AD133" s="45"/>
      <c r="AE133" s="45"/>
    </row>
    <row r="134" spans="1:31" s="12" customFormat="1" ht="12">
      <c r="A134" s="27">
        <v>45600</v>
      </c>
      <c r="B134" s="47" t="s">
        <v>21</v>
      </c>
      <c r="C134" s="37" t="s">
        <v>82</v>
      </c>
      <c r="D134" s="34" t="s">
        <v>186</v>
      </c>
      <c r="E134" s="34" t="e">
        <f>IF(B134="","",VLOOKUP($B134,#REF!,4,FALSE))</f>
        <v>#REF!</v>
      </c>
      <c r="F134" s="34" t="e">
        <f>IF(E134="","",VLOOKUP($B134,#REF!,5,FALSE))</f>
        <v>#REF!</v>
      </c>
      <c r="G134" s="34" t="e">
        <f>IF(F134="","",VLOOKUP($B134,#REF!,6,FALSE))</f>
        <v>#REF!</v>
      </c>
      <c r="H134" s="34" t="e">
        <f>IF(G134="","",VLOOKUP($B134,#REF!,7,FALSE))</f>
        <v>#REF!</v>
      </c>
      <c r="I134" s="25"/>
      <c r="J134" s="25"/>
      <c r="K134" s="25"/>
      <c r="L134" s="25"/>
      <c r="M134" s="25"/>
      <c r="N134" s="25"/>
      <c r="O134" s="33">
        <f t="shared" si="5"/>
        <v>0</v>
      </c>
      <c r="P134" s="25"/>
      <c r="Q134" s="25">
        <v>0</v>
      </c>
      <c r="R134" s="25"/>
      <c r="S134" s="25"/>
      <c r="T134" s="25"/>
      <c r="U134" s="25"/>
      <c r="V134" s="39">
        <v>156</v>
      </c>
      <c r="W134" s="25"/>
      <c r="X134" s="33">
        <f t="shared" si="4"/>
        <v>156</v>
      </c>
      <c r="Y134" s="39">
        <v>81800</v>
      </c>
      <c r="Z134" s="25">
        <v>12760800</v>
      </c>
      <c r="AA134" s="45"/>
      <c r="AB134" s="45"/>
      <c r="AC134" s="45"/>
      <c r="AD134" s="45"/>
      <c r="AE134" s="45"/>
    </row>
    <row r="135" spans="1:31" s="12" customFormat="1" ht="12">
      <c r="A135" s="27">
        <v>45600</v>
      </c>
      <c r="B135" s="53" t="s">
        <v>211</v>
      </c>
      <c r="C135" s="37" t="s">
        <v>82</v>
      </c>
      <c r="D135" s="34" t="s">
        <v>186</v>
      </c>
      <c r="E135" s="34" t="e">
        <f>IF(B135="","",VLOOKUP($B135,#REF!,4,FALSE))</f>
        <v>#REF!</v>
      </c>
      <c r="F135" s="34" t="e">
        <f>IF(E135="","",VLOOKUP($B135,#REF!,5,FALSE))</f>
        <v>#REF!</v>
      </c>
      <c r="G135" s="34" t="e">
        <f>IF(F135="","",VLOOKUP($B135,#REF!,6,FALSE))</f>
        <v>#REF!</v>
      </c>
      <c r="H135" s="34" t="e">
        <f>IF(G135="","",VLOOKUP($B135,#REF!,7,FALSE))</f>
        <v>#REF!</v>
      </c>
      <c r="I135" s="25"/>
      <c r="J135" s="25"/>
      <c r="K135" s="25"/>
      <c r="L135" s="25"/>
      <c r="M135" s="25"/>
      <c r="N135" s="25"/>
      <c r="O135" s="33">
        <f t="shared" si="5"/>
        <v>0</v>
      </c>
      <c r="P135" s="25"/>
      <c r="Q135" s="25">
        <v>0</v>
      </c>
      <c r="R135" s="25"/>
      <c r="S135" s="25"/>
      <c r="T135" s="25"/>
      <c r="U135" s="25"/>
      <c r="V135" s="39">
        <v>192</v>
      </c>
      <c r="W135" s="25"/>
      <c r="X135" s="33">
        <f t="shared" si="4"/>
        <v>192</v>
      </c>
      <c r="Y135" s="39">
        <v>46020</v>
      </c>
      <c r="Z135" s="25">
        <v>8835840</v>
      </c>
      <c r="AA135" s="45"/>
      <c r="AB135" s="45"/>
      <c r="AC135" s="45"/>
      <c r="AD135" s="45"/>
      <c r="AE135" s="45"/>
    </row>
    <row r="136" spans="1:31" s="12" customFormat="1" ht="12">
      <c r="A136" s="27">
        <v>45600</v>
      </c>
      <c r="B136" s="54" t="s">
        <v>211</v>
      </c>
      <c r="C136" s="37" t="s">
        <v>82</v>
      </c>
      <c r="D136" s="34" t="s">
        <v>186</v>
      </c>
      <c r="E136" s="34" t="e">
        <f>IF(B136="","",VLOOKUP($B136,#REF!,4,FALSE))</f>
        <v>#REF!</v>
      </c>
      <c r="F136" s="34" t="e">
        <f>IF(E136="","",VLOOKUP($B136,#REF!,5,FALSE))</f>
        <v>#REF!</v>
      </c>
      <c r="G136" s="34" t="e">
        <f>IF(F136="","",VLOOKUP($B136,#REF!,6,FALSE))</f>
        <v>#REF!</v>
      </c>
      <c r="H136" s="34" t="e">
        <f>IF(G136="","",VLOOKUP($B136,#REF!,7,FALSE))</f>
        <v>#REF!</v>
      </c>
      <c r="I136" s="25"/>
      <c r="J136" s="25"/>
      <c r="K136" s="25"/>
      <c r="L136" s="25"/>
      <c r="M136" s="25"/>
      <c r="N136" s="25"/>
      <c r="O136" s="33">
        <f t="shared" si="5"/>
        <v>0</v>
      </c>
      <c r="P136" s="25"/>
      <c r="Q136" s="25">
        <v>0</v>
      </c>
      <c r="R136" s="25"/>
      <c r="S136" s="25"/>
      <c r="T136" s="25"/>
      <c r="U136" s="25"/>
      <c r="V136" s="39">
        <v>36</v>
      </c>
      <c r="W136" s="25"/>
      <c r="X136" s="33">
        <f t="shared" si="4"/>
        <v>36</v>
      </c>
      <c r="Y136" s="39">
        <v>46020</v>
      </c>
      <c r="Z136" s="25">
        <v>1656720</v>
      </c>
      <c r="AA136" s="45"/>
      <c r="AB136" s="45"/>
      <c r="AC136" s="45"/>
      <c r="AD136" s="45"/>
      <c r="AE136" s="45"/>
    </row>
    <row r="137" spans="1:31" s="12" customFormat="1" ht="12">
      <c r="A137" s="27">
        <v>45600</v>
      </c>
      <c r="B137" s="53" t="s">
        <v>211</v>
      </c>
      <c r="C137" s="37" t="s">
        <v>82</v>
      </c>
      <c r="D137" s="34" t="s">
        <v>186</v>
      </c>
      <c r="E137" s="34" t="e">
        <f>IF(B137="","",VLOOKUP($B137,#REF!,4,FALSE))</f>
        <v>#REF!</v>
      </c>
      <c r="F137" s="34" t="e">
        <f>IF(E137="","",VLOOKUP($B137,#REF!,5,FALSE))</f>
        <v>#REF!</v>
      </c>
      <c r="G137" s="34" t="e">
        <f>IF(F137="","",VLOOKUP($B137,#REF!,6,FALSE))</f>
        <v>#REF!</v>
      </c>
      <c r="H137" s="34" t="e">
        <f>IF(G137="","",VLOOKUP($B137,#REF!,7,FALSE))</f>
        <v>#REF!</v>
      </c>
      <c r="I137" s="25"/>
      <c r="J137" s="25"/>
      <c r="K137" s="25"/>
      <c r="L137" s="25"/>
      <c r="M137" s="25"/>
      <c r="N137" s="25"/>
      <c r="O137" s="33">
        <f t="shared" si="5"/>
        <v>0</v>
      </c>
      <c r="P137" s="25"/>
      <c r="Q137" s="25">
        <v>0</v>
      </c>
      <c r="R137" s="25"/>
      <c r="S137" s="25"/>
      <c r="T137" s="25"/>
      <c r="U137" s="25"/>
      <c r="V137" s="39">
        <v>192</v>
      </c>
      <c r="W137" s="25"/>
      <c r="X137" s="33">
        <f t="shared" si="4"/>
        <v>192</v>
      </c>
      <c r="Y137" s="39">
        <v>46020</v>
      </c>
      <c r="Z137" s="25">
        <v>8835840</v>
      </c>
      <c r="AA137" s="45"/>
      <c r="AB137" s="45"/>
      <c r="AC137" s="45"/>
      <c r="AD137" s="45"/>
      <c r="AE137" s="45"/>
    </row>
    <row r="138" spans="1:31" s="12" customFormat="1" ht="12">
      <c r="A138" s="27">
        <v>45600</v>
      </c>
      <c r="B138" s="53" t="s">
        <v>211</v>
      </c>
      <c r="C138" s="37" t="s">
        <v>82</v>
      </c>
      <c r="D138" s="34" t="s">
        <v>186</v>
      </c>
      <c r="E138" s="34" t="e">
        <f>IF(B138="","",VLOOKUP($B138,#REF!,4,FALSE))</f>
        <v>#REF!</v>
      </c>
      <c r="F138" s="34" t="e">
        <f>IF(E138="","",VLOOKUP($B138,#REF!,5,FALSE))</f>
        <v>#REF!</v>
      </c>
      <c r="G138" s="34" t="e">
        <f>IF(F138="","",VLOOKUP($B138,#REF!,6,FALSE))</f>
        <v>#REF!</v>
      </c>
      <c r="H138" s="34" t="e">
        <f>IF(G138="","",VLOOKUP($B138,#REF!,7,FALSE))</f>
        <v>#REF!</v>
      </c>
      <c r="I138" s="25"/>
      <c r="J138" s="25"/>
      <c r="K138" s="25"/>
      <c r="L138" s="25"/>
      <c r="M138" s="25"/>
      <c r="N138" s="25"/>
      <c r="O138" s="33">
        <f t="shared" si="5"/>
        <v>0</v>
      </c>
      <c r="P138" s="25"/>
      <c r="Q138" s="25">
        <v>0</v>
      </c>
      <c r="R138" s="25"/>
      <c r="S138" s="25"/>
      <c r="T138" s="25"/>
      <c r="U138" s="25"/>
      <c r="V138" s="39">
        <v>36</v>
      </c>
      <c r="W138" s="25"/>
      <c r="X138" s="33">
        <f t="shared" si="4"/>
        <v>36</v>
      </c>
      <c r="Y138" s="39">
        <v>46020</v>
      </c>
      <c r="Z138" s="25">
        <v>1656720</v>
      </c>
      <c r="AA138" s="45"/>
      <c r="AB138" s="45"/>
      <c r="AC138" s="45"/>
      <c r="AD138" s="45"/>
      <c r="AE138" s="45"/>
    </row>
    <row r="139" spans="1:31" s="12" customFormat="1" ht="12">
      <c r="A139" s="27">
        <v>45600</v>
      </c>
      <c r="B139" s="47" t="s">
        <v>47</v>
      </c>
      <c r="C139" s="37" t="s">
        <v>82</v>
      </c>
      <c r="D139" s="34" t="s">
        <v>186</v>
      </c>
      <c r="E139" s="34" t="e">
        <f>IF(B139="","",VLOOKUP($B139,#REF!,4,FALSE))</f>
        <v>#REF!</v>
      </c>
      <c r="F139" s="34" t="e">
        <f>IF(E139="","",VLOOKUP($B139,#REF!,5,FALSE))</f>
        <v>#REF!</v>
      </c>
      <c r="G139" s="34" t="e">
        <f>IF(F139="","",VLOOKUP($B139,#REF!,6,FALSE))</f>
        <v>#REF!</v>
      </c>
      <c r="H139" s="34" t="e">
        <f>IF(G139="","",VLOOKUP($B139,#REF!,7,FALSE))</f>
        <v>#REF!</v>
      </c>
      <c r="I139" s="25"/>
      <c r="J139" s="25"/>
      <c r="K139" s="25"/>
      <c r="L139" s="25"/>
      <c r="M139" s="25"/>
      <c r="N139" s="25"/>
      <c r="O139" s="33">
        <f t="shared" si="5"/>
        <v>0</v>
      </c>
      <c r="P139" s="25"/>
      <c r="Q139" s="25">
        <v>0</v>
      </c>
      <c r="R139" s="25"/>
      <c r="S139" s="25"/>
      <c r="T139" s="25"/>
      <c r="U139" s="25"/>
      <c r="V139" s="39">
        <v>56</v>
      </c>
      <c r="W139" s="25"/>
      <c r="X139" s="33">
        <f t="shared" si="4"/>
        <v>56</v>
      </c>
      <c r="Y139" s="39">
        <v>18860</v>
      </c>
      <c r="Z139" s="25">
        <v>1056160</v>
      </c>
      <c r="AA139" s="45"/>
      <c r="AB139" s="45"/>
      <c r="AC139" s="45"/>
      <c r="AD139" s="45"/>
      <c r="AE139" s="45"/>
    </row>
    <row r="140" spans="1:31" s="12" customFormat="1" ht="12">
      <c r="A140" s="27">
        <v>45600</v>
      </c>
      <c r="B140" s="53" t="s">
        <v>28</v>
      </c>
      <c r="C140" s="37" t="s">
        <v>82</v>
      </c>
      <c r="D140" s="34" t="s">
        <v>186</v>
      </c>
      <c r="E140" s="34" t="e">
        <f>IF(B140="","",VLOOKUP($B140,#REF!,4,FALSE))</f>
        <v>#REF!</v>
      </c>
      <c r="F140" s="34" t="e">
        <f>IF(E140="","",VLOOKUP($B140,#REF!,5,FALSE))</f>
        <v>#REF!</v>
      </c>
      <c r="G140" s="34" t="e">
        <f>IF(F140="","",VLOOKUP($B140,#REF!,6,FALSE))</f>
        <v>#REF!</v>
      </c>
      <c r="H140" s="34" t="e">
        <f>IF(G140="","",VLOOKUP($B140,#REF!,7,FALSE))</f>
        <v>#REF!</v>
      </c>
      <c r="I140" s="25"/>
      <c r="J140" s="25"/>
      <c r="K140" s="25"/>
      <c r="L140" s="25"/>
      <c r="M140" s="25"/>
      <c r="N140" s="25"/>
      <c r="O140" s="33">
        <f t="shared" si="5"/>
        <v>0</v>
      </c>
      <c r="P140" s="25"/>
      <c r="Q140" s="25">
        <v>0</v>
      </c>
      <c r="R140" s="25"/>
      <c r="S140" s="25"/>
      <c r="T140" s="25"/>
      <c r="U140" s="25"/>
      <c r="V140" s="39">
        <v>12</v>
      </c>
      <c r="W140" s="25"/>
      <c r="X140" s="33">
        <f t="shared" si="4"/>
        <v>12</v>
      </c>
      <c r="Y140" s="39">
        <v>187050</v>
      </c>
      <c r="Z140" s="25">
        <v>2244600</v>
      </c>
      <c r="AA140" s="45"/>
      <c r="AB140" s="45"/>
      <c r="AC140" s="45"/>
      <c r="AD140" s="45"/>
      <c r="AE140" s="45"/>
    </row>
    <row r="141" spans="1:31" s="12" customFormat="1" ht="12">
      <c r="A141" s="27">
        <v>45600</v>
      </c>
      <c r="B141" s="75" t="s">
        <v>57</v>
      </c>
      <c r="C141" s="37" t="s">
        <v>82</v>
      </c>
      <c r="D141" s="34" t="s">
        <v>186</v>
      </c>
      <c r="E141" s="34" t="e">
        <f>IF(B141="","",VLOOKUP($B141,#REF!,4,FALSE))</f>
        <v>#REF!</v>
      </c>
      <c r="F141" s="34" t="e">
        <f>IF(E141="","",VLOOKUP($B141,#REF!,5,FALSE))</f>
        <v>#REF!</v>
      </c>
      <c r="G141" s="34" t="e">
        <f>IF(F141="","",VLOOKUP($B141,#REF!,6,FALSE))</f>
        <v>#REF!</v>
      </c>
      <c r="H141" s="34" t="e">
        <f>IF(G141="","",VLOOKUP($B141,#REF!,7,FALSE))</f>
        <v>#REF!</v>
      </c>
      <c r="I141" s="25"/>
      <c r="J141" s="25"/>
      <c r="K141" s="25"/>
      <c r="L141" s="25"/>
      <c r="M141" s="25"/>
      <c r="N141" s="25"/>
      <c r="O141" s="33">
        <f t="shared" si="5"/>
        <v>0</v>
      </c>
      <c r="P141" s="25"/>
      <c r="Q141" s="25">
        <v>0</v>
      </c>
      <c r="R141" s="25"/>
      <c r="S141" s="25"/>
      <c r="T141" s="25"/>
      <c r="U141" s="25">
        <v>4</v>
      </c>
      <c r="V141" s="39"/>
      <c r="W141" s="25"/>
      <c r="X141" s="33">
        <f t="shared" si="4"/>
        <v>4</v>
      </c>
      <c r="Y141" s="39"/>
      <c r="Z141" s="25">
        <v>0</v>
      </c>
      <c r="AA141" s="45"/>
      <c r="AB141" s="45"/>
      <c r="AC141" s="45"/>
      <c r="AD141" s="45"/>
      <c r="AE141" s="45"/>
    </row>
    <row r="142" spans="1:31" s="12" customFormat="1" ht="12">
      <c r="A142" s="27">
        <v>45600</v>
      </c>
      <c r="B142" s="53" t="s">
        <v>66</v>
      </c>
      <c r="C142" s="37" t="s">
        <v>84</v>
      </c>
      <c r="D142" s="34" t="s">
        <v>184</v>
      </c>
      <c r="E142" s="34" t="e">
        <f>IF(B142="","",VLOOKUP($B142,#REF!,4,FALSE))</f>
        <v>#REF!</v>
      </c>
      <c r="F142" s="34" t="e">
        <f>IF(E142="","",VLOOKUP($B142,#REF!,5,FALSE))</f>
        <v>#REF!</v>
      </c>
      <c r="G142" s="34" t="e">
        <f>IF(F142="","",VLOOKUP($B142,#REF!,6,FALSE))</f>
        <v>#REF!</v>
      </c>
      <c r="H142" s="34" t="e">
        <f>IF(G142="","",VLOOKUP($B142,#REF!,7,FALSE))</f>
        <v>#REF!</v>
      </c>
      <c r="I142" s="25"/>
      <c r="J142" s="25"/>
      <c r="K142" s="25">
        <v>3</v>
      </c>
      <c r="L142" s="25"/>
      <c r="M142" s="25"/>
      <c r="N142" s="25"/>
      <c r="O142" s="33">
        <f t="shared" si="5"/>
        <v>3</v>
      </c>
      <c r="P142" s="25"/>
      <c r="Q142" s="25">
        <v>0</v>
      </c>
      <c r="R142" s="25"/>
      <c r="S142" s="25"/>
      <c r="T142" s="25">
        <v>3</v>
      </c>
      <c r="U142" s="25"/>
      <c r="V142" s="39"/>
      <c r="W142" s="25"/>
      <c r="X142" s="33">
        <f t="shared" si="4"/>
        <v>3</v>
      </c>
      <c r="Y142" s="39">
        <v>116452</v>
      </c>
      <c r="Z142" s="25">
        <v>349364</v>
      </c>
      <c r="AA142" s="45" t="s">
        <v>260</v>
      </c>
      <c r="AB142" s="45"/>
      <c r="AC142" s="45"/>
      <c r="AD142" s="45"/>
      <c r="AE142" s="45"/>
    </row>
    <row r="143" spans="1:31" s="12" customFormat="1" ht="12">
      <c r="A143" s="27">
        <v>45600</v>
      </c>
      <c r="B143" s="53" t="s">
        <v>66</v>
      </c>
      <c r="C143" s="37" t="s">
        <v>84</v>
      </c>
      <c r="D143" s="34" t="s">
        <v>184</v>
      </c>
      <c r="E143" s="34" t="e">
        <f>IF(B143="","",VLOOKUP($B143,#REF!,4,FALSE))</f>
        <v>#REF!</v>
      </c>
      <c r="F143" s="34" t="e">
        <f>IF(E143="","",VLOOKUP($B143,#REF!,5,FALSE))</f>
        <v>#REF!</v>
      </c>
      <c r="G143" s="34" t="e">
        <f>IF(F143="","",VLOOKUP($B143,#REF!,6,FALSE))</f>
        <v>#REF!</v>
      </c>
      <c r="H143" s="34" t="e">
        <f>IF(G143="","",VLOOKUP($B143,#REF!,7,FALSE))</f>
        <v>#REF!</v>
      </c>
      <c r="I143" s="25"/>
      <c r="J143" s="25"/>
      <c r="K143" s="25">
        <v>1</v>
      </c>
      <c r="L143" s="25"/>
      <c r="M143" s="25"/>
      <c r="N143" s="25"/>
      <c r="O143" s="33">
        <f t="shared" si="5"/>
        <v>1</v>
      </c>
      <c r="P143" s="25"/>
      <c r="Q143" s="25">
        <v>0</v>
      </c>
      <c r="R143" s="25"/>
      <c r="S143" s="25"/>
      <c r="T143" s="25">
        <v>1</v>
      </c>
      <c r="U143" s="25"/>
      <c r="V143" s="39"/>
      <c r="W143" s="25"/>
      <c r="X143" s="33">
        <f t="shared" si="4"/>
        <v>1</v>
      </c>
      <c r="Y143" s="39">
        <v>116452</v>
      </c>
      <c r="Z143" s="25">
        <v>116455</v>
      </c>
      <c r="AA143" s="45" t="s">
        <v>260</v>
      </c>
      <c r="AB143" s="45"/>
      <c r="AC143" s="45"/>
      <c r="AD143" s="45"/>
      <c r="AE143" s="45"/>
    </row>
    <row r="144" spans="1:31" s="12" customFormat="1" ht="12">
      <c r="A144" s="27">
        <v>45600</v>
      </c>
      <c r="B144" s="53" t="s">
        <v>163</v>
      </c>
      <c r="C144" s="37">
        <v>0</v>
      </c>
      <c r="D144" s="34" t="s">
        <v>183</v>
      </c>
      <c r="E144" s="34" t="e">
        <f>IF(B144="","",VLOOKUP($B144,#REF!,4,FALSE))</f>
        <v>#REF!</v>
      </c>
      <c r="F144" s="34" t="e">
        <f>IF(E144="","",VLOOKUP($B144,#REF!,5,FALSE))</f>
        <v>#REF!</v>
      </c>
      <c r="G144" s="34" t="e">
        <f>IF(F144="","",VLOOKUP($B144,#REF!,6,FALSE))</f>
        <v>#REF!</v>
      </c>
      <c r="H144" s="34" t="e">
        <f>IF(G144="","",VLOOKUP($B144,#REF!,7,FALSE))</f>
        <v>#REF!</v>
      </c>
      <c r="I144" s="25"/>
      <c r="J144" s="25"/>
      <c r="K144" s="25"/>
      <c r="L144" s="25"/>
      <c r="M144" s="25"/>
      <c r="N144" s="25"/>
      <c r="O144" s="33">
        <f t="shared" si="5"/>
        <v>0</v>
      </c>
      <c r="P144" s="25"/>
      <c r="Q144" s="25">
        <v>0</v>
      </c>
      <c r="R144" s="25"/>
      <c r="S144" s="25"/>
      <c r="T144" s="25">
        <v>3</v>
      </c>
      <c r="U144" s="25"/>
      <c r="V144" s="39"/>
      <c r="W144" s="25"/>
      <c r="X144" s="33">
        <f t="shared" si="4"/>
        <v>3</v>
      </c>
      <c r="Y144" s="39"/>
      <c r="Z144" s="25">
        <v>0</v>
      </c>
      <c r="AA144" s="45"/>
      <c r="AB144" s="45"/>
      <c r="AC144" s="45"/>
      <c r="AD144" s="45"/>
      <c r="AE144" s="45"/>
    </row>
    <row r="145" spans="1:31" s="12" customFormat="1" ht="12">
      <c r="A145" s="27">
        <v>45600</v>
      </c>
      <c r="B145" s="53" t="s">
        <v>33</v>
      </c>
      <c r="C145" s="37" t="s">
        <v>84</v>
      </c>
      <c r="D145" s="34" t="s">
        <v>184</v>
      </c>
      <c r="E145" s="34" t="e">
        <f>IF(B145="","",VLOOKUP($B145,#REF!,4,FALSE))</f>
        <v>#REF!</v>
      </c>
      <c r="F145" s="34" t="e">
        <f>IF(E145="","",VLOOKUP($B145,#REF!,5,FALSE))</f>
        <v>#REF!</v>
      </c>
      <c r="G145" s="34" t="e">
        <f>IF(F145="","",VLOOKUP($B145,#REF!,6,FALSE))</f>
        <v>#REF!</v>
      </c>
      <c r="H145" s="34" t="e">
        <f>IF(G145="","",VLOOKUP($B145,#REF!,7,FALSE))</f>
        <v>#REF!</v>
      </c>
      <c r="I145" s="25"/>
      <c r="J145" s="25"/>
      <c r="K145" s="25">
        <v>3</v>
      </c>
      <c r="L145" s="25"/>
      <c r="M145" s="25"/>
      <c r="N145" s="25"/>
      <c r="O145" s="33">
        <f t="shared" si="5"/>
        <v>3</v>
      </c>
      <c r="P145" s="25"/>
      <c r="Q145" s="25">
        <v>0</v>
      </c>
      <c r="R145" s="25"/>
      <c r="S145" s="25"/>
      <c r="T145" s="25">
        <v>3</v>
      </c>
      <c r="U145" s="25"/>
      <c r="V145" s="39"/>
      <c r="W145" s="25"/>
      <c r="X145" s="33">
        <f t="shared" si="4"/>
        <v>3</v>
      </c>
      <c r="Y145" s="39">
        <v>51360</v>
      </c>
      <c r="Z145" s="25">
        <v>154091</v>
      </c>
      <c r="AA145" s="45" t="s">
        <v>260</v>
      </c>
      <c r="AB145" s="45"/>
      <c r="AC145" s="45"/>
      <c r="AD145" s="45"/>
      <c r="AE145" s="45"/>
    </row>
    <row r="146" spans="1:31" s="12" customFormat="1" ht="12">
      <c r="A146" s="27">
        <v>45601</v>
      </c>
      <c r="B146" s="56" t="s">
        <v>15</v>
      </c>
      <c r="C146" s="37" t="s">
        <v>83</v>
      </c>
      <c r="D146" s="34" t="s">
        <v>185</v>
      </c>
      <c r="E146" s="34" t="e">
        <f>IF(B146="","",VLOOKUP($B146,#REF!,4,FALSE))</f>
        <v>#REF!</v>
      </c>
      <c r="F146" s="34" t="e">
        <f>IF(E146="","",VLOOKUP($B146,#REF!,5,FALSE))</f>
        <v>#REF!</v>
      </c>
      <c r="G146" s="34" t="e">
        <f>IF(F146="","",VLOOKUP($B146,#REF!,6,FALSE))</f>
        <v>#REF!</v>
      </c>
      <c r="H146" s="34" t="e">
        <f>IF(G146="","",VLOOKUP($B146,#REF!,7,FALSE))</f>
        <v>#REF!</v>
      </c>
      <c r="I146" s="25"/>
      <c r="J146" s="25"/>
      <c r="K146" s="25"/>
      <c r="L146" s="25"/>
      <c r="M146" s="25"/>
      <c r="N146" s="25"/>
      <c r="O146" s="33">
        <f t="shared" si="5"/>
        <v>0</v>
      </c>
      <c r="P146" s="25"/>
      <c r="Q146" s="25">
        <v>0</v>
      </c>
      <c r="R146" s="25"/>
      <c r="S146" s="25"/>
      <c r="T146" s="25">
        <v>1</v>
      </c>
      <c r="U146" s="25"/>
      <c r="V146" s="39"/>
      <c r="W146" s="25"/>
      <c r="X146" s="33">
        <f t="shared" si="4"/>
        <v>1</v>
      </c>
      <c r="Y146" s="39">
        <v>69600</v>
      </c>
      <c r="Z146" s="25">
        <v>69600</v>
      </c>
      <c r="AA146" s="45"/>
      <c r="AB146" s="45"/>
      <c r="AC146" s="45"/>
      <c r="AD146" s="45"/>
      <c r="AE146" s="45"/>
    </row>
    <row r="147" spans="1:31" s="12" customFormat="1" ht="12">
      <c r="A147" s="27">
        <v>45601</v>
      </c>
      <c r="B147" s="47" t="s">
        <v>10</v>
      </c>
      <c r="C147" s="37" t="s">
        <v>83</v>
      </c>
      <c r="D147" s="34" t="s">
        <v>185</v>
      </c>
      <c r="E147" s="34" t="e">
        <f>IF(B147="","",VLOOKUP($B147,#REF!,4,FALSE))</f>
        <v>#REF!</v>
      </c>
      <c r="F147" s="34" t="e">
        <f>IF(E147="","",VLOOKUP($B147,#REF!,5,FALSE))</f>
        <v>#REF!</v>
      </c>
      <c r="G147" s="34" t="e">
        <f>IF(F147="","",VLOOKUP($B147,#REF!,6,FALSE))</f>
        <v>#REF!</v>
      </c>
      <c r="H147" s="34" t="e">
        <f>IF(G147="","",VLOOKUP($B147,#REF!,7,FALSE))</f>
        <v>#REF!</v>
      </c>
      <c r="I147" s="25"/>
      <c r="J147" s="25"/>
      <c r="K147" s="25"/>
      <c r="L147" s="25"/>
      <c r="M147" s="25"/>
      <c r="N147" s="25"/>
      <c r="O147" s="33">
        <f t="shared" si="5"/>
        <v>0</v>
      </c>
      <c r="P147" s="25"/>
      <c r="Q147" s="25">
        <v>0</v>
      </c>
      <c r="R147" s="25"/>
      <c r="S147" s="25"/>
      <c r="T147" s="25">
        <v>3</v>
      </c>
      <c r="U147" s="25"/>
      <c r="V147" s="39"/>
      <c r="W147" s="25"/>
      <c r="X147" s="33">
        <f t="shared" si="4"/>
        <v>3</v>
      </c>
      <c r="Y147" s="39">
        <v>57000</v>
      </c>
      <c r="Z147" s="25">
        <v>171000</v>
      </c>
      <c r="AA147" s="45"/>
      <c r="AB147" s="45"/>
      <c r="AC147" s="45"/>
      <c r="AD147" s="45"/>
      <c r="AE147" s="45"/>
    </row>
    <row r="148" spans="1:31" s="12" customFormat="1" ht="12">
      <c r="A148" s="27">
        <v>45601</v>
      </c>
      <c r="B148" s="53" t="s">
        <v>25</v>
      </c>
      <c r="C148" s="37" t="s">
        <v>83</v>
      </c>
      <c r="D148" s="34" t="s">
        <v>185</v>
      </c>
      <c r="E148" s="34" t="e">
        <f>IF(B148="","",VLOOKUP($B148,#REF!,4,FALSE))</f>
        <v>#REF!</v>
      </c>
      <c r="F148" s="34" t="e">
        <f>IF(E148="","",VLOOKUP($B148,#REF!,5,FALSE))</f>
        <v>#REF!</v>
      </c>
      <c r="G148" s="34" t="e">
        <f>IF(F148="","",VLOOKUP($B148,#REF!,6,FALSE))</f>
        <v>#REF!</v>
      </c>
      <c r="H148" s="34" t="e">
        <f>IF(G148="","",VLOOKUP($B148,#REF!,7,FALSE))</f>
        <v>#REF!</v>
      </c>
      <c r="I148" s="25"/>
      <c r="J148" s="25"/>
      <c r="K148" s="25"/>
      <c r="L148" s="25"/>
      <c r="M148" s="25"/>
      <c r="N148" s="25"/>
      <c r="O148" s="33">
        <f t="shared" si="5"/>
        <v>0</v>
      </c>
      <c r="P148" s="25"/>
      <c r="Q148" s="25">
        <v>0</v>
      </c>
      <c r="R148" s="25"/>
      <c r="S148" s="25"/>
      <c r="T148" s="25">
        <v>2</v>
      </c>
      <c r="U148" s="25"/>
      <c r="V148" s="39"/>
      <c r="W148" s="25"/>
      <c r="X148" s="33">
        <f t="shared" si="4"/>
        <v>2</v>
      </c>
      <c r="Y148" s="39">
        <v>57000</v>
      </c>
      <c r="Z148" s="25">
        <v>114000</v>
      </c>
      <c r="AA148" s="45"/>
      <c r="AB148" s="45"/>
      <c r="AC148" s="45"/>
      <c r="AD148" s="45"/>
      <c r="AE148" s="45"/>
    </row>
    <row r="149" spans="1:31" s="12" customFormat="1" ht="12">
      <c r="A149" s="27">
        <v>45601</v>
      </c>
      <c r="B149" s="73" t="s">
        <v>38</v>
      </c>
      <c r="C149" s="37" t="s">
        <v>83</v>
      </c>
      <c r="D149" s="34" t="s">
        <v>185</v>
      </c>
      <c r="E149" s="34" t="e">
        <f>IF(B149="","",VLOOKUP($B149,#REF!,4,FALSE))</f>
        <v>#REF!</v>
      </c>
      <c r="F149" s="34" t="e">
        <f>IF(E149="","",VLOOKUP($B149,#REF!,5,FALSE))</f>
        <v>#REF!</v>
      </c>
      <c r="G149" s="34" t="e">
        <f>IF(F149="","",VLOOKUP($B149,#REF!,6,FALSE))</f>
        <v>#REF!</v>
      </c>
      <c r="H149" s="34" t="e">
        <f>IF(G149="","",VLOOKUP($B149,#REF!,7,FALSE))</f>
        <v>#REF!</v>
      </c>
      <c r="I149" s="25"/>
      <c r="J149" s="25"/>
      <c r="K149" s="25"/>
      <c r="L149" s="25"/>
      <c r="M149" s="25"/>
      <c r="N149" s="25"/>
      <c r="O149" s="33">
        <f t="shared" si="5"/>
        <v>0</v>
      </c>
      <c r="P149" s="25"/>
      <c r="Q149" s="25">
        <v>0</v>
      </c>
      <c r="R149" s="25"/>
      <c r="S149" s="25"/>
      <c r="T149" s="25">
        <v>10</v>
      </c>
      <c r="U149" s="25"/>
      <c r="V149" s="39"/>
      <c r="W149" s="25"/>
      <c r="X149" s="33">
        <f t="shared" si="4"/>
        <v>10</v>
      </c>
      <c r="Y149" s="39">
        <v>54600</v>
      </c>
      <c r="Z149" s="25">
        <v>546000</v>
      </c>
      <c r="AA149" s="45"/>
      <c r="AB149" s="45"/>
      <c r="AC149" s="45"/>
      <c r="AD149" s="45"/>
      <c r="AE149" s="45"/>
    </row>
    <row r="150" spans="1:31" s="12" customFormat="1" ht="12">
      <c r="A150" s="27">
        <v>45601</v>
      </c>
      <c r="B150" s="28" t="s">
        <v>23</v>
      </c>
      <c r="C150" s="37" t="s">
        <v>83</v>
      </c>
      <c r="D150" s="34" t="s">
        <v>185</v>
      </c>
      <c r="E150" s="34" t="e">
        <f>IF(B150="","",VLOOKUP($B150,#REF!,4,FALSE))</f>
        <v>#REF!</v>
      </c>
      <c r="F150" s="34" t="e">
        <f>IF(E150="","",VLOOKUP($B150,#REF!,5,FALSE))</f>
        <v>#REF!</v>
      </c>
      <c r="G150" s="34" t="e">
        <f>IF(F150="","",VLOOKUP($B150,#REF!,6,FALSE))</f>
        <v>#REF!</v>
      </c>
      <c r="H150" s="34" t="e">
        <f>IF(G150="","",VLOOKUP($B150,#REF!,7,FALSE))</f>
        <v>#REF!</v>
      </c>
      <c r="I150" s="25"/>
      <c r="J150" s="25"/>
      <c r="K150" s="25"/>
      <c r="L150" s="25"/>
      <c r="M150" s="25"/>
      <c r="N150" s="25"/>
      <c r="O150" s="33">
        <f t="shared" si="5"/>
        <v>0</v>
      </c>
      <c r="P150" s="25"/>
      <c r="Q150" s="25">
        <v>0</v>
      </c>
      <c r="R150" s="25"/>
      <c r="S150" s="25"/>
      <c r="T150" s="25">
        <v>18</v>
      </c>
      <c r="U150" s="25"/>
      <c r="V150" s="39"/>
      <c r="W150" s="25"/>
      <c r="X150" s="33">
        <f t="shared" si="4"/>
        <v>18</v>
      </c>
      <c r="Y150" s="39">
        <v>46080</v>
      </c>
      <c r="Z150" s="25">
        <v>829440</v>
      </c>
      <c r="AA150" s="45"/>
      <c r="AB150" s="45"/>
      <c r="AC150" s="45"/>
      <c r="AD150" s="45"/>
      <c r="AE150" s="45"/>
    </row>
    <row r="151" spans="1:31" s="12" customFormat="1" ht="12">
      <c r="A151" s="27">
        <v>45601</v>
      </c>
      <c r="B151" s="73" t="s">
        <v>61</v>
      </c>
      <c r="C151" s="37" t="s">
        <v>83</v>
      </c>
      <c r="D151" s="34" t="s">
        <v>185</v>
      </c>
      <c r="E151" s="34" t="e">
        <f>IF(B151="","",VLOOKUP($B151,#REF!,4,FALSE))</f>
        <v>#REF!</v>
      </c>
      <c r="F151" s="34" t="e">
        <f>IF(E151="","",VLOOKUP($B151,#REF!,5,FALSE))</f>
        <v>#REF!</v>
      </c>
      <c r="G151" s="34" t="e">
        <f>IF(F151="","",VLOOKUP($B151,#REF!,6,FALSE))</f>
        <v>#REF!</v>
      </c>
      <c r="H151" s="34" t="e">
        <f>IF(G151="","",VLOOKUP($B151,#REF!,7,FALSE))</f>
        <v>#REF!</v>
      </c>
      <c r="I151" s="25"/>
      <c r="J151" s="25"/>
      <c r="K151" s="25"/>
      <c r="L151" s="25"/>
      <c r="M151" s="25"/>
      <c r="N151" s="25"/>
      <c r="O151" s="33">
        <f t="shared" si="5"/>
        <v>0</v>
      </c>
      <c r="P151" s="25"/>
      <c r="Q151" s="25">
        <v>0</v>
      </c>
      <c r="R151" s="25"/>
      <c r="S151" s="25"/>
      <c r="T151" s="25">
        <v>34</v>
      </c>
      <c r="U151" s="25"/>
      <c r="V151" s="39"/>
      <c r="W151" s="25"/>
      <c r="X151" s="33">
        <f t="shared" si="4"/>
        <v>34</v>
      </c>
      <c r="Y151" s="39">
        <v>67500</v>
      </c>
      <c r="Z151" s="25">
        <v>2295000</v>
      </c>
      <c r="AA151" s="45"/>
      <c r="AB151" s="45"/>
      <c r="AC151" s="45"/>
      <c r="AD151" s="45"/>
      <c r="AE151" s="45"/>
    </row>
    <row r="152" spans="1:31" s="12" customFormat="1" ht="12">
      <c r="A152" s="27">
        <v>45601</v>
      </c>
      <c r="B152" s="28" t="s">
        <v>26</v>
      </c>
      <c r="C152" s="37" t="s">
        <v>83</v>
      </c>
      <c r="D152" s="34" t="s">
        <v>185</v>
      </c>
      <c r="E152" s="34" t="e">
        <f>IF(B152="","",VLOOKUP($B152,#REF!,4,FALSE))</f>
        <v>#REF!</v>
      </c>
      <c r="F152" s="34" t="e">
        <f>IF(E152="","",VLOOKUP($B152,#REF!,5,FALSE))</f>
        <v>#REF!</v>
      </c>
      <c r="G152" s="34" t="e">
        <f>IF(F152="","",VLOOKUP($B152,#REF!,6,FALSE))</f>
        <v>#REF!</v>
      </c>
      <c r="H152" s="34" t="e">
        <f>IF(G152="","",VLOOKUP($B152,#REF!,7,FALSE))</f>
        <v>#REF!</v>
      </c>
      <c r="I152" s="25"/>
      <c r="J152" s="25"/>
      <c r="K152" s="25"/>
      <c r="L152" s="25"/>
      <c r="M152" s="25"/>
      <c r="N152" s="25"/>
      <c r="O152" s="33">
        <f t="shared" si="5"/>
        <v>0</v>
      </c>
      <c r="P152" s="25"/>
      <c r="Q152" s="25">
        <v>0</v>
      </c>
      <c r="R152" s="25"/>
      <c r="S152" s="25"/>
      <c r="T152" s="25">
        <v>7</v>
      </c>
      <c r="U152" s="25"/>
      <c r="V152" s="39"/>
      <c r="W152" s="25"/>
      <c r="X152" s="33">
        <f t="shared" si="4"/>
        <v>7</v>
      </c>
      <c r="Y152" s="39">
        <v>23200</v>
      </c>
      <c r="Z152" s="25">
        <v>162400</v>
      </c>
      <c r="AA152" s="45"/>
      <c r="AB152" s="45"/>
      <c r="AC152" s="45"/>
      <c r="AD152" s="45"/>
      <c r="AE152" s="45"/>
    </row>
    <row r="153" spans="1:31" s="12" customFormat="1" ht="12">
      <c r="A153" s="27">
        <v>45601</v>
      </c>
      <c r="B153" s="28" t="s">
        <v>10</v>
      </c>
      <c r="C153" s="37" t="s">
        <v>83</v>
      </c>
      <c r="D153" s="34" t="s">
        <v>185</v>
      </c>
      <c r="E153" s="34" t="e">
        <f>IF(B153="","",VLOOKUP($B153,#REF!,4,FALSE))</f>
        <v>#REF!</v>
      </c>
      <c r="F153" s="34" t="e">
        <f>IF(E153="","",VLOOKUP($B153,#REF!,5,FALSE))</f>
        <v>#REF!</v>
      </c>
      <c r="G153" s="34" t="e">
        <f>IF(F153="","",VLOOKUP($B153,#REF!,6,FALSE))</f>
        <v>#REF!</v>
      </c>
      <c r="H153" s="34" t="e">
        <f>IF(G153="","",VLOOKUP($B153,#REF!,7,FALSE))</f>
        <v>#REF!</v>
      </c>
      <c r="I153" s="25"/>
      <c r="J153" s="25"/>
      <c r="K153" s="25"/>
      <c r="L153" s="25"/>
      <c r="M153" s="25"/>
      <c r="N153" s="25"/>
      <c r="O153" s="33">
        <f t="shared" si="5"/>
        <v>0</v>
      </c>
      <c r="P153" s="25"/>
      <c r="Q153" s="25">
        <v>0</v>
      </c>
      <c r="R153" s="25"/>
      <c r="S153" s="25"/>
      <c r="T153" s="25">
        <v>2</v>
      </c>
      <c r="U153" s="25"/>
      <c r="V153" s="39"/>
      <c r="W153" s="25"/>
      <c r="X153" s="33">
        <f t="shared" si="4"/>
        <v>2</v>
      </c>
      <c r="Y153" s="39"/>
      <c r="Z153" s="25">
        <v>0</v>
      </c>
      <c r="AA153" s="45"/>
      <c r="AB153" s="45"/>
      <c r="AC153" s="45"/>
      <c r="AD153" s="45"/>
      <c r="AE153" s="45"/>
    </row>
    <row r="154" spans="1:31" s="12" customFormat="1" ht="12">
      <c r="A154" s="27">
        <v>45601</v>
      </c>
      <c r="B154" s="28" t="s">
        <v>161</v>
      </c>
      <c r="C154" s="37" t="s">
        <v>83</v>
      </c>
      <c r="D154" s="34" t="s">
        <v>185</v>
      </c>
      <c r="E154" s="34" t="e">
        <f>IF(B154="","",VLOOKUP($B154,#REF!,4,FALSE))</f>
        <v>#REF!</v>
      </c>
      <c r="F154" s="34" t="e">
        <f>IF(E154="","",VLOOKUP($B154,#REF!,5,FALSE))</f>
        <v>#REF!</v>
      </c>
      <c r="G154" s="34" t="e">
        <f>IF(F154="","",VLOOKUP($B154,#REF!,6,FALSE))</f>
        <v>#REF!</v>
      </c>
      <c r="H154" s="34" t="e">
        <f>IF(G154="","",VLOOKUP($B154,#REF!,7,FALSE))</f>
        <v>#REF!</v>
      </c>
      <c r="I154" s="25"/>
      <c r="J154" s="25"/>
      <c r="K154" s="25">
        <v>2</v>
      </c>
      <c r="L154" s="25"/>
      <c r="M154" s="25"/>
      <c r="N154" s="25"/>
      <c r="O154" s="33">
        <f t="shared" si="5"/>
        <v>2</v>
      </c>
      <c r="P154" s="25"/>
      <c r="Q154" s="25">
        <v>0</v>
      </c>
      <c r="R154" s="25"/>
      <c r="S154" s="25"/>
      <c r="T154" s="25">
        <v>2</v>
      </c>
      <c r="U154" s="25"/>
      <c r="V154" s="39"/>
      <c r="W154" s="25"/>
      <c r="X154" s="33">
        <f t="shared" si="4"/>
        <v>2</v>
      </c>
      <c r="Y154" s="39">
        <v>44280</v>
      </c>
      <c r="Z154" s="25">
        <v>88560</v>
      </c>
      <c r="AA154" s="45"/>
      <c r="AB154" s="45"/>
      <c r="AC154" s="45"/>
      <c r="AD154" s="45"/>
      <c r="AE154" s="45"/>
    </row>
    <row r="155" spans="1:31" s="12" customFormat="1" ht="12">
      <c r="A155" s="27">
        <v>45601</v>
      </c>
      <c r="B155" s="29" t="s">
        <v>60</v>
      </c>
      <c r="C155" s="37">
        <v>0</v>
      </c>
      <c r="D155" s="34" t="s">
        <v>187</v>
      </c>
      <c r="E155" s="34" t="e">
        <f>IF(B155="","",VLOOKUP($B155,#REF!,4,FALSE))</f>
        <v>#REF!</v>
      </c>
      <c r="F155" s="34" t="e">
        <f>IF(E155="","",VLOOKUP($B155,#REF!,5,FALSE))</f>
        <v>#REF!</v>
      </c>
      <c r="G155" s="34" t="e">
        <f>IF(F155="","",VLOOKUP($B155,#REF!,6,FALSE))</f>
        <v>#REF!</v>
      </c>
      <c r="H155" s="34" t="e">
        <f>IF(G155="","",VLOOKUP($B155,#REF!,7,FALSE))</f>
        <v>#REF!</v>
      </c>
      <c r="I155" s="25"/>
      <c r="J155" s="25"/>
      <c r="K155" s="25"/>
      <c r="L155" s="25"/>
      <c r="M155" s="25"/>
      <c r="N155" s="25"/>
      <c r="O155" s="33">
        <f t="shared" si="5"/>
        <v>0</v>
      </c>
      <c r="P155" s="25"/>
      <c r="Q155" s="25">
        <v>0</v>
      </c>
      <c r="R155" s="25"/>
      <c r="S155" s="25"/>
      <c r="T155" s="25">
        <v>50</v>
      </c>
      <c r="U155" s="25"/>
      <c r="V155" s="39"/>
      <c r="W155" s="25"/>
      <c r="X155" s="33">
        <f t="shared" si="4"/>
        <v>50</v>
      </c>
      <c r="Y155" s="39">
        <v>13636</v>
      </c>
      <c r="Z155" s="25">
        <v>681818</v>
      </c>
      <c r="AA155" s="45" t="s">
        <v>215</v>
      </c>
      <c r="AB155" s="45"/>
      <c r="AC155" s="45"/>
      <c r="AD155" s="45"/>
      <c r="AE155" s="45"/>
    </row>
    <row r="156" spans="1:31" s="12" customFormat="1" ht="12">
      <c r="A156" s="27">
        <v>45601</v>
      </c>
      <c r="B156" s="53" t="s">
        <v>193</v>
      </c>
      <c r="C156" s="37" t="s">
        <v>150</v>
      </c>
      <c r="D156" s="34" t="s">
        <v>194</v>
      </c>
      <c r="E156" s="34" t="e">
        <f>IF(B156="","",VLOOKUP($B156,#REF!,4,FALSE))</f>
        <v>#REF!</v>
      </c>
      <c r="F156" s="34" t="e">
        <f>IF(E156="","",VLOOKUP($B156,#REF!,5,FALSE))</f>
        <v>#REF!</v>
      </c>
      <c r="G156" s="34" t="e">
        <f>IF(F156="","",VLOOKUP($B156,#REF!,6,FALSE))</f>
        <v>#REF!</v>
      </c>
      <c r="H156" s="34" t="e">
        <f>IF(G156="","",VLOOKUP($B156,#REF!,7,FALSE))</f>
        <v>#REF!</v>
      </c>
      <c r="I156" s="25"/>
      <c r="J156" s="25"/>
      <c r="K156" s="25">
        <v>2</v>
      </c>
      <c r="L156" s="25"/>
      <c r="M156" s="25"/>
      <c r="N156" s="25"/>
      <c r="O156" s="33">
        <f t="shared" si="5"/>
        <v>2</v>
      </c>
      <c r="P156" s="25"/>
      <c r="Q156" s="25">
        <v>0</v>
      </c>
      <c r="R156" s="25"/>
      <c r="S156" s="25"/>
      <c r="T156" s="25">
        <v>2</v>
      </c>
      <c r="U156" s="25"/>
      <c r="V156" s="39"/>
      <c r="W156" s="25"/>
      <c r="X156" s="33">
        <f t="shared" si="4"/>
        <v>2</v>
      </c>
      <c r="Y156" s="39">
        <v>16000</v>
      </c>
      <c r="Z156" s="25">
        <v>32000</v>
      </c>
      <c r="AA156" s="45"/>
      <c r="AB156" s="45"/>
      <c r="AC156" s="45"/>
      <c r="AD156" s="45"/>
      <c r="AE156" s="45"/>
    </row>
    <row r="157" spans="1:31" s="12" customFormat="1" ht="12">
      <c r="A157" s="27">
        <v>45601</v>
      </c>
      <c r="B157" s="53" t="s">
        <v>163</v>
      </c>
      <c r="C157" s="37">
        <v>0</v>
      </c>
      <c r="D157" s="34" t="s">
        <v>183</v>
      </c>
      <c r="E157" s="34" t="e">
        <f>IF(B157="","",VLOOKUP($B157,#REF!,4,FALSE))</f>
        <v>#REF!</v>
      </c>
      <c r="F157" s="34" t="e">
        <f>IF(E157="","",VLOOKUP($B157,#REF!,5,FALSE))</f>
        <v>#REF!</v>
      </c>
      <c r="G157" s="34" t="e">
        <f>IF(F157="","",VLOOKUP($B157,#REF!,6,FALSE))</f>
        <v>#REF!</v>
      </c>
      <c r="H157" s="34" t="e">
        <f>IF(G157="","",VLOOKUP($B157,#REF!,7,FALSE))</f>
        <v>#REF!</v>
      </c>
      <c r="I157" s="25"/>
      <c r="J157" s="25"/>
      <c r="K157" s="25"/>
      <c r="L157" s="25"/>
      <c r="M157" s="25"/>
      <c r="N157" s="25"/>
      <c r="O157" s="33">
        <f t="shared" si="5"/>
        <v>0</v>
      </c>
      <c r="P157" s="25"/>
      <c r="Q157" s="25">
        <v>0</v>
      </c>
      <c r="R157" s="25"/>
      <c r="S157" s="25"/>
      <c r="T157" s="25">
        <v>1</v>
      </c>
      <c r="U157" s="25"/>
      <c r="V157" s="39"/>
      <c r="W157" s="25"/>
      <c r="X157" s="33">
        <f t="shared" si="4"/>
        <v>1</v>
      </c>
      <c r="Y157" s="39"/>
      <c r="Z157" s="25">
        <v>0</v>
      </c>
      <c r="AA157" s="45"/>
      <c r="AB157" s="45"/>
      <c r="AC157" s="45"/>
      <c r="AD157" s="45"/>
      <c r="AE157" s="45"/>
    </row>
    <row r="158" spans="1:31" s="12" customFormat="1" ht="12">
      <c r="A158" s="27">
        <v>45601</v>
      </c>
      <c r="B158" s="47" t="s">
        <v>9</v>
      </c>
      <c r="C158" s="37" t="s">
        <v>86</v>
      </c>
      <c r="D158" s="34" t="s">
        <v>51</v>
      </c>
      <c r="E158" s="34" t="e">
        <f>IF(B158="","",VLOOKUP($B158,#REF!,4,FALSE))</f>
        <v>#REF!</v>
      </c>
      <c r="F158" s="34" t="e">
        <f>IF(E158="","",VLOOKUP($B158,#REF!,5,FALSE))</f>
        <v>#REF!</v>
      </c>
      <c r="G158" s="34" t="e">
        <f>IF(F158="","",VLOOKUP($B158,#REF!,6,FALSE))</f>
        <v>#REF!</v>
      </c>
      <c r="H158" s="34" t="e">
        <f>IF(G158="","",VLOOKUP($B158,#REF!,7,FALSE))</f>
        <v>#REF!</v>
      </c>
      <c r="I158" s="25"/>
      <c r="J158" s="25"/>
      <c r="K158" s="25">
        <v>1</v>
      </c>
      <c r="L158" s="25"/>
      <c r="M158" s="25"/>
      <c r="N158" s="25"/>
      <c r="O158" s="33">
        <f t="shared" si="5"/>
        <v>1</v>
      </c>
      <c r="P158" s="25"/>
      <c r="Q158" s="25">
        <v>0</v>
      </c>
      <c r="R158" s="25"/>
      <c r="S158" s="25"/>
      <c r="T158" s="25">
        <v>1</v>
      </c>
      <c r="U158" s="25"/>
      <c r="V158" s="39"/>
      <c r="W158" s="25"/>
      <c r="X158" s="33">
        <f t="shared" si="4"/>
        <v>1</v>
      </c>
      <c r="Y158" s="39">
        <v>9280</v>
      </c>
      <c r="Z158" s="25">
        <v>9280</v>
      </c>
      <c r="AA158" s="45"/>
      <c r="AB158" s="45"/>
      <c r="AC158" s="45"/>
      <c r="AD158" s="45"/>
      <c r="AE158" s="45"/>
    </row>
    <row r="159" spans="1:31" s="12" customFormat="1" ht="12">
      <c r="A159" s="27">
        <v>45601</v>
      </c>
      <c r="B159" s="53" t="s">
        <v>42</v>
      </c>
      <c r="C159" s="37" t="s">
        <v>143</v>
      </c>
      <c r="D159" s="34" t="s">
        <v>207</v>
      </c>
      <c r="E159" s="34" t="e">
        <f>IF(B159="","",VLOOKUP($B159,#REF!,4,FALSE))</f>
        <v>#REF!</v>
      </c>
      <c r="F159" s="34" t="e">
        <f>IF(E159="","",VLOOKUP($B159,#REF!,5,FALSE))</f>
        <v>#REF!</v>
      </c>
      <c r="G159" s="34" t="e">
        <f>IF(F159="","",VLOOKUP($B159,#REF!,6,FALSE))</f>
        <v>#REF!</v>
      </c>
      <c r="H159" s="34" t="e">
        <f>IF(G159="","",VLOOKUP($B159,#REF!,7,FALSE))</f>
        <v>#REF!</v>
      </c>
      <c r="I159" s="25"/>
      <c r="J159" s="25"/>
      <c r="K159" s="25"/>
      <c r="L159" s="25"/>
      <c r="M159" s="25"/>
      <c r="N159" s="25"/>
      <c r="O159" s="33">
        <f t="shared" si="5"/>
        <v>0</v>
      </c>
      <c r="P159" s="25"/>
      <c r="Q159" s="25">
        <v>0</v>
      </c>
      <c r="R159" s="25"/>
      <c r="S159" s="25">
        <v>504</v>
      </c>
      <c r="T159" s="25"/>
      <c r="U159" s="25"/>
      <c r="V159" s="39"/>
      <c r="W159" s="25"/>
      <c r="X159" s="33">
        <f t="shared" si="4"/>
        <v>504</v>
      </c>
      <c r="Y159" s="39">
        <f>Z159/X159</f>
        <v>135656.73412698411</v>
      </c>
      <c r="Z159" s="39">
        <v>68370994</v>
      </c>
      <c r="AA159" s="45" t="s">
        <v>155</v>
      </c>
      <c r="AB159" s="45" t="s">
        <v>143</v>
      </c>
      <c r="AC159" s="45" t="s">
        <v>207</v>
      </c>
      <c r="AD159" s="45"/>
      <c r="AE159" s="45"/>
    </row>
    <row r="160" spans="1:31" s="12" customFormat="1" ht="12">
      <c r="A160" s="27">
        <v>45601</v>
      </c>
      <c r="B160" s="53" t="s">
        <v>211</v>
      </c>
      <c r="C160" s="37" t="s">
        <v>82</v>
      </c>
      <c r="D160" s="34" t="s">
        <v>186</v>
      </c>
      <c r="E160" s="34" t="e">
        <f>IF(B160="","",VLOOKUP($B160,#REF!,4,FALSE))</f>
        <v>#REF!</v>
      </c>
      <c r="F160" s="34" t="e">
        <f>IF(E160="","",VLOOKUP($B160,#REF!,5,FALSE))</f>
        <v>#REF!</v>
      </c>
      <c r="G160" s="34" t="e">
        <f>IF(F160="","",VLOOKUP($B160,#REF!,6,FALSE))</f>
        <v>#REF!</v>
      </c>
      <c r="H160" s="34" t="e">
        <f>IF(G160="","",VLOOKUP($B160,#REF!,7,FALSE))</f>
        <v>#REF!</v>
      </c>
      <c r="I160" s="25"/>
      <c r="J160" s="25"/>
      <c r="K160" s="25"/>
      <c r="L160" s="25"/>
      <c r="M160" s="25"/>
      <c r="N160" s="25"/>
      <c r="O160" s="33">
        <f t="shared" si="5"/>
        <v>0</v>
      </c>
      <c r="P160" s="25"/>
      <c r="Q160" s="25">
        <v>0</v>
      </c>
      <c r="R160" s="25"/>
      <c r="S160" s="25"/>
      <c r="T160" s="25"/>
      <c r="U160" s="25"/>
      <c r="V160" s="39">
        <v>36</v>
      </c>
      <c r="W160" s="25"/>
      <c r="X160" s="33">
        <f t="shared" si="4"/>
        <v>36</v>
      </c>
      <c r="Y160" s="39">
        <v>46020</v>
      </c>
      <c r="Z160" s="25">
        <v>1656720</v>
      </c>
      <c r="AA160" s="45"/>
      <c r="AB160" s="45"/>
      <c r="AC160" s="45"/>
      <c r="AD160" s="45"/>
      <c r="AE160" s="45"/>
    </row>
    <row r="161" spans="1:31" s="12" customFormat="1" ht="12">
      <c r="A161" s="27">
        <v>45601</v>
      </c>
      <c r="B161" s="53" t="s">
        <v>211</v>
      </c>
      <c r="C161" s="37" t="s">
        <v>82</v>
      </c>
      <c r="D161" s="34" t="s">
        <v>186</v>
      </c>
      <c r="E161" s="34" t="e">
        <f>IF(B161="","",VLOOKUP($B161,#REF!,4,FALSE))</f>
        <v>#REF!</v>
      </c>
      <c r="F161" s="34" t="e">
        <f>IF(E161="","",VLOOKUP($B161,#REF!,5,FALSE))</f>
        <v>#REF!</v>
      </c>
      <c r="G161" s="34" t="e">
        <f>IF(F161="","",VLOOKUP($B161,#REF!,6,FALSE))</f>
        <v>#REF!</v>
      </c>
      <c r="H161" s="34" t="e">
        <f>IF(G161="","",VLOOKUP($B161,#REF!,7,FALSE))</f>
        <v>#REF!</v>
      </c>
      <c r="I161" s="25"/>
      <c r="J161" s="25"/>
      <c r="K161" s="25"/>
      <c r="L161" s="25"/>
      <c r="M161" s="25"/>
      <c r="N161" s="25"/>
      <c r="O161" s="33">
        <f t="shared" si="5"/>
        <v>0</v>
      </c>
      <c r="P161" s="25"/>
      <c r="Q161" s="25">
        <v>0</v>
      </c>
      <c r="R161" s="25"/>
      <c r="S161" s="25"/>
      <c r="T161" s="25"/>
      <c r="U161" s="25"/>
      <c r="V161" s="39">
        <v>192</v>
      </c>
      <c r="W161" s="25"/>
      <c r="X161" s="33">
        <f t="shared" si="4"/>
        <v>192</v>
      </c>
      <c r="Y161" s="39">
        <v>46020</v>
      </c>
      <c r="Z161" s="25">
        <v>8835840</v>
      </c>
      <c r="AA161" s="45"/>
      <c r="AB161" s="45"/>
      <c r="AC161" s="45"/>
      <c r="AD161" s="45"/>
      <c r="AE161" s="45"/>
    </row>
    <row r="162" spans="1:31" s="12" customFormat="1" ht="12">
      <c r="A162" s="27">
        <v>45601</v>
      </c>
      <c r="B162" s="53" t="s">
        <v>211</v>
      </c>
      <c r="C162" s="37" t="s">
        <v>82</v>
      </c>
      <c r="D162" s="34" t="s">
        <v>186</v>
      </c>
      <c r="E162" s="34" t="e">
        <f>IF(B162="","",VLOOKUP($B162,#REF!,4,FALSE))</f>
        <v>#REF!</v>
      </c>
      <c r="F162" s="34" t="e">
        <f>IF(E162="","",VLOOKUP($B162,#REF!,5,FALSE))</f>
        <v>#REF!</v>
      </c>
      <c r="G162" s="34" t="e">
        <f>IF(F162="","",VLOOKUP($B162,#REF!,6,FALSE))</f>
        <v>#REF!</v>
      </c>
      <c r="H162" s="34" t="e">
        <f>IF(G162="","",VLOOKUP($B162,#REF!,7,FALSE))</f>
        <v>#REF!</v>
      </c>
      <c r="I162" s="25"/>
      <c r="J162" s="25"/>
      <c r="K162" s="25"/>
      <c r="L162" s="25"/>
      <c r="M162" s="25"/>
      <c r="N162" s="25"/>
      <c r="O162" s="33">
        <f t="shared" si="5"/>
        <v>0</v>
      </c>
      <c r="P162" s="25"/>
      <c r="Q162" s="25">
        <v>0</v>
      </c>
      <c r="R162" s="25"/>
      <c r="S162" s="25"/>
      <c r="T162" s="25"/>
      <c r="U162" s="25"/>
      <c r="V162" s="39">
        <v>36</v>
      </c>
      <c r="W162" s="25"/>
      <c r="X162" s="33">
        <f t="shared" si="4"/>
        <v>36</v>
      </c>
      <c r="Y162" s="25">
        <v>46020</v>
      </c>
      <c r="Z162" s="25">
        <v>1656720</v>
      </c>
      <c r="AA162" s="45"/>
      <c r="AB162" s="45"/>
      <c r="AC162" s="45"/>
      <c r="AD162" s="45"/>
      <c r="AE162" s="45"/>
    </row>
    <row r="163" spans="1:31" s="12" customFormat="1" ht="12">
      <c r="A163" s="27">
        <v>45601</v>
      </c>
      <c r="B163" s="53" t="s">
        <v>211</v>
      </c>
      <c r="C163" s="37" t="s">
        <v>82</v>
      </c>
      <c r="D163" s="34" t="s">
        <v>186</v>
      </c>
      <c r="E163" s="34" t="e">
        <f>IF(B163="","",VLOOKUP($B163,#REF!,4,FALSE))</f>
        <v>#REF!</v>
      </c>
      <c r="F163" s="34" t="e">
        <f>IF(E163="","",VLOOKUP($B163,#REF!,5,FALSE))</f>
        <v>#REF!</v>
      </c>
      <c r="G163" s="34" t="e">
        <f>IF(F163="","",VLOOKUP($B163,#REF!,6,FALSE))</f>
        <v>#REF!</v>
      </c>
      <c r="H163" s="34" t="e">
        <f>IF(G163="","",VLOOKUP($B163,#REF!,7,FALSE))</f>
        <v>#REF!</v>
      </c>
      <c r="I163" s="25"/>
      <c r="J163" s="25"/>
      <c r="K163" s="25"/>
      <c r="L163" s="25"/>
      <c r="M163" s="25"/>
      <c r="N163" s="25"/>
      <c r="O163" s="33">
        <f t="shared" si="5"/>
        <v>0</v>
      </c>
      <c r="P163" s="25"/>
      <c r="Q163" s="25">
        <v>0</v>
      </c>
      <c r="R163" s="25"/>
      <c r="S163" s="25"/>
      <c r="T163" s="25"/>
      <c r="U163" s="25"/>
      <c r="V163" s="39">
        <v>192</v>
      </c>
      <c r="W163" s="25"/>
      <c r="X163" s="33">
        <f t="shared" si="4"/>
        <v>192</v>
      </c>
      <c r="Y163" s="39">
        <v>46020</v>
      </c>
      <c r="Z163" s="25">
        <v>8835840</v>
      </c>
      <c r="AA163" s="45"/>
      <c r="AB163" s="45"/>
      <c r="AC163" s="45"/>
      <c r="AD163" s="45"/>
      <c r="AE163" s="45"/>
    </row>
    <row r="164" spans="1:31" s="12" customFormat="1" ht="12">
      <c r="A164" s="27">
        <v>45601</v>
      </c>
      <c r="B164" s="53" t="s">
        <v>24</v>
      </c>
      <c r="C164" s="37" t="s">
        <v>82</v>
      </c>
      <c r="D164" s="34" t="s">
        <v>186</v>
      </c>
      <c r="E164" s="34" t="e">
        <f>IF(B164="","",VLOOKUP($B164,#REF!,4,FALSE))</f>
        <v>#REF!</v>
      </c>
      <c r="F164" s="34" t="e">
        <f>IF(E164="","",VLOOKUP($B164,#REF!,5,FALSE))</f>
        <v>#REF!</v>
      </c>
      <c r="G164" s="34" t="e">
        <f>IF(F164="","",VLOOKUP($B164,#REF!,6,FALSE))</f>
        <v>#REF!</v>
      </c>
      <c r="H164" s="34" t="e">
        <f>IF(G164="","",VLOOKUP($B164,#REF!,7,FALSE))</f>
        <v>#REF!</v>
      </c>
      <c r="I164" s="25"/>
      <c r="J164" s="25"/>
      <c r="K164" s="25"/>
      <c r="L164" s="25"/>
      <c r="M164" s="25"/>
      <c r="N164" s="25"/>
      <c r="O164" s="33">
        <f t="shared" si="5"/>
        <v>0</v>
      </c>
      <c r="P164" s="25"/>
      <c r="Q164" s="25">
        <v>0</v>
      </c>
      <c r="R164" s="25"/>
      <c r="S164" s="25"/>
      <c r="T164" s="25"/>
      <c r="U164" s="25"/>
      <c r="V164" s="39">
        <v>192</v>
      </c>
      <c r="W164" s="25"/>
      <c r="X164" s="33">
        <f t="shared" si="4"/>
        <v>192</v>
      </c>
      <c r="Y164" s="39">
        <v>124920</v>
      </c>
      <c r="Z164" s="25">
        <v>23984640</v>
      </c>
      <c r="AA164" s="45"/>
      <c r="AB164" s="45"/>
      <c r="AC164" s="45"/>
      <c r="AD164" s="45"/>
      <c r="AE164" s="45"/>
    </row>
    <row r="165" spans="1:31" s="12" customFormat="1" ht="12">
      <c r="A165" s="27">
        <v>45601</v>
      </c>
      <c r="B165" s="28" t="s">
        <v>28</v>
      </c>
      <c r="C165" s="37" t="s">
        <v>82</v>
      </c>
      <c r="D165" s="34" t="s">
        <v>186</v>
      </c>
      <c r="E165" s="34" t="e">
        <f>IF(B165="","",VLOOKUP($B165,#REF!,4,FALSE))</f>
        <v>#REF!</v>
      </c>
      <c r="F165" s="34" t="e">
        <f>IF(E165="","",VLOOKUP($B165,#REF!,5,FALSE))</f>
        <v>#REF!</v>
      </c>
      <c r="G165" s="34" t="e">
        <f>IF(F165="","",VLOOKUP($B165,#REF!,6,FALSE))</f>
        <v>#REF!</v>
      </c>
      <c r="H165" s="34" t="e">
        <f>IF(G165="","",VLOOKUP($B165,#REF!,7,FALSE))</f>
        <v>#REF!</v>
      </c>
      <c r="I165" s="25"/>
      <c r="J165" s="25"/>
      <c r="K165" s="25"/>
      <c r="L165" s="25"/>
      <c r="M165" s="25"/>
      <c r="N165" s="25"/>
      <c r="O165" s="33">
        <f t="shared" si="5"/>
        <v>0</v>
      </c>
      <c r="P165" s="25"/>
      <c r="Q165" s="25">
        <v>0</v>
      </c>
      <c r="R165" s="25"/>
      <c r="S165" s="25"/>
      <c r="T165" s="25"/>
      <c r="U165" s="25"/>
      <c r="V165" s="39">
        <v>48</v>
      </c>
      <c r="W165" s="25"/>
      <c r="X165" s="33">
        <f t="shared" si="4"/>
        <v>48</v>
      </c>
      <c r="Y165" s="39">
        <v>186150</v>
      </c>
      <c r="Z165" s="25">
        <v>8935200</v>
      </c>
      <c r="AA165" s="45"/>
      <c r="AB165" s="45"/>
      <c r="AC165" s="45"/>
      <c r="AD165" s="45"/>
      <c r="AE165" s="45"/>
    </row>
    <row r="166" spans="1:31" s="12" customFormat="1" ht="12">
      <c r="A166" s="27">
        <v>45601</v>
      </c>
      <c r="B166" s="53" t="s">
        <v>160</v>
      </c>
      <c r="C166" s="37" t="s">
        <v>82</v>
      </c>
      <c r="D166" s="34" t="s">
        <v>186</v>
      </c>
      <c r="E166" s="34" t="e">
        <f>IF(B166="","",VLOOKUP($B166,#REF!,4,FALSE))</f>
        <v>#REF!</v>
      </c>
      <c r="F166" s="34" t="e">
        <f>IF(E166="","",VLOOKUP($B166,#REF!,5,FALSE))</f>
        <v>#REF!</v>
      </c>
      <c r="G166" s="34" t="e">
        <f>IF(F166="","",VLOOKUP($B166,#REF!,6,FALSE))</f>
        <v>#REF!</v>
      </c>
      <c r="H166" s="34" t="e">
        <f>IF(G166="","",VLOOKUP($B166,#REF!,7,FALSE))</f>
        <v>#REF!</v>
      </c>
      <c r="I166" s="25"/>
      <c r="J166" s="25"/>
      <c r="K166" s="25"/>
      <c r="L166" s="25"/>
      <c r="M166" s="25"/>
      <c r="N166" s="25"/>
      <c r="O166" s="33">
        <f t="shared" si="5"/>
        <v>0</v>
      </c>
      <c r="P166" s="25"/>
      <c r="Q166" s="25">
        <v>0</v>
      </c>
      <c r="R166" s="25"/>
      <c r="S166" s="25"/>
      <c r="T166" s="25"/>
      <c r="U166" s="25"/>
      <c r="V166" s="39">
        <v>192</v>
      </c>
      <c r="W166" s="25"/>
      <c r="X166" s="33">
        <f t="shared" si="4"/>
        <v>192</v>
      </c>
      <c r="Y166" s="39">
        <v>100300</v>
      </c>
      <c r="Z166" s="25">
        <v>19257600</v>
      </c>
      <c r="AA166" s="45"/>
      <c r="AB166" s="45"/>
      <c r="AC166" s="45"/>
      <c r="AD166" s="45"/>
      <c r="AE166" s="45"/>
    </row>
    <row r="167" spans="1:31" s="14" customFormat="1" ht="12">
      <c r="A167" s="27">
        <v>45601</v>
      </c>
      <c r="B167" s="28" t="s">
        <v>188</v>
      </c>
      <c r="C167" s="37" t="s">
        <v>82</v>
      </c>
      <c r="D167" s="34" t="s">
        <v>186</v>
      </c>
      <c r="E167" s="34" t="e">
        <f>IF(B167="","",VLOOKUP($B167,#REF!,4,FALSE))</f>
        <v>#REF!</v>
      </c>
      <c r="F167" s="34" t="e">
        <f>IF(E167="","",VLOOKUP($B167,#REF!,5,FALSE))</f>
        <v>#REF!</v>
      </c>
      <c r="G167" s="34" t="e">
        <f>IF(F167="","",VLOOKUP($B167,#REF!,6,FALSE))</f>
        <v>#REF!</v>
      </c>
      <c r="H167" s="34" t="e">
        <f>IF(G167="","",VLOOKUP($B167,#REF!,7,FALSE))</f>
        <v>#REF!</v>
      </c>
      <c r="I167" s="25"/>
      <c r="J167" s="25"/>
      <c r="K167" s="25"/>
      <c r="L167" s="25"/>
      <c r="M167" s="25"/>
      <c r="N167" s="25"/>
      <c r="O167" s="33">
        <f t="shared" si="5"/>
        <v>0</v>
      </c>
      <c r="P167" s="25"/>
      <c r="Q167" s="25">
        <v>0</v>
      </c>
      <c r="R167" s="25"/>
      <c r="S167" s="25"/>
      <c r="T167" s="25"/>
      <c r="U167" s="25"/>
      <c r="V167" s="39">
        <v>132</v>
      </c>
      <c r="W167" s="25"/>
      <c r="X167" s="33">
        <f t="shared" si="4"/>
        <v>132</v>
      </c>
      <c r="Y167" s="39">
        <v>128000</v>
      </c>
      <c r="Z167" s="25">
        <v>16896000</v>
      </c>
      <c r="AA167" s="45"/>
      <c r="AB167" s="45"/>
      <c r="AC167" s="45"/>
      <c r="AD167" s="45"/>
      <c r="AE167" s="45"/>
    </row>
    <row r="168" spans="1:31" s="12" customFormat="1" ht="12">
      <c r="A168" s="27">
        <v>45601</v>
      </c>
      <c r="B168" s="28" t="s">
        <v>21</v>
      </c>
      <c r="C168" s="37" t="s">
        <v>82</v>
      </c>
      <c r="D168" s="34" t="s">
        <v>186</v>
      </c>
      <c r="E168" s="34" t="e">
        <f>IF(B168="","",VLOOKUP($B168,#REF!,4,FALSE))</f>
        <v>#REF!</v>
      </c>
      <c r="F168" s="34" t="e">
        <f>IF(E168="","",VLOOKUP($B168,#REF!,5,FALSE))</f>
        <v>#REF!</v>
      </c>
      <c r="G168" s="34" t="e">
        <f>IF(F168="","",VLOOKUP($B168,#REF!,6,FALSE))</f>
        <v>#REF!</v>
      </c>
      <c r="H168" s="34" t="e">
        <f>IF(G168="","",VLOOKUP($B168,#REF!,7,FALSE))</f>
        <v>#REF!</v>
      </c>
      <c r="I168" s="25"/>
      <c r="J168" s="25"/>
      <c r="K168" s="25"/>
      <c r="L168" s="25"/>
      <c r="M168" s="25"/>
      <c r="N168" s="25"/>
      <c r="O168" s="33">
        <f t="shared" si="5"/>
        <v>0</v>
      </c>
      <c r="P168" s="25"/>
      <c r="Q168" s="25">
        <v>0</v>
      </c>
      <c r="R168" s="25"/>
      <c r="S168" s="25"/>
      <c r="T168" s="25"/>
      <c r="U168" s="25"/>
      <c r="V168" s="39">
        <v>12</v>
      </c>
      <c r="W168" s="25"/>
      <c r="X168" s="33">
        <f t="shared" si="4"/>
        <v>12</v>
      </c>
      <c r="Y168" s="39">
        <v>80400</v>
      </c>
      <c r="Z168" s="25">
        <v>964800</v>
      </c>
      <c r="AA168" s="45"/>
      <c r="AB168" s="45"/>
      <c r="AC168" s="45"/>
      <c r="AD168" s="45"/>
      <c r="AE168" s="45"/>
    </row>
    <row r="169" spans="1:31" s="12" customFormat="1" ht="12">
      <c r="A169" s="27">
        <v>45601</v>
      </c>
      <c r="B169" s="20" t="s">
        <v>160</v>
      </c>
      <c r="C169" s="37">
        <v>0</v>
      </c>
      <c r="D169" s="34" t="s">
        <v>187</v>
      </c>
      <c r="E169" s="34" t="e">
        <f>IF(B169="","",VLOOKUP($B169,#REF!,4,FALSE))</f>
        <v>#REF!</v>
      </c>
      <c r="F169" s="34" t="e">
        <f>IF(E169="","",VLOOKUP($B169,#REF!,5,FALSE))</f>
        <v>#REF!</v>
      </c>
      <c r="G169" s="34" t="e">
        <f>IF(F169="","",VLOOKUP($B169,#REF!,6,FALSE))</f>
        <v>#REF!</v>
      </c>
      <c r="H169" s="34" t="e">
        <f>IF(G169="","",VLOOKUP($B169,#REF!,7,FALSE))</f>
        <v>#REF!</v>
      </c>
      <c r="I169" s="25"/>
      <c r="J169" s="25">
        <v>540</v>
      </c>
      <c r="K169" s="25"/>
      <c r="L169" s="25"/>
      <c r="M169" s="25"/>
      <c r="N169" s="25"/>
      <c r="O169" s="33">
        <f t="shared" si="5"/>
        <v>540</v>
      </c>
      <c r="P169" s="25"/>
      <c r="Q169" s="25">
        <v>0</v>
      </c>
      <c r="R169" s="25"/>
      <c r="S169" s="25"/>
      <c r="T169" s="25"/>
      <c r="U169" s="25"/>
      <c r="V169" s="39"/>
      <c r="W169" s="25"/>
      <c r="X169" s="33">
        <f t="shared" si="4"/>
        <v>0</v>
      </c>
      <c r="Y169" s="39"/>
      <c r="Z169" s="25">
        <v>0</v>
      </c>
      <c r="AA169" s="45"/>
      <c r="AB169" s="45"/>
      <c r="AC169" s="45"/>
      <c r="AD169" s="45"/>
      <c r="AE169" s="45"/>
    </row>
    <row r="170" spans="1:31" s="12" customFormat="1" ht="12">
      <c r="A170" s="27">
        <v>45601</v>
      </c>
      <c r="B170" s="53" t="s">
        <v>47</v>
      </c>
      <c r="C170" s="37">
        <v>0</v>
      </c>
      <c r="D170" s="34" t="s">
        <v>187</v>
      </c>
      <c r="E170" s="34" t="e">
        <f>IF(B170="","",VLOOKUP($B170,#REF!,4,FALSE))</f>
        <v>#REF!</v>
      </c>
      <c r="F170" s="34" t="e">
        <f>IF(E170="","",VLOOKUP($B170,#REF!,5,FALSE))</f>
        <v>#REF!</v>
      </c>
      <c r="G170" s="34" t="e">
        <f>IF(F170="","",VLOOKUP($B170,#REF!,6,FALSE))</f>
        <v>#REF!</v>
      </c>
      <c r="H170" s="34" t="e">
        <f>IF(G170="","",VLOOKUP($B170,#REF!,7,FALSE))</f>
        <v>#REF!</v>
      </c>
      <c r="I170" s="25"/>
      <c r="J170" s="25">
        <v>179</v>
      </c>
      <c r="K170" s="25"/>
      <c r="L170" s="25"/>
      <c r="M170" s="25"/>
      <c r="N170" s="25"/>
      <c r="O170" s="33">
        <f t="shared" si="5"/>
        <v>179</v>
      </c>
      <c r="P170" s="25"/>
      <c r="Q170" s="25">
        <v>0</v>
      </c>
      <c r="R170" s="25"/>
      <c r="S170" s="25"/>
      <c r="T170" s="25"/>
      <c r="U170" s="25"/>
      <c r="V170" s="39"/>
      <c r="W170" s="25"/>
      <c r="X170" s="33">
        <f t="shared" si="4"/>
        <v>0</v>
      </c>
      <c r="Y170" s="39"/>
      <c r="Z170" s="25">
        <v>0</v>
      </c>
      <c r="AA170" s="45"/>
      <c r="AB170" s="45"/>
      <c r="AC170" s="45"/>
      <c r="AD170" s="45"/>
      <c r="AE170" s="45"/>
    </row>
    <row r="171" spans="1:31" s="12" customFormat="1" ht="12">
      <c r="A171" s="27">
        <v>45601</v>
      </c>
      <c r="B171" s="53" t="s">
        <v>211</v>
      </c>
      <c r="C171" s="37">
        <v>0</v>
      </c>
      <c r="D171" s="34" t="s">
        <v>187</v>
      </c>
      <c r="E171" s="34" t="e">
        <f>IF(B171="","",VLOOKUP($B171,#REF!,4,FALSE))</f>
        <v>#REF!</v>
      </c>
      <c r="F171" s="34" t="e">
        <f>IF(E171="","",VLOOKUP($B171,#REF!,5,FALSE))</f>
        <v>#REF!</v>
      </c>
      <c r="G171" s="34" t="e">
        <f>IF(F171="","",VLOOKUP($B171,#REF!,6,FALSE))</f>
        <v>#REF!</v>
      </c>
      <c r="H171" s="34" t="e">
        <f>IF(G171="","",VLOOKUP($B171,#REF!,7,FALSE))</f>
        <v>#REF!</v>
      </c>
      <c r="I171" s="25"/>
      <c r="J171" s="25"/>
      <c r="K171" s="25"/>
      <c r="L171" s="25">
        <v>1149</v>
      </c>
      <c r="M171" s="25"/>
      <c r="N171" s="25"/>
      <c r="O171" s="33">
        <f t="shared" si="5"/>
        <v>1149</v>
      </c>
      <c r="P171" s="25"/>
      <c r="Q171" s="25">
        <v>0</v>
      </c>
      <c r="R171" s="25"/>
      <c r="S171" s="25"/>
      <c r="T171" s="25"/>
      <c r="U171" s="25"/>
      <c r="V171" s="39"/>
      <c r="W171" s="25"/>
      <c r="X171" s="33">
        <f t="shared" si="4"/>
        <v>0</v>
      </c>
      <c r="Y171" s="39"/>
      <c r="Z171" s="25">
        <v>0</v>
      </c>
      <c r="AA171" s="45"/>
      <c r="AB171" s="45"/>
      <c r="AC171" s="45"/>
      <c r="AD171" s="45"/>
      <c r="AE171" s="45"/>
    </row>
    <row r="172" spans="1:31" s="12" customFormat="1" ht="12">
      <c r="A172" s="27">
        <v>45601</v>
      </c>
      <c r="B172" s="75" t="s">
        <v>229</v>
      </c>
      <c r="C172" s="37">
        <v>0</v>
      </c>
      <c r="D172" s="34" t="s">
        <v>187</v>
      </c>
      <c r="E172" s="34" t="e">
        <f>IF(B172="","",VLOOKUP($B172,#REF!,4,FALSE))</f>
        <v>#REF!</v>
      </c>
      <c r="F172" s="34" t="e">
        <f>IF(E172="","",VLOOKUP($B172,#REF!,5,FALSE))</f>
        <v>#REF!</v>
      </c>
      <c r="G172" s="34" t="e">
        <f>IF(F172="","",VLOOKUP($B172,#REF!,6,FALSE))</f>
        <v>#REF!</v>
      </c>
      <c r="H172" s="34" t="e">
        <f>IF(G172="","",VLOOKUP($B172,#REF!,7,FALSE))</f>
        <v>#REF!</v>
      </c>
      <c r="I172" s="25"/>
      <c r="J172" s="25"/>
      <c r="K172" s="25"/>
      <c r="L172" s="25">
        <v>2941</v>
      </c>
      <c r="M172" s="25"/>
      <c r="N172" s="25"/>
      <c r="O172" s="33">
        <f t="shared" si="5"/>
        <v>2941</v>
      </c>
      <c r="P172" s="25"/>
      <c r="Q172" s="25">
        <v>0</v>
      </c>
      <c r="R172" s="25"/>
      <c r="S172" s="25"/>
      <c r="T172" s="25"/>
      <c r="U172" s="25"/>
      <c r="V172" s="39"/>
      <c r="W172" s="25"/>
      <c r="X172" s="33">
        <f t="shared" si="4"/>
        <v>0</v>
      </c>
      <c r="Y172" s="39"/>
      <c r="Z172" s="25">
        <v>0</v>
      </c>
      <c r="AA172" s="45"/>
      <c r="AB172" s="45"/>
      <c r="AC172" s="45"/>
      <c r="AD172" s="45"/>
      <c r="AE172" s="45"/>
    </row>
    <row r="173" spans="1:31" s="12" customFormat="1" ht="12">
      <c r="A173" s="27">
        <v>45601</v>
      </c>
      <c r="B173" s="53" t="s">
        <v>23</v>
      </c>
      <c r="C173" s="37">
        <v>0</v>
      </c>
      <c r="D173" s="34" t="s">
        <v>187</v>
      </c>
      <c r="E173" s="34" t="e">
        <f>IF(B173="","",VLOOKUP($B173,#REF!,4,FALSE))</f>
        <v>#REF!</v>
      </c>
      <c r="F173" s="34" t="e">
        <f>IF(E173="","",VLOOKUP($B173,#REF!,5,FALSE))</f>
        <v>#REF!</v>
      </c>
      <c r="G173" s="34" t="e">
        <f>IF(F173="","",VLOOKUP($B173,#REF!,6,FALSE))</f>
        <v>#REF!</v>
      </c>
      <c r="H173" s="34" t="e">
        <f>IF(G173="","",VLOOKUP($B173,#REF!,7,FALSE))</f>
        <v>#REF!</v>
      </c>
      <c r="I173" s="25"/>
      <c r="J173" s="25"/>
      <c r="K173" s="25">
        <v>37</v>
      </c>
      <c r="L173" s="25"/>
      <c r="M173" s="25"/>
      <c r="N173" s="25"/>
      <c r="O173" s="33">
        <f t="shared" si="5"/>
        <v>37</v>
      </c>
      <c r="P173" s="25"/>
      <c r="Q173" s="25">
        <v>0</v>
      </c>
      <c r="R173" s="25"/>
      <c r="S173" s="25"/>
      <c r="T173" s="25"/>
      <c r="U173" s="25"/>
      <c r="V173" s="39"/>
      <c r="W173" s="25"/>
      <c r="X173" s="33">
        <f t="shared" si="4"/>
        <v>0</v>
      </c>
      <c r="Y173" s="39"/>
      <c r="Z173" s="25">
        <v>0</v>
      </c>
      <c r="AA173" s="45"/>
      <c r="AB173" s="45"/>
      <c r="AC173" s="45"/>
      <c r="AD173" s="45"/>
      <c r="AE173" s="45"/>
    </row>
    <row r="174" spans="1:31" s="12" customFormat="1" ht="12">
      <c r="A174" s="27">
        <v>45601</v>
      </c>
      <c r="B174" s="73" t="s">
        <v>63</v>
      </c>
      <c r="C174" s="37">
        <v>0</v>
      </c>
      <c r="D174" s="34" t="s">
        <v>187</v>
      </c>
      <c r="E174" s="34" t="e">
        <f>IF(B174="","",VLOOKUP($B174,#REF!,4,FALSE))</f>
        <v>#REF!</v>
      </c>
      <c r="F174" s="34" t="e">
        <f>IF(E174="","",VLOOKUP($B174,#REF!,5,FALSE))</f>
        <v>#REF!</v>
      </c>
      <c r="G174" s="34" t="e">
        <f>IF(F174="","",VLOOKUP($B174,#REF!,6,FALSE))</f>
        <v>#REF!</v>
      </c>
      <c r="H174" s="34" t="e">
        <f>IF(G174="","",VLOOKUP($B174,#REF!,7,FALSE))</f>
        <v>#REF!</v>
      </c>
      <c r="I174" s="25"/>
      <c r="J174" s="25"/>
      <c r="K174" s="25">
        <v>90</v>
      </c>
      <c r="L174" s="25"/>
      <c r="M174" s="25"/>
      <c r="N174" s="25"/>
      <c r="O174" s="33">
        <f t="shared" si="5"/>
        <v>90</v>
      </c>
      <c r="P174" s="25"/>
      <c r="Q174" s="25">
        <v>0</v>
      </c>
      <c r="R174" s="25"/>
      <c r="S174" s="25"/>
      <c r="T174" s="25"/>
      <c r="U174" s="25"/>
      <c r="V174" s="39"/>
      <c r="W174" s="25"/>
      <c r="X174" s="33">
        <f t="shared" si="4"/>
        <v>0</v>
      </c>
      <c r="Y174" s="39"/>
      <c r="Z174" s="25">
        <v>0</v>
      </c>
      <c r="AA174" s="45"/>
      <c r="AB174" s="45"/>
      <c r="AC174" s="45"/>
      <c r="AD174" s="45"/>
      <c r="AE174" s="45"/>
    </row>
    <row r="175" spans="1:31" s="12" customFormat="1" ht="12">
      <c r="A175" s="27">
        <v>45601</v>
      </c>
      <c r="B175" s="53" t="s">
        <v>58</v>
      </c>
      <c r="C175" s="37">
        <v>0</v>
      </c>
      <c r="D175" s="34" t="s">
        <v>187</v>
      </c>
      <c r="E175" s="34" t="e">
        <f>IF(B175="","",VLOOKUP($B175,#REF!,4,FALSE))</f>
        <v>#REF!</v>
      </c>
      <c r="F175" s="34" t="e">
        <f>IF(E175="","",VLOOKUP($B175,#REF!,5,FALSE))</f>
        <v>#REF!</v>
      </c>
      <c r="G175" s="34" t="e">
        <f>IF(F175="","",VLOOKUP($B175,#REF!,6,FALSE))</f>
        <v>#REF!</v>
      </c>
      <c r="H175" s="34" t="e">
        <f>IF(G175="","",VLOOKUP($B175,#REF!,7,FALSE))</f>
        <v>#REF!</v>
      </c>
      <c r="I175" s="25"/>
      <c r="J175" s="25"/>
      <c r="K175" s="25"/>
      <c r="L175" s="25">
        <v>149</v>
      </c>
      <c r="M175" s="25"/>
      <c r="N175" s="25"/>
      <c r="O175" s="33">
        <f t="shared" si="5"/>
        <v>149</v>
      </c>
      <c r="P175" s="25"/>
      <c r="Q175" s="25">
        <v>0</v>
      </c>
      <c r="R175" s="25"/>
      <c r="S175" s="25"/>
      <c r="T175" s="25"/>
      <c r="U175" s="25"/>
      <c r="V175" s="39"/>
      <c r="W175" s="25"/>
      <c r="X175" s="33">
        <f t="shared" si="4"/>
        <v>0</v>
      </c>
      <c r="Y175" s="39"/>
      <c r="Z175" s="25">
        <v>0</v>
      </c>
      <c r="AA175" s="45"/>
      <c r="AB175" s="45"/>
      <c r="AC175" s="45"/>
      <c r="AD175" s="45"/>
      <c r="AE175" s="45"/>
    </row>
    <row r="176" spans="1:31" s="12" customFormat="1" ht="12">
      <c r="A176" s="27">
        <v>45601</v>
      </c>
      <c r="B176" s="28" t="s">
        <v>57</v>
      </c>
      <c r="C176" s="37">
        <v>0</v>
      </c>
      <c r="D176" s="34" t="s">
        <v>187</v>
      </c>
      <c r="E176" s="34" t="e">
        <f>IF(B176="","",VLOOKUP($B176,#REF!,4,FALSE))</f>
        <v>#REF!</v>
      </c>
      <c r="F176" s="34" t="e">
        <f>IF(E176="","",VLOOKUP($B176,#REF!,5,FALSE))</f>
        <v>#REF!</v>
      </c>
      <c r="G176" s="34" t="e">
        <f>IF(F176="","",VLOOKUP($B176,#REF!,6,FALSE))</f>
        <v>#REF!</v>
      </c>
      <c r="H176" s="34" t="e">
        <f>IF(G176="","",VLOOKUP($B176,#REF!,7,FALSE))</f>
        <v>#REF!</v>
      </c>
      <c r="I176" s="25"/>
      <c r="J176" s="25"/>
      <c r="K176" s="25"/>
      <c r="L176" s="25">
        <v>66</v>
      </c>
      <c r="M176" s="25"/>
      <c r="N176" s="25"/>
      <c r="O176" s="33">
        <f t="shared" si="5"/>
        <v>66</v>
      </c>
      <c r="P176" s="25"/>
      <c r="Q176" s="25">
        <v>0</v>
      </c>
      <c r="R176" s="25"/>
      <c r="S176" s="25"/>
      <c r="T176" s="25"/>
      <c r="U176" s="25"/>
      <c r="V176" s="39"/>
      <c r="W176" s="25"/>
      <c r="X176" s="33">
        <f t="shared" si="4"/>
        <v>0</v>
      </c>
      <c r="Y176" s="39"/>
      <c r="Z176" s="25">
        <v>0</v>
      </c>
      <c r="AA176" s="45"/>
      <c r="AB176" s="45"/>
      <c r="AC176" s="45"/>
      <c r="AD176" s="45"/>
      <c r="AE176" s="45"/>
    </row>
    <row r="177" spans="1:31" s="12" customFormat="1" ht="12">
      <c r="A177" s="27">
        <v>45602</v>
      </c>
      <c r="B177" s="73" t="s">
        <v>14</v>
      </c>
      <c r="C177" s="37" t="s">
        <v>84</v>
      </c>
      <c r="D177" s="34" t="s">
        <v>184</v>
      </c>
      <c r="E177" s="34" t="e">
        <f>IF(B177="","",VLOOKUP($B177,#REF!,4,FALSE))</f>
        <v>#REF!</v>
      </c>
      <c r="F177" s="34" t="e">
        <f>IF(E177="","",VLOOKUP($B177,#REF!,5,FALSE))</f>
        <v>#REF!</v>
      </c>
      <c r="G177" s="34" t="e">
        <f>IF(F177="","",VLOOKUP($B177,#REF!,6,FALSE))</f>
        <v>#REF!</v>
      </c>
      <c r="H177" s="34" t="e">
        <f>IF(G177="","",VLOOKUP($B177,#REF!,7,FALSE))</f>
        <v>#REF!</v>
      </c>
      <c r="I177" s="25"/>
      <c r="J177" s="25"/>
      <c r="K177" s="25"/>
      <c r="L177" s="25"/>
      <c r="M177" s="25"/>
      <c r="N177" s="25"/>
      <c r="O177" s="33">
        <f t="shared" si="5"/>
        <v>0</v>
      </c>
      <c r="P177" s="25"/>
      <c r="Q177" s="25">
        <v>0</v>
      </c>
      <c r="R177" s="25"/>
      <c r="S177" s="25"/>
      <c r="T177" s="25">
        <v>3</v>
      </c>
      <c r="U177" s="25"/>
      <c r="V177" s="39"/>
      <c r="W177" s="25"/>
      <c r="X177" s="33">
        <f t="shared" si="4"/>
        <v>3</v>
      </c>
      <c r="Y177" s="39">
        <v>51200</v>
      </c>
      <c r="Z177" s="25">
        <v>153600</v>
      </c>
      <c r="AA177" s="45" t="s">
        <v>261</v>
      </c>
      <c r="AB177" s="45"/>
      <c r="AC177" s="45"/>
      <c r="AD177" s="45"/>
      <c r="AE177" s="45"/>
    </row>
    <row r="178" spans="1:31" s="12" customFormat="1" ht="12">
      <c r="A178" s="27">
        <v>45602</v>
      </c>
      <c r="B178" s="28" t="s">
        <v>12</v>
      </c>
      <c r="C178" s="37" t="s">
        <v>84</v>
      </c>
      <c r="D178" s="34" t="s">
        <v>184</v>
      </c>
      <c r="E178" s="34" t="e">
        <f>IF(B178="","",VLOOKUP($B178,#REF!,4,FALSE))</f>
        <v>#REF!</v>
      </c>
      <c r="F178" s="34" t="e">
        <f>IF(E178="","",VLOOKUP($B178,#REF!,5,FALSE))</f>
        <v>#REF!</v>
      </c>
      <c r="G178" s="34" t="e">
        <f>IF(F178="","",VLOOKUP($B178,#REF!,6,FALSE))</f>
        <v>#REF!</v>
      </c>
      <c r="H178" s="34" t="e">
        <f>IF(G178="","",VLOOKUP($B178,#REF!,7,FALSE))</f>
        <v>#REF!</v>
      </c>
      <c r="I178" s="25"/>
      <c r="J178" s="25"/>
      <c r="K178" s="25"/>
      <c r="L178" s="25"/>
      <c r="M178" s="25"/>
      <c r="N178" s="25"/>
      <c r="O178" s="33">
        <f t="shared" si="5"/>
        <v>0</v>
      </c>
      <c r="P178" s="25"/>
      <c r="Q178" s="25">
        <v>0</v>
      </c>
      <c r="R178" s="25"/>
      <c r="S178" s="25"/>
      <c r="T178" s="25">
        <v>1</v>
      </c>
      <c r="U178" s="25"/>
      <c r="V178" s="39"/>
      <c r="W178" s="25"/>
      <c r="X178" s="33">
        <f t="shared" si="4"/>
        <v>1</v>
      </c>
      <c r="Y178" s="39">
        <v>41820</v>
      </c>
      <c r="Z178" s="25">
        <v>41818</v>
      </c>
      <c r="AA178" s="45" t="s">
        <v>261</v>
      </c>
      <c r="AB178" s="45"/>
      <c r="AC178" s="45"/>
      <c r="AD178" s="45"/>
      <c r="AE178" s="45"/>
    </row>
    <row r="179" spans="1:31" s="12" customFormat="1" ht="12">
      <c r="A179" s="27">
        <v>45602</v>
      </c>
      <c r="B179" s="28" t="s">
        <v>32</v>
      </c>
      <c r="C179" s="37" t="s">
        <v>84</v>
      </c>
      <c r="D179" s="34" t="s">
        <v>184</v>
      </c>
      <c r="E179" s="34" t="e">
        <f>IF(B179="","",VLOOKUP($B179,#REF!,4,FALSE))</f>
        <v>#REF!</v>
      </c>
      <c r="F179" s="34" t="e">
        <f>IF(E179="","",VLOOKUP($B179,#REF!,5,FALSE))</f>
        <v>#REF!</v>
      </c>
      <c r="G179" s="34" t="e">
        <f>IF(F179="","",VLOOKUP($B179,#REF!,6,FALSE))</f>
        <v>#REF!</v>
      </c>
      <c r="H179" s="34" t="e">
        <f>IF(G179="","",VLOOKUP($B179,#REF!,7,FALSE))</f>
        <v>#REF!</v>
      </c>
      <c r="I179" s="25"/>
      <c r="J179" s="25"/>
      <c r="K179" s="25"/>
      <c r="L179" s="25"/>
      <c r="M179" s="25"/>
      <c r="N179" s="25"/>
      <c r="O179" s="33">
        <f t="shared" si="5"/>
        <v>0</v>
      </c>
      <c r="P179" s="25"/>
      <c r="Q179" s="25">
        <v>0</v>
      </c>
      <c r="R179" s="25"/>
      <c r="S179" s="25"/>
      <c r="T179" s="25">
        <v>10</v>
      </c>
      <c r="U179" s="25"/>
      <c r="V179" s="39"/>
      <c r="W179" s="25"/>
      <c r="X179" s="33">
        <f t="shared" si="4"/>
        <v>10</v>
      </c>
      <c r="Y179" s="39">
        <v>81816</v>
      </c>
      <c r="Z179" s="25">
        <v>818182</v>
      </c>
      <c r="AA179" s="45" t="s">
        <v>261</v>
      </c>
      <c r="AB179" s="45"/>
      <c r="AC179" s="45"/>
      <c r="AD179" s="45"/>
      <c r="AE179" s="45"/>
    </row>
    <row r="180" spans="1:31" s="12" customFormat="1" ht="12">
      <c r="A180" s="27">
        <v>45602</v>
      </c>
      <c r="B180" s="28" t="s">
        <v>63</v>
      </c>
      <c r="C180" s="37" t="s">
        <v>84</v>
      </c>
      <c r="D180" s="34" t="s">
        <v>184</v>
      </c>
      <c r="E180" s="34" t="e">
        <f>IF(B180="","",VLOOKUP($B180,#REF!,4,FALSE))</f>
        <v>#REF!</v>
      </c>
      <c r="F180" s="34" t="e">
        <f>IF(E180="","",VLOOKUP($B180,#REF!,5,FALSE))</f>
        <v>#REF!</v>
      </c>
      <c r="G180" s="34" t="e">
        <f>IF(F180="","",VLOOKUP($B180,#REF!,6,FALSE))</f>
        <v>#REF!</v>
      </c>
      <c r="H180" s="34" t="e">
        <f>IF(G180="","",VLOOKUP($B180,#REF!,7,FALSE))</f>
        <v>#REF!</v>
      </c>
      <c r="I180" s="25"/>
      <c r="J180" s="25"/>
      <c r="K180" s="25"/>
      <c r="L180" s="25"/>
      <c r="M180" s="25"/>
      <c r="N180" s="25"/>
      <c r="O180" s="33">
        <f t="shared" si="5"/>
        <v>0</v>
      </c>
      <c r="P180" s="25"/>
      <c r="Q180" s="25">
        <v>0</v>
      </c>
      <c r="R180" s="25"/>
      <c r="S180" s="25"/>
      <c r="T180" s="25">
        <v>2</v>
      </c>
      <c r="U180" s="25"/>
      <c r="V180" s="39"/>
      <c r="W180" s="25"/>
      <c r="X180" s="33">
        <f t="shared" si="4"/>
        <v>2</v>
      </c>
      <c r="Y180" s="39">
        <v>130000</v>
      </c>
      <c r="Z180" s="25">
        <v>260000</v>
      </c>
      <c r="AA180" s="45" t="s">
        <v>261</v>
      </c>
      <c r="AB180" s="45"/>
      <c r="AC180" s="45"/>
      <c r="AD180" s="45"/>
      <c r="AE180" s="45"/>
    </row>
    <row r="181" spans="1:31" s="12" customFormat="1" ht="12">
      <c r="A181" s="27">
        <v>45602</v>
      </c>
      <c r="B181" s="29" t="s">
        <v>64</v>
      </c>
      <c r="C181" s="37" t="s">
        <v>84</v>
      </c>
      <c r="D181" s="34" t="s">
        <v>184</v>
      </c>
      <c r="E181" s="34" t="e">
        <f>IF(B181="","",VLOOKUP($B181,#REF!,4,FALSE))</f>
        <v>#REF!</v>
      </c>
      <c r="F181" s="34" t="e">
        <f>IF(E181="","",VLOOKUP($B181,#REF!,5,FALSE))</f>
        <v>#REF!</v>
      </c>
      <c r="G181" s="34" t="e">
        <f>IF(F181="","",VLOOKUP($B181,#REF!,6,FALSE))</f>
        <v>#REF!</v>
      </c>
      <c r="H181" s="34" t="e">
        <f>IF(G181="","",VLOOKUP($B181,#REF!,7,FALSE))</f>
        <v>#REF!</v>
      </c>
      <c r="I181" s="25"/>
      <c r="J181" s="25"/>
      <c r="K181" s="25"/>
      <c r="L181" s="25"/>
      <c r="M181" s="25"/>
      <c r="N181" s="25"/>
      <c r="O181" s="33">
        <f t="shared" si="5"/>
        <v>0</v>
      </c>
      <c r="P181" s="25"/>
      <c r="Q181" s="25">
        <v>0</v>
      </c>
      <c r="R181" s="25"/>
      <c r="S181" s="25"/>
      <c r="T181" s="25">
        <v>10</v>
      </c>
      <c r="U181" s="25"/>
      <c r="V181" s="39"/>
      <c r="W181" s="25"/>
      <c r="X181" s="33">
        <f t="shared" si="4"/>
        <v>10</v>
      </c>
      <c r="Y181" s="39">
        <v>94550</v>
      </c>
      <c r="Z181" s="25">
        <v>945455</v>
      </c>
      <c r="AA181" s="45" t="s">
        <v>261</v>
      </c>
      <c r="AB181" s="45"/>
      <c r="AC181" s="45"/>
      <c r="AD181" s="45"/>
      <c r="AE181" s="45"/>
    </row>
    <row r="182" spans="1:31" s="12" customFormat="1" ht="12">
      <c r="A182" s="27">
        <v>45602</v>
      </c>
      <c r="B182" s="53" t="s">
        <v>35</v>
      </c>
      <c r="C182" s="37" t="s">
        <v>141</v>
      </c>
      <c r="D182" s="34" t="s">
        <v>173</v>
      </c>
      <c r="E182" s="34" t="e">
        <f>IF(B182="","",VLOOKUP($B182,#REF!,4,FALSE))</f>
        <v>#REF!</v>
      </c>
      <c r="F182" s="34" t="e">
        <f>IF(E182="","",VLOOKUP($B182,#REF!,5,FALSE))</f>
        <v>#REF!</v>
      </c>
      <c r="G182" s="34" t="e">
        <f>IF(F182="","",VLOOKUP($B182,#REF!,6,FALSE))</f>
        <v>#REF!</v>
      </c>
      <c r="H182" s="34" t="e">
        <f>IF(G182="","",VLOOKUP($B182,#REF!,7,FALSE))</f>
        <v>#REF!</v>
      </c>
      <c r="I182" s="25"/>
      <c r="J182" s="25"/>
      <c r="K182" s="25"/>
      <c r="L182" s="25"/>
      <c r="M182" s="25"/>
      <c r="N182" s="25"/>
      <c r="O182" s="33">
        <f t="shared" si="5"/>
        <v>0</v>
      </c>
      <c r="P182" s="25"/>
      <c r="Q182" s="25">
        <v>0</v>
      </c>
      <c r="R182" s="25">
        <v>960</v>
      </c>
      <c r="S182" s="25"/>
      <c r="T182" s="25"/>
      <c r="U182" s="25"/>
      <c r="V182" s="39"/>
      <c r="W182" s="25"/>
      <c r="X182" s="33">
        <f t="shared" si="4"/>
        <v>960</v>
      </c>
      <c r="Y182" s="39">
        <f>Z182/X182</f>
        <v>88312.686458333337</v>
      </c>
      <c r="Z182" s="39">
        <v>84780179</v>
      </c>
      <c r="AA182" s="45" t="s">
        <v>154</v>
      </c>
      <c r="AB182" s="45" t="s">
        <v>141</v>
      </c>
      <c r="AC182" s="45" t="s">
        <v>173</v>
      </c>
      <c r="AD182" s="45"/>
      <c r="AE182" s="45"/>
    </row>
    <row r="183" spans="1:31" s="12" customFormat="1" ht="12">
      <c r="A183" s="27">
        <v>45602</v>
      </c>
      <c r="B183" s="53" t="s">
        <v>27</v>
      </c>
      <c r="C183" s="37" t="s">
        <v>117</v>
      </c>
      <c r="D183" s="34" t="s">
        <v>225</v>
      </c>
      <c r="E183" s="34" t="e">
        <f>IF(B183="","",VLOOKUP($B183,#REF!,4,FALSE))</f>
        <v>#REF!</v>
      </c>
      <c r="F183" s="34" t="e">
        <f>IF(E183="","",VLOOKUP($B183,#REF!,5,FALSE))</f>
        <v>#REF!</v>
      </c>
      <c r="G183" s="34" t="e">
        <f>IF(F183="","",VLOOKUP($B183,#REF!,6,FALSE))</f>
        <v>#REF!</v>
      </c>
      <c r="H183" s="34" t="e">
        <f>IF(G183="","",VLOOKUP($B183,#REF!,7,FALSE))</f>
        <v>#REF!</v>
      </c>
      <c r="I183" s="25"/>
      <c r="J183" s="25">
        <v>504</v>
      </c>
      <c r="K183" s="25"/>
      <c r="L183" s="25"/>
      <c r="M183" s="25"/>
      <c r="N183" s="25"/>
      <c r="O183" s="33">
        <f t="shared" si="5"/>
        <v>504</v>
      </c>
      <c r="P183" s="25">
        <v>78000</v>
      </c>
      <c r="Q183" s="25">
        <v>39312000</v>
      </c>
      <c r="R183" s="25"/>
      <c r="S183" s="25"/>
      <c r="T183" s="25"/>
      <c r="U183" s="25"/>
      <c r="V183" s="39"/>
      <c r="W183" s="25"/>
      <c r="X183" s="33">
        <f t="shared" si="4"/>
        <v>0</v>
      </c>
      <c r="Y183" s="39"/>
      <c r="Z183" s="25">
        <v>0</v>
      </c>
      <c r="AA183" s="45" t="s">
        <v>117</v>
      </c>
      <c r="AB183" s="45" t="s">
        <v>158</v>
      </c>
      <c r="AC183" s="45"/>
      <c r="AD183" s="45"/>
      <c r="AE183" s="45"/>
    </row>
    <row r="184" spans="1:31" s="12" customFormat="1" ht="12">
      <c r="A184" s="27">
        <v>45602</v>
      </c>
      <c r="B184" s="53" t="s">
        <v>27</v>
      </c>
      <c r="C184" s="37" t="s">
        <v>142</v>
      </c>
      <c r="D184" s="34" t="s">
        <v>175</v>
      </c>
      <c r="E184" s="34" t="e">
        <f>IF(B184="","",VLOOKUP($B184,#REF!,4,FALSE))</f>
        <v>#REF!</v>
      </c>
      <c r="F184" s="34" t="e">
        <f>IF(E184="","",VLOOKUP($B184,#REF!,5,FALSE))</f>
        <v>#REF!</v>
      </c>
      <c r="G184" s="34" t="e">
        <f>IF(F184="","",VLOOKUP($B184,#REF!,6,FALSE))</f>
        <v>#REF!</v>
      </c>
      <c r="H184" s="34" t="e">
        <f>IF(G184="","",VLOOKUP($B184,#REF!,7,FALSE))</f>
        <v>#REF!</v>
      </c>
      <c r="I184" s="25"/>
      <c r="J184" s="25"/>
      <c r="K184" s="25"/>
      <c r="L184" s="25"/>
      <c r="M184" s="25"/>
      <c r="N184" s="25"/>
      <c r="O184" s="33">
        <f t="shared" si="5"/>
        <v>0</v>
      </c>
      <c r="P184" s="25"/>
      <c r="Q184" s="25">
        <v>0</v>
      </c>
      <c r="R184" s="25"/>
      <c r="S184" s="25">
        <v>504</v>
      </c>
      <c r="T184" s="25"/>
      <c r="U184" s="25"/>
      <c r="V184" s="39"/>
      <c r="W184" s="25"/>
      <c r="X184" s="33">
        <f t="shared" si="4"/>
        <v>504</v>
      </c>
      <c r="Y184" s="39">
        <f>Z184/X184</f>
        <v>135652.54365079364</v>
      </c>
      <c r="Z184" s="39">
        <v>68368882</v>
      </c>
      <c r="AA184" s="45" t="s">
        <v>155</v>
      </c>
      <c r="AB184" s="45" t="s">
        <v>142</v>
      </c>
      <c r="AC184" s="45" t="s">
        <v>175</v>
      </c>
      <c r="AD184" s="45"/>
      <c r="AE184" s="45"/>
    </row>
    <row r="185" spans="1:31" s="12" customFormat="1" ht="12">
      <c r="A185" s="27">
        <v>45602</v>
      </c>
      <c r="B185" s="53" t="s">
        <v>211</v>
      </c>
      <c r="C185" s="37" t="s">
        <v>82</v>
      </c>
      <c r="D185" s="34" t="s">
        <v>186</v>
      </c>
      <c r="E185" s="34" t="e">
        <f>IF(B185="","",VLOOKUP($B185,#REF!,4,FALSE))</f>
        <v>#REF!</v>
      </c>
      <c r="F185" s="34" t="e">
        <f>IF(E185="","",VLOOKUP($B185,#REF!,5,FALSE))</f>
        <v>#REF!</v>
      </c>
      <c r="G185" s="34" t="e">
        <f>IF(F185="","",VLOOKUP($B185,#REF!,6,FALSE))</f>
        <v>#REF!</v>
      </c>
      <c r="H185" s="34" t="e">
        <f>IF(G185="","",VLOOKUP($B185,#REF!,7,FALSE))</f>
        <v>#REF!</v>
      </c>
      <c r="I185" s="25"/>
      <c r="J185" s="25"/>
      <c r="K185" s="25"/>
      <c r="L185" s="25"/>
      <c r="M185" s="25"/>
      <c r="N185" s="25"/>
      <c r="O185" s="33">
        <f t="shared" si="5"/>
        <v>0</v>
      </c>
      <c r="P185" s="25"/>
      <c r="Q185" s="25">
        <v>0</v>
      </c>
      <c r="R185" s="25"/>
      <c r="S185" s="25"/>
      <c r="T185" s="25"/>
      <c r="U185" s="25"/>
      <c r="V185" s="39">
        <v>192</v>
      </c>
      <c r="W185" s="25"/>
      <c r="X185" s="33">
        <f t="shared" si="4"/>
        <v>192</v>
      </c>
      <c r="Y185" s="39">
        <v>46020</v>
      </c>
      <c r="Z185" s="25">
        <v>8835840</v>
      </c>
      <c r="AA185" s="45"/>
      <c r="AB185" s="45"/>
      <c r="AC185" s="45"/>
      <c r="AD185" s="45"/>
      <c r="AE185" s="45"/>
    </row>
    <row r="186" spans="1:31" s="12" customFormat="1" ht="12">
      <c r="A186" s="27">
        <v>45602</v>
      </c>
      <c r="B186" s="53" t="s">
        <v>211</v>
      </c>
      <c r="C186" s="37" t="s">
        <v>82</v>
      </c>
      <c r="D186" s="34" t="s">
        <v>186</v>
      </c>
      <c r="E186" s="34" t="e">
        <f>IF(B186="","",VLOOKUP($B186,#REF!,4,FALSE))</f>
        <v>#REF!</v>
      </c>
      <c r="F186" s="34" t="e">
        <f>IF(E186="","",VLOOKUP($B186,#REF!,5,FALSE))</f>
        <v>#REF!</v>
      </c>
      <c r="G186" s="34" t="e">
        <f>IF(F186="","",VLOOKUP($B186,#REF!,6,FALSE))</f>
        <v>#REF!</v>
      </c>
      <c r="H186" s="34" t="e">
        <f>IF(G186="","",VLOOKUP($B186,#REF!,7,FALSE))</f>
        <v>#REF!</v>
      </c>
      <c r="I186" s="25"/>
      <c r="J186" s="25"/>
      <c r="K186" s="25"/>
      <c r="L186" s="25"/>
      <c r="M186" s="25"/>
      <c r="N186" s="25"/>
      <c r="O186" s="33">
        <f t="shared" si="5"/>
        <v>0</v>
      </c>
      <c r="P186" s="25"/>
      <c r="Q186" s="25">
        <v>0</v>
      </c>
      <c r="R186" s="25"/>
      <c r="S186" s="25"/>
      <c r="T186" s="25"/>
      <c r="U186" s="25"/>
      <c r="V186" s="39">
        <v>36</v>
      </c>
      <c r="W186" s="25"/>
      <c r="X186" s="33">
        <f t="shared" si="4"/>
        <v>36</v>
      </c>
      <c r="Y186" s="39">
        <v>46020</v>
      </c>
      <c r="Z186" s="25">
        <v>1656720</v>
      </c>
      <c r="AA186" s="45"/>
      <c r="AB186" s="45"/>
      <c r="AC186" s="45"/>
      <c r="AD186" s="45"/>
      <c r="AE186" s="45"/>
    </row>
    <row r="187" spans="1:31" s="12" customFormat="1" ht="12">
      <c r="A187" s="27">
        <v>45602</v>
      </c>
      <c r="B187" s="53" t="s">
        <v>211</v>
      </c>
      <c r="C187" s="37" t="s">
        <v>82</v>
      </c>
      <c r="D187" s="34" t="s">
        <v>186</v>
      </c>
      <c r="E187" s="34" t="e">
        <f>IF(B187="","",VLOOKUP($B187,#REF!,4,FALSE))</f>
        <v>#REF!</v>
      </c>
      <c r="F187" s="34" t="e">
        <f>IF(E187="","",VLOOKUP($B187,#REF!,5,FALSE))</f>
        <v>#REF!</v>
      </c>
      <c r="G187" s="34" t="e">
        <f>IF(F187="","",VLOOKUP($B187,#REF!,6,FALSE))</f>
        <v>#REF!</v>
      </c>
      <c r="H187" s="34" t="e">
        <f>IF(G187="","",VLOOKUP($B187,#REF!,7,FALSE))</f>
        <v>#REF!</v>
      </c>
      <c r="I187" s="25"/>
      <c r="J187" s="25"/>
      <c r="K187" s="25"/>
      <c r="L187" s="25"/>
      <c r="M187" s="25"/>
      <c r="N187" s="25"/>
      <c r="O187" s="33">
        <f t="shared" si="5"/>
        <v>0</v>
      </c>
      <c r="P187" s="25"/>
      <c r="Q187" s="25">
        <v>0</v>
      </c>
      <c r="R187" s="25"/>
      <c r="S187" s="25"/>
      <c r="T187" s="25"/>
      <c r="U187" s="25"/>
      <c r="V187" s="39">
        <v>192</v>
      </c>
      <c r="W187" s="25"/>
      <c r="X187" s="33">
        <f t="shared" si="4"/>
        <v>192</v>
      </c>
      <c r="Y187" s="39">
        <v>46020</v>
      </c>
      <c r="Z187" s="25">
        <v>8835840</v>
      </c>
      <c r="AA187" s="45"/>
      <c r="AB187" s="45"/>
      <c r="AC187" s="45"/>
      <c r="AD187" s="45"/>
      <c r="AE187" s="45"/>
    </row>
    <row r="188" spans="1:31" s="12" customFormat="1" ht="12">
      <c r="A188" s="27">
        <v>45602</v>
      </c>
      <c r="B188" s="53" t="s">
        <v>160</v>
      </c>
      <c r="C188" s="37" t="s">
        <v>82</v>
      </c>
      <c r="D188" s="34" t="s">
        <v>186</v>
      </c>
      <c r="E188" s="34" t="e">
        <f>IF(B188="","",VLOOKUP($B188,#REF!,4,FALSE))</f>
        <v>#REF!</v>
      </c>
      <c r="F188" s="34" t="e">
        <f>IF(E188="","",VLOOKUP($B188,#REF!,5,FALSE))</f>
        <v>#REF!</v>
      </c>
      <c r="G188" s="34" t="e">
        <f>IF(F188="","",VLOOKUP($B188,#REF!,6,FALSE))</f>
        <v>#REF!</v>
      </c>
      <c r="H188" s="34" t="e">
        <f>IF(G188="","",VLOOKUP($B188,#REF!,7,FALSE))</f>
        <v>#REF!</v>
      </c>
      <c r="I188" s="25"/>
      <c r="J188" s="25"/>
      <c r="K188" s="25"/>
      <c r="L188" s="25"/>
      <c r="M188" s="25"/>
      <c r="N188" s="25"/>
      <c r="O188" s="33">
        <f t="shared" si="5"/>
        <v>0</v>
      </c>
      <c r="P188" s="25"/>
      <c r="Q188" s="25">
        <v>0</v>
      </c>
      <c r="R188" s="25"/>
      <c r="S188" s="25"/>
      <c r="T188" s="25"/>
      <c r="U188" s="25"/>
      <c r="V188" s="39">
        <v>84</v>
      </c>
      <c r="W188" s="25"/>
      <c r="X188" s="33">
        <f t="shared" si="4"/>
        <v>84</v>
      </c>
      <c r="Y188" s="39">
        <v>100300</v>
      </c>
      <c r="Z188" s="25">
        <v>8425200</v>
      </c>
      <c r="AA188" s="45"/>
      <c r="AB188" s="45"/>
      <c r="AC188" s="45"/>
      <c r="AD188" s="45"/>
      <c r="AE188" s="45"/>
    </row>
    <row r="189" spans="1:31" s="12" customFormat="1" ht="12">
      <c r="A189" s="27">
        <v>45602</v>
      </c>
      <c r="B189" s="53" t="s">
        <v>211</v>
      </c>
      <c r="C189" s="37" t="s">
        <v>82</v>
      </c>
      <c r="D189" s="34" t="s">
        <v>186</v>
      </c>
      <c r="E189" s="34" t="e">
        <f>IF(B189="","",VLOOKUP($B189,#REF!,4,FALSE))</f>
        <v>#REF!</v>
      </c>
      <c r="F189" s="34" t="e">
        <f>IF(E189="","",VLOOKUP($B189,#REF!,5,FALSE))</f>
        <v>#REF!</v>
      </c>
      <c r="G189" s="34" t="e">
        <f>IF(F189="","",VLOOKUP($B189,#REF!,6,FALSE))</f>
        <v>#REF!</v>
      </c>
      <c r="H189" s="34" t="e">
        <f>IF(G189="","",VLOOKUP($B189,#REF!,7,FALSE))</f>
        <v>#REF!</v>
      </c>
      <c r="I189" s="25"/>
      <c r="J189" s="25"/>
      <c r="K189" s="25"/>
      <c r="L189" s="25"/>
      <c r="M189" s="25"/>
      <c r="N189" s="25"/>
      <c r="O189" s="33">
        <f t="shared" si="5"/>
        <v>0</v>
      </c>
      <c r="P189" s="25"/>
      <c r="Q189" s="25">
        <v>0</v>
      </c>
      <c r="R189" s="25"/>
      <c r="S189" s="25"/>
      <c r="T189" s="25"/>
      <c r="U189" s="25"/>
      <c r="V189" s="39">
        <v>36</v>
      </c>
      <c r="W189" s="25"/>
      <c r="X189" s="33">
        <f t="shared" si="4"/>
        <v>36</v>
      </c>
      <c r="Y189" s="39">
        <v>46020</v>
      </c>
      <c r="Z189" s="25">
        <v>1656720</v>
      </c>
      <c r="AA189" s="45"/>
      <c r="AB189" s="45"/>
      <c r="AC189" s="45"/>
      <c r="AD189" s="45"/>
      <c r="AE189" s="45"/>
    </row>
    <row r="190" spans="1:31" s="12" customFormat="1" ht="12">
      <c r="A190" s="27">
        <v>45602</v>
      </c>
      <c r="B190" s="53" t="s">
        <v>211</v>
      </c>
      <c r="C190" s="37" t="s">
        <v>82</v>
      </c>
      <c r="D190" s="34" t="s">
        <v>186</v>
      </c>
      <c r="E190" s="34" t="e">
        <f>IF(B190="","",VLOOKUP($B190,#REF!,4,FALSE))</f>
        <v>#REF!</v>
      </c>
      <c r="F190" s="34" t="e">
        <f>IF(E190="","",VLOOKUP($B190,#REF!,5,FALSE))</f>
        <v>#REF!</v>
      </c>
      <c r="G190" s="34" t="e">
        <f>IF(F190="","",VLOOKUP($B190,#REF!,6,FALSE))</f>
        <v>#REF!</v>
      </c>
      <c r="H190" s="34" t="e">
        <f>IF(G190="","",VLOOKUP($B190,#REF!,7,FALSE))</f>
        <v>#REF!</v>
      </c>
      <c r="I190" s="25"/>
      <c r="J190" s="25"/>
      <c r="K190" s="25"/>
      <c r="L190" s="25"/>
      <c r="M190" s="25"/>
      <c r="N190" s="25"/>
      <c r="O190" s="33">
        <f t="shared" si="5"/>
        <v>0</v>
      </c>
      <c r="P190" s="25"/>
      <c r="Q190" s="25">
        <v>0</v>
      </c>
      <c r="R190" s="25"/>
      <c r="S190" s="25"/>
      <c r="T190" s="25"/>
      <c r="U190" s="25"/>
      <c r="V190" s="39">
        <v>192</v>
      </c>
      <c r="W190" s="25"/>
      <c r="X190" s="33">
        <f t="shared" si="4"/>
        <v>192</v>
      </c>
      <c r="Y190" s="39">
        <v>46020</v>
      </c>
      <c r="Z190" s="25">
        <v>8835840</v>
      </c>
      <c r="AA190" s="45"/>
      <c r="AB190" s="45"/>
      <c r="AC190" s="45"/>
      <c r="AD190" s="45"/>
      <c r="AE190" s="45"/>
    </row>
    <row r="191" spans="1:31" s="12" customFormat="1" ht="12">
      <c r="A191" s="27">
        <v>45602</v>
      </c>
      <c r="B191" s="53" t="s">
        <v>211</v>
      </c>
      <c r="C191" s="37" t="s">
        <v>82</v>
      </c>
      <c r="D191" s="34" t="s">
        <v>186</v>
      </c>
      <c r="E191" s="34" t="e">
        <f>IF(B191="","",VLOOKUP($B191,#REF!,4,FALSE))</f>
        <v>#REF!</v>
      </c>
      <c r="F191" s="34" t="e">
        <f>IF(E191="","",VLOOKUP($B191,#REF!,5,FALSE))</f>
        <v>#REF!</v>
      </c>
      <c r="G191" s="34" t="e">
        <f>IF(F191="","",VLOOKUP($B191,#REF!,6,FALSE))</f>
        <v>#REF!</v>
      </c>
      <c r="H191" s="34" t="e">
        <f>IF(G191="","",VLOOKUP($B191,#REF!,7,FALSE))</f>
        <v>#REF!</v>
      </c>
      <c r="I191" s="25"/>
      <c r="J191" s="25"/>
      <c r="K191" s="25"/>
      <c r="L191" s="25"/>
      <c r="M191" s="25"/>
      <c r="N191" s="25"/>
      <c r="O191" s="33">
        <f t="shared" si="5"/>
        <v>0</v>
      </c>
      <c r="P191" s="25"/>
      <c r="Q191" s="25">
        <v>0</v>
      </c>
      <c r="R191" s="25"/>
      <c r="S191" s="25"/>
      <c r="T191" s="25"/>
      <c r="U191" s="25"/>
      <c r="V191" s="39">
        <v>36</v>
      </c>
      <c r="W191" s="25"/>
      <c r="X191" s="33">
        <f t="shared" si="4"/>
        <v>36</v>
      </c>
      <c r="Y191" s="39">
        <v>46020</v>
      </c>
      <c r="Z191" s="25">
        <v>1656720</v>
      </c>
      <c r="AA191" s="45"/>
      <c r="AB191" s="45"/>
      <c r="AC191" s="45"/>
      <c r="AD191" s="45"/>
      <c r="AE191" s="45"/>
    </row>
    <row r="192" spans="1:31" s="12" customFormat="1" ht="11.25" customHeight="1">
      <c r="A192" s="27">
        <v>45602</v>
      </c>
      <c r="B192" s="53" t="s">
        <v>21</v>
      </c>
      <c r="C192" s="37" t="s">
        <v>82</v>
      </c>
      <c r="D192" s="34" t="s">
        <v>186</v>
      </c>
      <c r="E192" s="34" t="e">
        <f>IF(B192="","",VLOOKUP($B192,#REF!,4,FALSE))</f>
        <v>#REF!</v>
      </c>
      <c r="F192" s="34" t="e">
        <f>IF(E192="","",VLOOKUP($B192,#REF!,5,FALSE))</f>
        <v>#REF!</v>
      </c>
      <c r="G192" s="34" t="e">
        <f>IF(F192="","",VLOOKUP($B192,#REF!,6,FALSE))</f>
        <v>#REF!</v>
      </c>
      <c r="H192" s="34" t="e">
        <f>IF(G192="","",VLOOKUP($B192,#REF!,7,FALSE))</f>
        <v>#REF!</v>
      </c>
      <c r="I192" s="25"/>
      <c r="J192" s="25"/>
      <c r="K192" s="25"/>
      <c r="L192" s="25"/>
      <c r="M192" s="25"/>
      <c r="N192" s="25"/>
      <c r="O192" s="33">
        <f t="shared" si="5"/>
        <v>0</v>
      </c>
      <c r="P192" s="25"/>
      <c r="Q192" s="25">
        <v>0</v>
      </c>
      <c r="R192" s="25"/>
      <c r="S192" s="25"/>
      <c r="T192" s="25"/>
      <c r="U192" s="25"/>
      <c r="V192" s="39">
        <v>132</v>
      </c>
      <c r="W192" s="25"/>
      <c r="X192" s="33">
        <f t="shared" si="4"/>
        <v>132</v>
      </c>
      <c r="Y192" s="39">
        <v>81800</v>
      </c>
      <c r="Z192" s="25">
        <v>10797600</v>
      </c>
      <c r="AA192" s="45"/>
      <c r="AB192" s="45"/>
      <c r="AC192" s="45"/>
      <c r="AD192" s="45"/>
      <c r="AE192" s="45"/>
    </row>
    <row r="193" spans="1:31" s="12" customFormat="1" ht="11.25" customHeight="1">
      <c r="A193" s="27">
        <v>45602</v>
      </c>
      <c r="B193" s="53" t="s">
        <v>160</v>
      </c>
      <c r="C193" s="37" t="s">
        <v>82</v>
      </c>
      <c r="D193" s="34" t="s">
        <v>186</v>
      </c>
      <c r="E193" s="34" t="e">
        <f>IF(B193="","",VLOOKUP($B193,#REF!,4,FALSE))</f>
        <v>#REF!</v>
      </c>
      <c r="F193" s="34" t="e">
        <f>IF(E193="","",VLOOKUP($B193,#REF!,5,FALSE))</f>
        <v>#REF!</v>
      </c>
      <c r="G193" s="34" t="e">
        <f>IF(F193="","",VLOOKUP($B193,#REF!,6,FALSE))</f>
        <v>#REF!</v>
      </c>
      <c r="H193" s="34" t="e">
        <f>IF(G193="","",VLOOKUP($B193,#REF!,7,FALSE))</f>
        <v>#REF!</v>
      </c>
      <c r="I193" s="25"/>
      <c r="J193" s="25"/>
      <c r="K193" s="25"/>
      <c r="L193" s="25"/>
      <c r="M193" s="25"/>
      <c r="N193" s="25"/>
      <c r="O193" s="33">
        <f t="shared" si="5"/>
        <v>0</v>
      </c>
      <c r="P193" s="25"/>
      <c r="Q193" s="25">
        <v>0</v>
      </c>
      <c r="R193" s="25"/>
      <c r="S193" s="25"/>
      <c r="T193" s="25"/>
      <c r="U193" s="25"/>
      <c r="V193" s="39">
        <v>168</v>
      </c>
      <c r="W193" s="25"/>
      <c r="X193" s="33">
        <f t="shared" si="4"/>
        <v>168</v>
      </c>
      <c r="Y193" s="39">
        <v>100300</v>
      </c>
      <c r="Z193" s="25">
        <v>16850400</v>
      </c>
      <c r="AA193" s="45"/>
      <c r="AB193" s="45"/>
      <c r="AC193" s="45"/>
      <c r="AD193" s="45"/>
      <c r="AE193" s="45"/>
    </row>
    <row r="194" spans="1:31" s="12" customFormat="1" ht="12">
      <c r="A194" s="27">
        <v>45602</v>
      </c>
      <c r="B194" s="47" t="s">
        <v>24</v>
      </c>
      <c r="C194" s="37" t="s">
        <v>82</v>
      </c>
      <c r="D194" s="34" t="s">
        <v>186</v>
      </c>
      <c r="E194" s="34" t="e">
        <f>IF(B194="","",VLOOKUP($B194,#REF!,4,FALSE))</f>
        <v>#REF!</v>
      </c>
      <c r="F194" s="34" t="e">
        <f>IF(E194="","",VLOOKUP($B194,#REF!,5,FALSE))</f>
        <v>#REF!</v>
      </c>
      <c r="G194" s="34" t="e">
        <f>IF(F194="","",VLOOKUP($B194,#REF!,6,FALSE))</f>
        <v>#REF!</v>
      </c>
      <c r="H194" s="34" t="e">
        <f>IF(G194="","",VLOOKUP($B194,#REF!,7,FALSE))</f>
        <v>#REF!</v>
      </c>
      <c r="I194" s="25"/>
      <c r="J194" s="25"/>
      <c r="K194" s="25"/>
      <c r="L194" s="25"/>
      <c r="M194" s="25"/>
      <c r="N194" s="25"/>
      <c r="O194" s="33">
        <f t="shared" si="5"/>
        <v>0</v>
      </c>
      <c r="P194" s="25"/>
      <c r="Q194" s="25">
        <v>0</v>
      </c>
      <c r="R194" s="25"/>
      <c r="S194" s="25"/>
      <c r="T194" s="25"/>
      <c r="U194" s="25"/>
      <c r="V194" s="39">
        <v>168</v>
      </c>
      <c r="W194" s="25"/>
      <c r="X194" s="33">
        <f t="shared" si="4"/>
        <v>168</v>
      </c>
      <c r="Y194" s="39">
        <v>124920</v>
      </c>
      <c r="Z194" s="25">
        <v>20986560</v>
      </c>
      <c r="AA194" s="45"/>
      <c r="AB194" s="45"/>
      <c r="AC194" s="45"/>
      <c r="AD194" s="45"/>
      <c r="AE194" s="45"/>
    </row>
    <row r="195" spans="1:31" s="12" customFormat="1" ht="12">
      <c r="A195" s="27">
        <v>45602</v>
      </c>
      <c r="B195" s="53" t="s">
        <v>59</v>
      </c>
      <c r="C195" s="37" t="s">
        <v>82</v>
      </c>
      <c r="D195" s="34" t="s">
        <v>186</v>
      </c>
      <c r="E195" s="34" t="e">
        <f>IF(B195="","",VLOOKUP($B195,#REF!,4,FALSE))</f>
        <v>#REF!</v>
      </c>
      <c r="F195" s="34" t="e">
        <f>IF(E195="","",VLOOKUP($B195,#REF!,5,FALSE))</f>
        <v>#REF!</v>
      </c>
      <c r="G195" s="34" t="e">
        <f>IF(F195="","",VLOOKUP($B195,#REF!,6,FALSE))</f>
        <v>#REF!</v>
      </c>
      <c r="H195" s="34" t="e">
        <f>IF(G195="","",VLOOKUP($B195,#REF!,7,FALSE))</f>
        <v>#REF!</v>
      </c>
      <c r="I195" s="25"/>
      <c r="J195" s="25"/>
      <c r="K195" s="25"/>
      <c r="L195" s="25"/>
      <c r="M195" s="25"/>
      <c r="N195" s="25"/>
      <c r="O195" s="33">
        <f t="shared" si="5"/>
        <v>0</v>
      </c>
      <c r="P195" s="25"/>
      <c r="Q195" s="25">
        <v>0</v>
      </c>
      <c r="R195" s="25"/>
      <c r="S195" s="25"/>
      <c r="T195" s="25"/>
      <c r="U195" s="25"/>
      <c r="V195" s="39">
        <v>8</v>
      </c>
      <c r="W195" s="25"/>
      <c r="X195" s="33">
        <f t="shared" si="4"/>
        <v>8</v>
      </c>
      <c r="Y195" s="39">
        <v>140000</v>
      </c>
      <c r="Z195" s="25">
        <v>1120000</v>
      </c>
      <c r="AA195" s="45"/>
      <c r="AB195" s="45"/>
      <c r="AC195" s="45"/>
      <c r="AD195" s="45"/>
      <c r="AE195" s="45"/>
    </row>
    <row r="196" spans="1:31" s="12" customFormat="1" ht="12">
      <c r="A196" s="27">
        <v>45602</v>
      </c>
      <c r="B196" s="53" t="s">
        <v>48</v>
      </c>
      <c r="C196" s="37" t="s">
        <v>82</v>
      </c>
      <c r="D196" s="34" t="s">
        <v>186</v>
      </c>
      <c r="E196" s="34" t="e">
        <f>IF(B196="","",VLOOKUP($B196,#REF!,4,FALSE))</f>
        <v>#REF!</v>
      </c>
      <c r="F196" s="34" t="e">
        <f>IF(E196="","",VLOOKUP($B196,#REF!,5,FALSE))</f>
        <v>#REF!</v>
      </c>
      <c r="G196" s="34" t="e">
        <f>IF(F196="","",VLOOKUP($B196,#REF!,6,FALSE))</f>
        <v>#REF!</v>
      </c>
      <c r="H196" s="34" t="e">
        <f>IF(G196="","",VLOOKUP($B196,#REF!,7,FALSE))</f>
        <v>#REF!</v>
      </c>
      <c r="I196" s="25"/>
      <c r="J196" s="25"/>
      <c r="K196" s="25"/>
      <c r="L196" s="25"/>
      <c r="M196" s="25"/>
      <c r="N196" s="25"/>
      <c r="O196" s="33">
        <f t="shared" si="5"/>
        <v>0</v>
      </c>
      <c r="P196" s="25"/>
      <c r="Q196" s="25">
        <v>0</v>
      </c>
      <c r="R196" s="25"/>
      <c r="S196" s="25"/>
      <c r="T196" s="25"/>
      <c r="U196" s="25"/>
      <c r="V196" s="39">
        <v>5</v>
      </c>
      <c r="W196" s="25"/>
      <c r="X196" s="33">
        <f t="shared" ref="X196:X259" si="6">SUM(R196:W196)</f>
        <v>5</v>
      </c>
      <c r="Y196" s="39">
        <v>64500</v>
      </c>
      <c r="Z196" s="25">
        <v>322500</v>
      </c>
      <c r="AA196" s="45"/>
      <c r="AB196" s="45"/>
      <c r="AC196" s="45"/>
      <c r="AD196" s="45"/>
      <c r="AE196" s="45"/>
    </row>
    <row r="197" spans="1:31" s="12" customFormat="1" ht="12">
      <c r="A197" s="27">
        <v>45602</v>
      </c>
      <c r="B197" s="53" t="s">
        <v>15</v>
      </c>
      <c r="C197" s="37" t="s">
        <v>83</v>
      </c>
      <c r="D197" s="34" t="s">
        <v>185</v>
      </c>
      <c r="E197" s="34" t="e">
        <f>IF(B197="","",VLOOKUP($B197,#REF!,4,FALSE))</f>
        <v>#REF!</v>
      </c>
      <c r="F197" s="34" t="e">
        <f>IF(E197="","",VLOOKUP($B197,#REF!,5,FALSE))</f>
        <v>#REF!</v>
      </c>
      <c r="G197" s="34" t="e">
        <f>IF(F197="","",VLOOKUP($B197,#REF!,6,FALSE))</f>
        <v>#REF!</v>
      </c>
      <c r="H197" s="34" t="e">
        <f>IF(G197="","",VLOOKUP($B197,#REF!,7,FALSE))</f>
        <v>#REF!</v>
      </c>
      <c r="I197" s="25"/>
      <c r="J197" s="25"/>
      <c r="K197" s="25"/>
      <c r="L197" s="25"/>
      <c r="M197" s="25"/>
      <c r="N197" s="25"/>
      <c r="O197" s="33">
        <f t="shared" ref="O197:O260" si="7">SUM(I197:N197)</f>
        <v>0</v>
      </c>
      <c r="P197" s="25"/>
      <c r="Q197" s="25">
        <v>0</v>
      </c>
      <c r="R197" s="25"/>
      <c r="S197" s="25"/>
      <c r="T197" s="25">
        <v>23</v>
      </c>
      <c r="U197" s="25"/>
      <c r="V197" s="39"/>
      <c r="W197" s="25"/>
      <c r="X197" s="33">
        <f t="shared" si="6"/>
        <v>23</v>
      </c>
      <c r="Y197" s="39"/>
      <c r="Z197" s="25">
        <v>0</v>
      </c>
      <c r="AA197" s="45" t="s">
        <v>262</v>
      </c>
      <c r="AB197" s="45"/>
      <c r="AC197" s="45"/>
      <c r="AD197" s="45"/>
      <c r="AE197" s="45"/>
    </row>
    <row r="198" spans="1:31" s="12" customFormat="1" ht="12">
      <c r="A198" s="27">
        <v>45602</v>
      </c>
      <c r="B198" s="53" t="s">
        <v>232</v>
      </c>
      <c r="C198" s="37" t="s">
        <v>82</v>
      </c>
      <c r="D198" s="34" t="s">
        <v>186</v>
      </c>
      <c r="E198" s="34" t="e">
        <f>IF(B198="","",VLOOKUP($B198,#REF!,4,FALSE))</f>
        <v>#REF!</v>
      </c>
      <c r="F198" s="34" t="e">
        <f>IF(E198="","",VLOOKUP($B198,#REF!,5,FALSE))</f>
        <v>#REF!</v>
      </c>
      <c r="G198" s="34" t="e">
        <f>IF(F198="","",VLOOKUP($B198,#REF!,6,FALSE))</f>
        <v>#REF!</v>
      </c>
      <c r="H198" s="34" t="e">
        <f>IF(G198="","",VLOOKUP($B198,#REF!,7,FALSE))</f>
        <v>#REF!</v>
      </c>
      <c r="I198" s="25"/>
      <c r="J198" s="25"/>
      <c r="K198" s="25"/>
      <c r="L198" s="25"/>
      <c r="M198" s="25">
        <v>20</v>
      </c>
      <c r="N198" s="25"/>
      <c r="O198" s="33">
        <f t="shared" si="7"/>
        <v>20</v>
      </c>
      <c r="P198" s="25"/>
      <c r="Q198" s="25">
        <v>0</v>
      </c>
      <c r="R198" s="25"/>
      <c r="S198" s="25"/>
      <c r="T198" s="25"/>
      <c r="U198" s="25"/>
      <c r="V198" s="39">
        <v>20</v>
      </c>
      <c r="W198" s="25"/>
      <c r="X198" s="33">
        <f t="shared" si="6"/>
        <v>20</v>
      </c>
      <c r="Y198" s="39">
        <v>59760</v>
      </c>
      <c r="Z198" s="25">
        <v>1195200</v>
      </c>
      <c r="AA198" s="45"/>
      <c r="AB198" s="45"/>
      <c r="AC198" s="45"/>
      <c r="AD198" s="45"/>
      <c r="AE198" s="45"/>
    </row>
    <row r="199" spans="1:31" s="12" customFormat="1" ht="12">
      <c r="A199" s="27">
        <v>45602</v>
      </c>
      <c r="B199" s="53" t="s">
        <v>232</v>
      </c>
      <c r="C199" s="37" t="s">
        <v>82</v>
      </c>
      <c r="D199" s="34" t="s">
        <v>186</v>
      </c>
      <c r="E199" s="34" t="e">
        <f>IF(B199="","",VLOOKUP($B199,#REF!,4,FALSE))</f>
        <v>#REF!</v>
      </c>
      <c r="F199" s="34" t="e">
        <f>IF(E199="","",VLOOKUP($B199,#REF!,5,FALSE))</f>
        <v>#REF!</v>
      </c>
      <c r="G199" s="34" t="e">
        <f>IF(F199="","",VLOOKUP($B199,#REF!,6,FALSE))</f>
        <v>#REF!</v>
      </c>
      <c r="H199" s="34" t="e">
        <f>IF(G199="","",VLOOKUP($B199,#REF!,7,FALSE))</f>
        <v>#REF!</v>
      </c>
      <c r="I199" s="25"/>
      <c r="J199" s="25"/>
      <c r="K199" s="25"/>
      <c r="L199" s="25"/>
      <c r="M199" s="25">
        <v>3</v>
      </c>
      <c r="N199" s="25"/>
      <c r="O199" s="33">
        <f t="shared" si="7"/>
        <v>3</v>
      </c>
      <c r="P199" s="25"/>
      <c r="Q199" s="25">
        <v>0</v>
      </c>
      <c r="R199" s="25"/>
      <c r="S199" s="25"/>
      <c r="T199" s="25"/>
      <c r="U199" s="25"/>
      <c r="V199" s="39">
        <v>3</v>
      </c>
      <c r="W199" s="25"/>
      <c r="X199" s="33">
        <f t="shared" si="6"/>
        <v>3</v>
      </c>
      <c r="Y199" s="39">
        <v>59760</v>
      </c>
      <c r="Z199" s="25">
        <v>179280</v>
      </c>
      <c r="AA199" s="45"/>
      <c r="AB199" s="45"/>
      <c r="AC199" s="45"/>
      <c r="AD199" s="45"/>
      <c r="AE199" s="45"/>
    </row>
    <row r="200" spans="1:31" s="12" customFormat="1" ht="12">
      <c r="A200" s="27">
        <v>45602</v>
      </c>
      <c r="B200" s="53" t="s">
        <v>57</v>
      </c>
      <c r="C200" s="37" t="s">
        <v>82</v>
      </c>
      <c r="D200" s="34" t="s">
        <v>186</v>
      </c>
      <c r="E200" s="34" t="e">
        <f>IF(B200="","",VLOOKUP($B200,#REF!,4,FALSE))</f>
        <v>#REF!</v>
      </c>
      <c r="F200" s="34" t="e">
        <f>IF(E200="","",VLOOKUP($B200,#REF!,5,FALSE))</f>
        <v>#REF!</v>
      </c>
      <c r="G200" s="34" t="e">
        <f>IF(F200="","",VLOOKUP($B200,#REF!,6,FALSE))</f>
        <v>#REF!</v>
      </c>
      <c r="H200" s="34" t="e">
        <f>IF(G200="","",VLOOKUP($B200,#REF!,7,FALSE))</f>
        <v>#REF!</v>
      </c>
      <c r="I200" s="25"/>
      <c r="J200" s="25"/>
      <c r="K200" s="25"/>
      <c r="L200" s="25"/>
      <c r="M200" s="25"/>
      <c r="N200" s="25"/>
      <c r="O200" s="33">
        <f t="shared" si="7"/>
        <v>0</v>
      </c>
      <c r="P200" s="25"/>
      <c r="Q200" s="25">
        <v>0</v>
      </c>
      <c r="R200" s="25"/>
      <c r="S200" s="25"/>
      <c r="T200" s="25"/>
      <c r="U200" s="25"/>
      <c r="V200" s="39">
        <v>32</v>
      </c>
      <c r="W200" s="25"/>
      <c r="X200" s="33">
        <f t="shared" si="6"/>
        <v>32</v>
      </c>
      <c r="Y200" s="39">
        <v>163800</v>
      </c>
      <c r="Z200" s="25">
        <v>5241600</v>
      </c>
      <c r="AA200" s="45"/>
      <c r="AB200" s="45"/>
      <c r="AC200" s="45"/>
      <c r="AD200" s="45"/>
      <c r="AE200" s="45"/>
    </row>
    <row r="201" spans="1:31" s="12" customFormat="1" ht="12">
      <c r="A201" s="27">
        <v>45602</v>
      </c>
      <c r="B201" s="53" t="s">
        <v>219</v>
      </c>
      <c r="C201" s="37" t="s">
        <v>82</v>
      </c>
      <c r="D201" s="34" t="s">
        <v>186</v>
      </c>
      <c r="E201" s="34" t="e">
        <f>IF(B201="","",VLOOKUP($B201,#REF!,4,FALSE))</f>
        <v>#REF!</v>
      </c>
      <c r="F201" s="34" t="e">
        <f>IF(E201="","",VLOOKUP($B201,#REF!,5,FALSE))</f>
        <v>#REF!</v>
      </c>
      <c r="G201" s="34" t="e">
        <f>IF(F201="","",VLOOKUP($B201,#REF!,6,FALSE))</f>
        <v>#REF!</v>
      </c>
      <c r="H201" s="34" t="e">
        <f>IF(G201="","",VLOOKUP($B201,#REF!,7,FALSE))</f>
        <v>#REF!</v>
      </c>
      <c r="I201" s="25"/>
      <c r="J201" s="25"/>
      <c r="K201" s="25"/>
      <c r="L201" s="25"/>
      <c r="M201" s="25"/>
      <c r="N201" s="25"/>
      <c r="O201" s="33">
        <f t="shared" si="7"/>
        <v>0</v>
      </c>
      <c r="P201" s="25"/>
      <c r="Q201" s="25">
        <v>0</v>
      </c>
      <c r="R201" s="25"/>
      <c r="S201" s="25"/>
      <c r="T201" s="25"/>
      <c r="U201" s="25"/>
      <c r="V201" s="39">
        <v>24</v>
      </c>
      <c r="W201" s="25"/>
      <c r="X201" s="33">
        <f t="shared" si="6"/>
        <v>24</v>
      </c>
      <c r="Y201" s="39">
        <v>235000</v>
      </c>
      <c r="Z201" s="25">
        <v>5640000</v>
      </c>
      <c r="AA201" s="45"/>
      <c r="AB201" s="45"/>
      <c r="AC201" s="45"/>
      <c r="AD201" s="45"/>
      <c r="AE201" s="45"/>
    </row>
    <row r="202" spans="1:31" s="12" customFormat="1" ht="12">
      <c r="A202" s="27">
        <v>45602</v>
      </c>
      <c r="B202" s="53" t="s">
        <v>160</v>
      </c>
      <c r="C202" s="37" t="s">
        <v>82</v>
      </c>
      <c r="D202" s="34" t="s">
        <v>186</v>
      </c>
      <c r="E202" s="34" t="e">
        <f>IF(B202="","",VLOOKUP($B202,#REF!,4,FALSE))</f>
        <v>#REF!</v>
      </c>
      <c r="F202" s="34" t="e">
        <f>IF(E202="","",VLOOKUP($B202,#REF!,5,FALSE))</f>
        <v>#REF!</v>
      </c>
      <c r="G202" s="34" t="e">
        <f>IF(F202="","",VLOOKUP($B202,#REF!,6,FALSE))</f>
        <v>#REF!</v>
      </c>
      <c r="H202" s="34" t="e">
        <f>IF(G202="","",VLOOKUP($B202,#REF!,7,FALSE))</f>
        <v>#REF!</v>
      </c>
      <c r="I202" s="25"/>
      <c r="J202" s="25"/>
      <c r="K202" s="25"/>
      <c r="L202" s="25"/>
      <c r="M202" s="25"/>
      <c r="N202" s="25"/>
      <c r="O202" s="33">
        <f t="shared" si="7"/>
        <v>0</v>
      </c>
      <c r="P202" s="25"/>
      <c r="Q202" s="25">
        <v>0</v>
      </c>
      <c r="R202" s="25"/>
      <c r="S202" s="25"/>
      <c r="T202" s="25"/>
      <c r="U202" s="25"/>
      <c r="V202" s="39">
        <v>24</v>
      </c>
      <c r="W202" s="25"/>
      <c r="X202" s="33">
        <f t="shared" si="6"/>
        <v>24</v>
      </c>
      <c r="Y202" s="39">
        <v>97900</v>
      </c>
      <c r="Z202" s="25">
        <v>2349600</v>
      </c>
      <c r="AA202" s="45"/>
      <c r="AB202" s="45"/>
      <c r="AC202" s="45"/>
      <c r="AD202" s="45"/>
      <c r="AE202" s="45"/>
    </row>
    <row r="203" spans="1:31" s="12" customFormat="1" ht="12">
      <c r="A203" s="27">
        <v>45602</v>
      </c>
      <c r="B203" s="53" t="s">
        <v>15</v>
      </c>
      <c r="C203" s="37" t="s">
        <v>83</v>
      </c>
      <c r="D203" s="34" t="s">
        <v>185</v>
      </c>
      <c r="E203" s="34" t="e">
        <f>IF(B203="","",VLOOKUP($B203,#REF!,4,FALSE))</f>
        <v>#REF!</v>
      </c>
      <c r="F203" s="34" t="e">
        <f>IF(E203="","",VLOOKUP($B203,#REF!,5,FALSE))</f>
        <v>#REF!</v>
      </c>
      <c r="G203" s="34" t="e">
        <f>IF(F203="","",VLOOKUP($B203,#REF!,6,FALSE))</f>
        <v>#REF!</v>
      </c>
      <c r="H203" s="34" t="e">
        <f>IF(G203="","",VLOOKUP($B203,#REF!,7,FALSE))</f>
        <v>#REF!</v>
      </c>
      <c r="I203" s="25"/>
      <c r="J203" s="25"/>
      <c r="K203" s="25"/>
      <c r="L203" s="25"/>
      <c r="M203" s="25"/>
      <c r="N203" s="25"/>
      <c r="O203" s="33">
        <f t="shared" si="7"/>
        <v>0</v>
      </c>
      <c r="P203" s="25"/>
      <c r="Q203" s="25">
        <v>0</v>
      </c>
      <c r="R203" s="25"/>
      <c r="S203" s="25"/>
      <c r="T203" s="25">
        <v>1</v>
      </c>
      <c r="U203" s="25"/>
      <c r="V203" s="39"/>
      <c r="W203" s="25"/>
      <c r="X203" s="33">
        <f t="shared" si="6"/>
        <v>1</v>
      </c>
      <c r="Y203" s="39">
        <v>69600</v>
      </c>
      <c r="Z203" s="25">
        <v>69600</v>
      </c>
      <c r="AA203" s="45"/>
      <c r="AB203" s="45"/>
      <c r="AC203" s="45"/>
      <c r="AD203" s="45"/>
      <c r="AE203" s="45"/>
    </row>
    <row r="204" spans="1:31" s="12" customFormat="1" ht="12">
      <c r="A204" s="27">
        <v>45602</v>
      </c>
      <c r="B204" s="53" t="s">
        <v>23</v>
      </c>
      <c r="C204" s="37" t="s">
        <v>83</v>
      </c>
      <c r="D204" s="34" t="s">
        <v>185</v>
      </c>
      <c r="E204" s="34" t="e">
        <f>IF(B204="","",VLOOKUP($B204,#REF!,4,FALSE))</f>
        <v>#REF!</v>
      </c>
      <c r="F204" s="34" t="e">
        <f>IF(E204="","",VLOOKUP($B204,#REF!,5,FALSE))</f>
        <v>#REF!</v>
      </c>
      <c r="G204" s="34" t="e">
        <f>IF(F204="","",VLOOKUP($B204,#REF!,6,FALSE))</f>
        <v>#REF!</v>
      </c>
      <c r="H204" s="34" t="e">
        <f>IF(G204="","",VLOOKUP($B204,#REF!,7,FALSE))</f>
        <v>#REF!</v>
      </c>
      <c r="I204" s="25"/>
      <c r="J204" s="25"/>
      <c r="K204" s="25"/>
      <c r="L204" s="25"/>
      <c r="M204" s="25"/>
      <c r="N204" s="25"/>
      <c r="O204" s="33">
        <f t="shared" si="7"/>
        <v>0</v>
      </c>
      <c r="P204" s="25"/>
      <c r="Q204" s="25">
        <v>0</v>
      </c>
      <c r="R204" s="25"/>
      <c r="S204" s="25"/>
      <c r="T204" s="25">
        <v>15</v>
      </c>
      <c r="U204" s="25"/>
      <c r="V204" s="39"/>
      <c r="W204" s="25"/>
      <c r="X204" s="33">
        <f t="shared" si="6"/>
        <v>15</v>
      </c>
      <c r="Y204" s="39">
        <v>46080</v>
      </c>
      <c r="Z204" s="25">
        <v>691200</v>
      </c>
      <c r="AA204" s="45"/>
      <c r="AB204" s="45"/>
      <c r="AC204" s="45"/>
      <c r="AD204" s="45"/>
      <c r="AE204" s="45"/>
    </row>
    <row r="205" spans="1:31" s="12" customFormat="1" ht="12">
      <c r="A205" s="27">
        <v>45602</v>
      </c>
      <c r="B205" s="53" t="s">
        <v>26</v>
      </c>
      <c r="C205" s="37" t="s">
        <v>83</v>
      </c>
      <c r="D205" s="34" t="s">
        <v>185</v>
      </c>
      <c r="E205" s="34" t="e">
        <f>IF(B205="","",VLOOKUP($B205,#REF!,4,FALSE))</f>
        <v>#REF!</v>
      </c>
      <c r="F205" s="34" t="e">
        <f>IF(E205="","",VLOOKUP($B205,#REF!,5,FALSE))</f>
        <v>#REF!</v>
      </c>
      <c r="G205" s="34" t="e">
        <f>IF(F205="","",VLOOKUP($B205,#REF!,6,FALSE))</f>
        <v>#REF!</v>
      </c>
      <c r="H205" s="34" t="e">
        <f>IF(G205="","",VLOOKUP($B205,#REF!,7,FALSE))</f>
        <v>#REF!</v>
      </c>
      <c r="I205" s="25"/>
      <c r="J205" s="25"/>
      <c r="K205" s="25"/>
      <c r="L205" s="25"/>
      <c r="M205" s="25"/>
      <c r="N205" s="25"/>
      <c r="O205" s="33">
        <f t="shared" si="7"/>
        <v>0</v>
      </c>
      <c r="P205" s="25"/>
      <c r="Q205" s="25">
        <v>0</v>
      </c>
      <c r="R205" s="25"/>
      <c r="S205" s="25"/>
      <c r="T205" s="25">
        <v>7</v>
      </c>
      <c r="U205" s="25"/>
      <c r="V205" s="39"/>
      <c r="W205" s="25"/>
      <c r="X205" s="33">
        <f t="shared" si="6"/>
        <v>7</v>
      </c>
      <c r="Y205" s="39">
        <v>23200</v>
      </c>
      <c r="Z205" s="25">
        <v>162400</v>
      </c>
      <c r="AA205" s="45"/>
      <c r="AB205" s="45"/>
      <c r="AC205" s="45"/>
      <c r="AD205" s="45"/>
      <c r="AE205" s="45"/>
    </row>
    <row r="206" spans="1:31" s="12" customFormat="1" ht="12">
      <c r="A206" s="27">
        <v>45602</v>
      </c>
      <c r="B206" s="53" t="s">
        <v>10</v>
      </c>
      <c r="C206" s="37" t="s">
        <v>83</v>
      </c>
      <c r="D206" s="34" t="s">
        <v>185</v>
      </c>
      <c r="E206" s="34" t="e">
        <f>IF(B206="","",VLOOKUP($B206,#REF!,4,FALSE))</f>
        <v>#REF!</v>
      </c>
      <c r="F206" s="34" t="e">
        <f>IF(E206="","",VLOOKUP($B206,#REF!,5,FALSE))</f>
        <v>#REF!</v>
      </c>
      <c r="G206" s="34" t="e">
        <f>IF(F206="","",VLOOKUP($B206,#REF!,6,FALSE))</f>
        <v>#REF!</v>
      </c>
      <c r="H206" s="34" t="e">
        <f>IF(G206="","",VLOOKUP($B206,#REF!,7,FALSE))</f>
        <v>#REF!</v>
      </c>
      <c r="I206" s="25"/>
      <c r="J206" s="25"/>
      <c r="K206" s="25"/>
      <c r="L206" s="25"/>
      <c r="M206" s="25"/>
      <c r="N206" s="25"/>
      <c r="O206" s="33">
        <f t="shared" si="7"/>
        <v>0</v>
      </c>
      <c r="P206" s="25"/>
      <c r="Q206" s="25">
        <v>0</v>
      </c>
      <c r="R206" s="25"/>
      <c r="S206" s="25"/>
      <c r="T206" s="25">
        <v>3</v>
      </c>
      <c r="U206" s="25"/>
      <c r="V206" s="39"/>
      <c r="W206" s="25"/>
      <c r="X206" s="33">
        <f t="shared" si="6"/>
        <v>3</v>
      </c>
      <c r="Y206" s="39"/>
      <c r="Z206" s="25">
        <v>0</v>
      </c>
      <c r="AA206" s="45"/>
      <c r="AB206" s="45"/>
      <c r="AC206" s="45"/>
      <c r="AD206" s="45"/>
      <c r="AE206" s="45"/>
    </row>
    <row r="207" spans="1:31" s="12" customFormat="1" ht="12">
      <c r="A207" s="27">
        <v>45602</v>
      </c>
      <c r="B207" s="73" t="s">
        <v>161</v>
      </c>
      <c r="C207" s="37" t="s">
        <v>83</v>
      </c>
      <c r="D207" s="34" t="s">
        <v>185</v>
      </c>
      <c r="E207" s="34" t="e">
        <f>IF(B207="","",VLOOKUP($B207,#REF!,4,FALSE))</f>
        <v>#REF!</v>
      </c>
      <c r="F207" s="34" t="e">
        <f>IF(E207="","",VLOOKUP($B207,#REF!,5,FALSE))</f>
        <v>#REF!</v>
      </c>
      <c r="G207" s="34" t="e">
        <f>IF(F207="","",VLOOKUP($B207,#REF!,6,FALSE))</f>
        <v>#REF!</v>
      </c>
      <c r="H207" s="34" t="e">
        <f>IF(G207="","",VLOOKUP($B207,#REF!,7,FALSE))</f>
        <v>#REF!</v>
      </c>
      <c r="I207" s="25"/>
      <c r="J207" s="25"/>
      <c r="K207" s="25">
        <v>3</v>
      </c>
      <c r="L207" s="25"/>
      <c r="M207" s="25"/>
      <c r="N207" s="25"/>
      <c r="O207" s="33">
        <f t="shared" si="7"/>
        <v>3</v>
      </c>
      <c r="P207" s="25"/>
      <c r="Q207" s="25">
        <v>0</v>
      </c>
      <c r="R207" s="25"/>
      <c r="S207" s="25"/>
      <c r="T207" s="25">
        <v>3</v>
      </c>
      <c r="U207" s="25"/>
      <c r="V207" s="39"/>
      <c r="W207" s="25"/>
      <c r="X207" s="33">
        <f t="shared" si="6"/>
        <v>3</v>
      </c>
      <c r="Y207" s="39">
        <v>44280</v>
      </c>
      <c r="Z207" s="25">
        <v>132840</v>
      </c>
      <c r="AA207" s="45"/>
      <c r="AB207" s="45"/>
      <c r="AC207" s="45"/>
      <c r="AD207" s="45"/>
      <c r="AE207" s="45"/>
    </row>
    <row r="208" spans="1:31" s="12" customFormat="1" ht="12">
      <c r="A208" s="27">
        <v>45602</v>
      </c>
      <c r="B208" s="53" t="s">
        <v>163</v>
      </c>
      <c r="C208" s="37" t="s">
        <v>136</v>
      </c>
      <c r="D208" s="34" t="s">
        <v>177</v>
      </c>
      <c r="E208" s="34" t="e">
        <f>IF(B208="","",VLOOKUP($B208,#REF!,4,FALSE))</f>
        <v>#REF!</v>
      </c>
      <c r="F208" s="34" t="e">
        <f>IF(E208="","",VLOOKUP($B208,#REF!,5,FALSE))</f>
        <v>#REF!</v>
      </c>
      <c r="G208" s="34" t="e">
        <f>IF(F208="","",VLOOKUP($B208,#REF!,6,FALSE))</f>
        <v>#REF!</v>
      </c>
      <c r="H208" s="34" t="e">
        <f>IF(G208="","",VLOOKUP($B208,#REF!,7,FALSE))</f>
        <v>#REF!</v>
      </c>
      <c r="I208" s="25"/>
      <c r="J208" s="25"/>
      <c r="K208" s="25"/>
      <c r="L208" s="25"/>
      <c r="M208" s="25"/>
      <c r="N208" s="25"/>
      <c r="O208" s="33">
        <f t="shared" si="7"/>
        <v>0</v>
      </c>
      <c r="P208" s="25"/>
      <c r="Q208" s="25">
        <v>0</v>
      </c>
      <c r="R208" s="25"/>
      <c r="S208" s="25"/>
      <c r="T208" s="25">
        <v>2</v>
      </c>
      <c r="U208" s="25"/>
      <c r="V208" s="39"/>
      <c r="W208" s="25"/>
      <c r="X208" s="33">
        <f t="shared" si="6"/>
        <v>2</v>
      </c>
      <c r="Y208" s="39">
        <v>46400</v>
      </c>
      <c r="Z208" s="25">
        <v>92800</v>
      </c>
      <c r="AA208" s="45" t="s">
        <v>136</v>
      </c>
      <c r="AB208" s="45" t="s">
        <v>177</v>
      </c>
      <c r="AC208" s="45"/>
      <c r="AD208" s="45"/>
      <c r="AE208" s="45"/>
    </row>
    <row r="209" spans="1:31" s="12" customFormat="1" ht="12">
      <c r="A209" s="27">
        <v>45602</v>
      </c>
      <c r="B209" s="53" t="s">
        <v>11</v>
      </c>
      <c r="C209" s="37" t="s">
        <v>136</v>
      </c>
      <c r="D209" s="34" t="s">
        <v>177</v>
      </c>
      <c r="E209" s="34" t="e">
        <f>IF(B209="","",VLOOKUP($B209,#REF!,4,FALSE))</f>
        <v>#REF!</v>
      </c>
      <c r="F209" s="34" t="e">
        <f>IF(E209="","",VLOOKUP($B209,#REF!,5,FALSE))</f>
        <v>#REF!</v>
      </c>
      <c r="G209" s="34" t="e">
        <f>IF(F209="","",VLOOKUP($B209,#REF!,6,FALSE))</f>
        <v>#REF!</v>
      </c>
      <c r="H209" s="34" t="e">
        <f>IF(G209="","",VLOOKUP($B209,#REF!,7,FALSE))</f>
        <v>#REF!</v>
      </c>
      <c r="I209" s="25"/>
      <c r="J209" s="25"/>
      <c r="K209" s="25"/>
      <c r="L209" s="25"/>
      <c r="M209" s="25"/>
      <c r="N209" s="25"/>
      <c r="O209" s="33">
        <f t="shared" si="7"/>
        <v>0</v>
      </c>
      <c r="P209" s="25"/>
      <c r="Q209" s="25">
        <v>0</v>
      </c>
      <c r="R209" s="25"/>
      <c r="S209" s="25"/>
      <c r="T209" s="25">
        <v>1</v>
      </c>
      <c r="U209" s="25"/>
      <c r="V209" s="39"/>
      <c r="W209" s="25"/>
      <c r="X209" s="33">
        <f t="shared" si="6"/>
        <v>1</v>
      </c>
      <c r="Y209" s="39">
        <v>44000</v>
      </c>
      <c r="Z209" s="25">
        <v>44000</v>
      </c>
      <c r="AA209" s="45" t="s">
        <v>136</v>
      </c>
      <c r="AB209" s="45" t="s">
        <v>177</v>
      </c>
      <c r="AC209" s="45"/>
      <c r="AD209" s="45"/>
      <c r="AE209" s="45"/>
    </row>
    <row r="210" spans="1:31" s="12" customFormat="1" ht="12">
      <c r="A210" s="27">
        <v>45602</v>
      </c>
      <c r="B210" s="53" t="s">
        <v>10</v>
      </c>
      <c r="C210" s="37" t="s">
        <v>83</v>
      </c>
      <c r="D210" s="34" t="s">
        <v>185</v>
      </c>
      <c r="E210" s="34" t="e">
        <f>IF(B210="","",VLOOKUP($B210,#REF!,4,FALSE))</f>
        <v>#REF!</v>
      </c>
      <c r="F210" s="34" t="e">
        <f>IF(E210="","",VLOOKUP($B210,#REF!,5,FALSE))</f>
        <v>#REF!</v>
      </c>
      <c r="G210" s="34" t="e">
        <f>IF(F210="","",VLOOKUP($B210,#REF!,6,FALSE))</f>
        <v>#REF!</v>
      </c>
      <c r="H210" s="34" t="e">
        <f>IF(G210="","",VLOOKUP($B210,#REF!,7,FALSE))</f>
        <v>#REF!</v>
      </c>
      <c r="I210" s="25"/>
      <c r="J210" s="25"/>
      <c r="K210" s="25"/>
      <c r="L210" s="25"/>
      <c r="M210" s="25"/>
      <c r="N210" s="25"/>
      <c r="O210" s="33">
        <f t="shared" si="7"/>
        <v>0</v>
      </c>
      <c r="P210" s="25"/>
      <c r="Q210" s="25">
        <v>0</v>
      </c>
      <c r="R210" s="25"/>
      <c r="S210" s="25"/>
      <c r="T210" s="25">
        <v>1</v>
      </c>
      <c r="U210" s="25"/>
      <c r="V210" s="39"/>
      <c r="W210" s="25"/>
      <c r="X210" s="33">
        <f t="shared" si="6"/>
        <v>1</v>
      </c>
      <c r="Y210" s="39"/>
      <c r="Z210" s="25">
        <v>0</v>
      </c>
      <c r="AA210" s="45"/>
      <c r="AB210" s="45"/>
      <c r="AC210" s="45"/>
      <c r="AD210" s="45"/>
      <c r="AE210" s="45"/>
    </row>
    <row r="211" spans="1:31" s="12" customFormat="1" ht="12">
      <c r="A211" s="27">
        <v>45602</v>
      </c>
      <c r="B211" s="73" t="s">
        <v>46</v>
      </c>
      <c r="C211" s="37" t="s">
        <v>136</v>
      </c>
      <c r="D211" s="34" t="s">
        <v>178</v>
      </c>
      <c r="E211" s="34" t="e">
        <f>IF(B211="","",VLOOKUP($B211,#REF!,4,FALSE))</f>
        <v>#REF!</v>
      </c>
      <c r="F211" s="34" t="e">
        <f>IF(E211="","",VLOOKUP($B211,#REF!,5,FALSE))</f>
        <v>#REF!</v>
      </c>
      <c r="G211" s="34" t="e">
        <f>IF(F211="","",VLOOKUP($B211,#REF!,6,FALSE))</f>
        <v>#REF!</v>
      </c>
      <c r="H211" s="34" t="e">
        <f>IF(G211="","",VLOOKUP($B211,#REF!,7,FALSE))</f>
        <v>#REF!</v>
      </c>
      <c r="I211" s="25"/>
      <c r="J211" s="25"/>
      <c r="K211" s="25">
        <v>1</v>
      </c>
      <c r="L211" s="25"/>
      <c r="M211" s="25"/>
      <c r="N211" s="25"/>
      <c r="O211" s="33">
        <f t="shared" si="7"/>
        <v>1</v>
      </c>
      <c r="P211" s="25"/>
      <c r="Q211" s="25">
        <v>0</v>
      </c>
      <c r="R211" s="25"/>
      <c r="S211" s="25"/>
      <c r="T211" s="25">
        <v>1</v>
      </c>
      <c r="U211" s="25"/>
      <c r="V211" s="39"/>
      <c r="W211" s="25"/>
      <c r="X211" s="33">
        <f t="shared" si="6"/>
        <v>1</v>
      </c>
      <c r="Y211" s="39">
        <v>56400</v>
      </c>
      <c r="Z211" s="25">
        <v>56400</v>
      </c>
      <c r="AA211" s="45" t="s">
        <v>136</v>
      </c>
      <c r="AB211" s="45" t="s">
        <v>178</v>
      </c>
      <c r="AC211" s="45"/>
      <c r="AD211" s="45"/>
      <c r="AE211" s="45"/>
    </row>
    <row r="212" spans="1:31" s="12" customFormat="1" ht="12">
      <c r="A212" s="27">
        <v>45602</v>
      </c>
      <c r="B212" s="53" t="s">
        <v>163</v>
      </c>
      <c r="C212" s="37" t="s">
        <v>136</v>
      </c>
      <c r="D212" s="34" t="s">
        <v>178</v>
      </c>
      <c r="E212" s="34" t="e">
        <f>IF(B212="","",VLOOKUP($B212,#REF!,4,FALSE))</f>
        <v>#REF!</v>
      </c>
      <c r="F212" s="34" t="e">
        <f>IF(E212="","",VLOOKUP($B212,#REF!,5,FALSE))</f>
        <v>#REF!</v>
      </c>
      <c r="G212" s="34" t="e">
        <f>IF(F212="","",VLOOKUP($B212,#REF!,6,FALSE))</f>
        <v>#REF!</v>
      </c>
      <c r="H212" s="34" t="e">
        <f>IF(G212="","",VLOOKUP($B212,#REF!,7,FALSE))</f>
        <v>#REF!</v>
      </c>
      <c r="I212" s="25"/>
      <c r="J212" s="25"/>
      <c r="K212" s="25"/>
      <c r="L212" s="25"/>
      <c r="M212" s="25"/>
      <c r="N212" s="25"/>
      <c r="O212" s="33">
        <f t="shared" si="7"/>
        <v>0</v>
      </c>
      <c r="P212" s="25"/>
      <c r="Q212" s="25">
        <v>0</v>
      </c>
      <c r="R212" s="25"/>
      <c r="S212" s="25"/>
      <c r="T212" s="25">
        <v>1</v>
      </c>
      <c r="U212" s="25"/>
      <c r="V212" s="39"/>
      <c r="W212" s="25"/>
      <c r="X212" s="33">
        <f t="shared" si="6"/>
        <v>1</v>
      </c>
      <c r="Y212" s="39">
        <v>46400</v>
      </c>
      <c r="Z212" s="25">
        <v>46400</v>
      </c>
      <c r="AA212" s="45" t="s">
        <v>136</v>
      </c>
      <c r="AB212" s="45" t="s">
        <v>178</v>
      </c>
      <c r="AC212" s="45"/>
      <c r="AD212" s="45"/>
      <c r="AE212" s="45"/>
    </row>
    <row r="213" spans="1:31" s="12" customFormat="1" ht="12">
      <c r="A213" s="27">
        <v>45602</v>
      </c>
      <c r="B213" s="73" t="s">
        <v>10</v>
      </c>
      <c r="C213" s="37" t="s">
        <v>83</v>
      </c>
      <c r="D213" s="34" t="s">
        <v>185</v>
      </c>
      <c r="E213" s="34" t="e">
        <f>IF(B213="","",VLOOKUP($B213,#REF!,4,FALSE))</f>
        <v>#REF!</v>
      </c>
      <c r="F213" s="34" t="e">
        <f>IF(E213="","",VLOOKUP($B213,#REF!,5,FALSE))</f>
        <v>#REF!</v>
      </c>
      <c r="G213" s="34" t="e">
        <f>IF(F213="","",VLOOKUP($B213,#REF!,6,FALSE))</f>
        <v>#REF!</v>
      </c>
      <c r="H213" s="34" t="e">
        <f>IF(G213="","",VLOOKUP($B213,#REF!,7,FALSE))</f>
        <v>#REF!</v>
      </c>
      <c r="I213" s="25"/>
      <c r="J213" s="25"/>
      <c r="K213" s="25"/>
      <c r="L213" s="25"/>
      <c r="M213" s="25"/>
      <c r="N213" s="25"/>
      <c r="O213" s="33">
        <f t="shared" si="7"/>
        <v>0</v>
      </c>
      <c r="P213" s="25"/>
      <c r="Q213" s="25">
        <v>0</v>
      </c>
      <c r="R213" s="25"/>
      <c r="S213" s="25"/>
      <c r="T213" s="25">
        <v>1</v>
      </c>
      <c r="U213" s="25"/>
      <c r="V213" s="39"/>
      <c r="W213" s="25"/>
      <c r="X213" s="33">
        <f t="shared" si="6"/>
        <v>1</v>
      </c>
      <c r="Y213" s="39"/>
      <c r="Z213" s="25">
        <v>0</v>
      </c>
      <c r="AA213" s="45"/>
      <c r="AB213" s="45"/>
      <c r="AC213" s="45"/>
      <c r="AD213" s="45"/>
      <c r="AE213" s="45"/>
    </row>
    <row r="214" spans="1:31" s="12" customFormat="1" ht="12">
      <c r="A214" s="27">
        <v>45602</v>
      </c>
      <c r="B214" s="53" t="s">
        <v>46</v>
      </c>
      <c r="C214" s="37" t="s">
        <v>135</v>
      </c>
      <c r="D214" s="34" t="s">
        <v>179</v>
      </c>
      <c r="E214" s="34" t="e">
        <f>IF(B214="","",VLOOKUP($B214,#REF!,4,FALSE))</f>
        <v>#REF!</v>
      </c>
      <c r="F214" s="34" t="e">
        <f>IF(E214="","",VLOOKUP($B214,#REF!,5,FALSE))</f>
        <v>#REF!</v>
      </c>
      <c r="G214" s="34" t="e">
        <f>IF(F214="","",VLOOKUP($B214,#REF!,6,FALSE))</f>
        <v>#REF!</v>
      </c>
      <c r="H214" s="34" t="e">
        <f>IF(G214="","",VLOOKUP($B214,#REF!,7,FALSE))</f>
        <v>#REF!</v>
      </c>
      <c r="I214" s="25"/>
      <c r="J214" s="25"/>
      <c r="K214" s="25">
        <v>1</v>
      </c>
      <c r="L214" s="25"/>
      <c r="M214" s="25"/>
      <c r="N214" s="25"/>
      <c r="O214" s="33">
        <f t="shared" si="7"/>
        <v>1</v>
      </c>
      <c r="P214" s="25"/>
      <c r="Q214" s="25">
        <v>0</v>
      </c>
      <c r="R214" s="25"/>
      <c r="S214" s="25"/>
      <c r="T214" s="25">
        <v>1</v>
      </c>
      <c r="U214" s="25"/>
      <c r="V214" s="39"/>
      <c r="W214" s="25"/>
      <c r="X214" s="33">
        <f t="shared" si="6"/>
        <v>1</v>
      </c>
      <c r="Y214" s="39">
        <v>56400</v>
      </c>
      <c r="Z214" s="25">
        <v>56400</v>
      </c>
      <c r="AA214" s="45" t="s">
        <v>135</v>
      </c>
      <c r="AB214" s="45" t="s">
        <v>179</v>
      </c>
      <c r="AC214" s="45"/>
      <c r="AD214" s="45"/>
      <c r="AE214" s="45"/>
    </row>
    <row r="215" spans="1:31" s="12" customFormat="1" ht="12">
      <c r="A215" s="27">
        <v>45602</v>
      </c>
      <c r="B215" s="73" t="s">
        <v>11</v>
      </c>
      <c r="C215" s="37" t="s">
        <v>135</v>
      </c>
      <c r="D215" s="34" t="s">
        <v>179</v>
      </c>
      <c r="E215" s="34" t="e">
        <f>IF(B215="","",VLOOKUP($B215,#REF!,4,FALSE))</f>
        <v>#REF!</v>
      </c>
      <c r="F215" s="34" t="e">
        <f>IF(E215="","",VLOOKUP($B215,#REF!,5,FALSE))</f>
        <v>#REF!</v>
      </c>
      <c r="G215" s="34" t="e">
        <f>IF(F215="","",VLOOKUP($B215,#REF!,6,FALSE))</f>
        <v>#REF!</v>
      </c>
      <c r="H215" s="34" t="e">
        <f>IF(G215="","",VLOOKUP($B215,#REF!,7,FALSE))</f>
        <v>#REF!</v>
      </c>
      <c r="I215" s="25"/>
      <c r="J215" s="25"/>
      <c r="K215" s="25"/>
      <c r="L215" s="25"/>
      <c r="M215" s="25"/>
      <c r="N215" s="25"/>
      <c r="O215" s="33">
        <f t="shared" si="7"/>
        <v>0</v>
      </c>
      <c r="P215" s="25"/>
      <c r="Q215" s="25">
        <v>0</v>
      </c>
      <c r="R215" s="25"/>
      <c r="S215" s="25"/>
      <c r="T215" s="25">
        <v>2</v>
      </c>
      <c r="U215" s="25"/>
      <c r="V215" s="39"/>
      <c r="W215" s="25"/>
      <c r="X215" s="33">
        <f t="shared" si="6"/>
        <v>2</v>
      </c>
      <c r="Y215" s="39">
        <v>44000</v>
      </c>
      <c r="Z215" s="25">
        <v>88000</v>
      </c>
      <c r="AA215" s="45" t="s">
        <v>135</v>
      </c>
      <c r="AB215" s="45" t="s">
        <v>179</v>
      </c>
      <c r="AC215" s="45"/>
      <c r="AD215" s="45"/>
      <c r="AE215" s="45"/>
    </row>
    <row r="216" spans="1:31" s="12" customFormat="1" ht="12">
      <c r="A216" s="27">
        <v>45602</v>
      </c>
      <c r="B216" s="53" t="s">
        <v>211</v>
      </c>
      <c r="C216" s="37">
        <v>0</v>
      </c>
      <c r="D216" s="34" t="s">
        <v>187</v>
      </c>
      <c r="E216" s="34" t="e">
        <f>IF(B216="","",VLOOKUP($B216,#REF!,4,FALSE))</f>
        <v>#REF!</v>
      </c>
      <c r="F216" s="34" t="e">
        <f>IF(E216="","",VLOOKUP($B216,#REF!,5,FALSE))</f>
        <v>#REF!</v>
      </c>
      <c r="G216" s="34" t="e">
        <f>IF(F216="","",VLOOKUP($B216,#REF!,6,FALSE))</f>
        <v>#REF!</v>
      </c>
      <c r="H216" s="34" t="e">
        <f>IF(G216="","",VLOOKUP($B216,#REF!,7,FALSE))</f>
        <v>#REF!</v>
      </c>
      <c r="I216" s="25"/>
      <c r="J216" s="25"/>
      <c r="K216" s="25"/>
      <c r="L216" s="25">
        <v>852</v>
      </c>
      <c r="M216" s="25"/>
      <c r="N216" s="25"/>
      <c r="O216" s="33">
        <f t="shared" si="7"/>
        <v>852</v>
      </c>
      <c r="P216" s="25"/>
      <c r="Q216" s="25">
        <v>0</v>
      </c>
      <c r="R216" s="25"/>
      <c r="S216" s="25"/>
      <c r="T216" s="25"/>
      <c r="U216" s="25"/>
      <c r="V216" s="39"/>
      <c r="W216" s="25"/>
      <c r="X216" s="33">
        <f t="shared" si="6"/>
        <v>0</v>
      </c>
      <c r="Y216" s="39"/>
      <c r="Z216" s="25">
        <v>0</v>
      </c>
      <c r="AA216" s="45"/>
      <c r="AB216" s="45"/>
      <c r="AC216" s="45"/>
      <c r="AD216" s="45"/>
      <c r="AE216" s="45"/>
    </row>
    <row r="217" spans="1:31" s="12" customFormat="1" ht="12">
      <c r="A217" s="27">
        <v>45602</v>
      </c>
      <c r="B217" s="28" t="s">
        <v>43</v>
      </c>
      <c r="C217" s="37">
        <v>0</v>
      </c>
      <c r="D217" s="34" t="s">
        <v>187</v>
      </c>
      <c r="E217" s="34" t="e">
        <f>IF(B217="","",VLOOKUP($B217,#REF!,4,FALSE))</f>
        <v>#REF!</v>
      </c>
      <c r="F217" s="34" t="e">
        <f>IF(E217="","",VLOOKUP($B217,#REF!,5,FALSE))</f>
        <v>#REF!</v>
      </c>
      <c r="G217" s="34" t="e">
        <f>IF(F217="","",VLOOKUP($B217,#REF!,6,FALSE))</f>
        <v>#REF!</v>
      </c>
      <c r="H217" s="34" t="e">
        <f>IF(G217="","",VLOOKUP($B217,#REF!,7,FALSE))</f>
        <v>#REF!</v>
      </c>
      <c r="I217" s="25"/>
      <c r="J217" s="25"/>
      <c r="K217" s="25"/>
      <c r="L217" s="25">
        <v>1400</v>
      </c>
      <c r="M217" s="25"/>
      <c r="N217" s="25"/>
      <c r="O217" s="33">
        <f t="shared" si="7"/>
        <v>1400</v>
      </c>
      <c r="P217" s="25"/>
      <c r="Q217" s="25">
        <v>0</v>
      </c>
      <c r="R217" s="25"/>
      <c r="S217" s="25"/>
      <c r="T217" s="25"/>
      <c r="U217" s="25"/>
      <c r="V217" s="39"/>
      <c r="W217" s="25"/>
      <c r="X217" s="33">
        <f t="shared" si="6"/>
        <v>0</v>
      </c>
      <c r="Y217" s="39"/>
      <c r="Z217" s="25">
        <v>0</v>
      </c>
      <c r="AA217" s="45"/>
      <c r="AB217" s="45"/>
      <c r="AC217" s="45"/>
      <c r="AD217" s="45"/>
      <c r="AE217" s="45"/>
    </row>
    <row r="218" spans="1:31" s="12" customFormat="1" ht="12">
      <c r="A218" s="27">
        <v>45602</v>
      </c>
      <c r="B218" s="53" t="s">
        <v>229</v>
      </c>
      <c r="C218" s="37">
        <v>0</v>
      </c>
      <c r="D218" s="34" t="s">
        <v>187</v>
      </c>
      <c r="E218" s="34" t="e">
        <f>IF(B218="","",VLOOKUP($B218,#REF!,4,FALSE))</f>
        <v>#REF!</v>
      </c>
      <c r="F218" s="34" t="e">
        <f>IF(E218="","",VLOOKUP($B218,#REF!,5,FALSE))</f>
        <v>#REF!</v>
      </c>
      <c r="G218" s="34" t="e">
        <f>IF(F218="","",VLOOKUP($B218,#REF!,6,FALSE))</f>
        <v>#REF!</v>
      </c>
      <c r="H218" s="34" t="e">
        <f>IF(G218="","",VLOOKUP($B218,#REF!,7,FALSE))</f>
        <v>#REF!</v>
      </c>
      <c r="I218" s="25"/>
      <c r="J218" s="25"/>
      <c r="K218" s="25"/>
      <c r="L218" s="25">
        <v>3243</v>
      </c>
      <c r="M218" s="25"/>
      <c r="N218" s="25"/>
      <c r="O218" s="33">
        <f t="shared" si="7"/>
        <v>3243</v>
      </c>
      <c r="P218" s="25"/>
      <c r="Q218" s="25">
        <v>0</v>
      </c>
      <c r="R218" s="25"/>
      <c r="S218" s="25"/>
      <c r="T218" s="25"/>
      <c r="U218" s="25"/>
      <c r="V218" s="39"/>
      <c r="W218" s="25"/>
      <c r="X218" s="33">
        <f t="shared" si="6"/>
        <v>0</v>
      </c>
      <c r="Y218" s="39"/>
      <c r="Z218" s="25">
        <v>0</v>
      </c>
      <c r="AA218" s="45"/>
      <c r="AB218" s="45"/>
      <c r="AC218" s="45"/>
      <c r="AD218" s="45"/>
      <c r="AE218" s="45"/>
    </row>
    <row r="219" spans="1:31" s="12" customFormat="1" ht="12">
      <c r="A219" s="27">
        <v>45602</v>
      </c>
      <c r="B219" s="53" t="s">
        <v>160</v>
      </c>
      <c r="C219" s="37">
        <v>0</v>
      </c>
      <c r="D219" s="34" t="s">
        <v>187</v>
      </c>
      <c r="E219" s="34" t="e">
        <f>IF(B219="","",VLOOKUP($B219,#REF!,4,FALSE))</f>
        <v>#REF!</v>
      </c>
      <c r="F219" s="34" t="e">
        <f>IF(E219="","",VLOOKUP($B219,#REF!,5,FALSE))</f>
        <v>#REF!</v>
      </c>
      <c r="G219" s="34" t="e">
        <f>IF(F219="","",VLOOKUP($B219,#REF!,6,FALSE))</f>
        <v>#REF!</v>
      </c>
      <c r="H219" s="34" t="e">
        <f>IF(G219="","",VLOOKUP($B219,#REF!,7,FALSE))</f>
        <v>#REF!</v>
      </c>
      <c r="I219" s="25"/>
      <c r="J219" s="25">
        <v>536</v>
      </c>
      <c r="K219" s="25"/>
      <c r="L219" s="25"/>
      <c r="M219" s="25"/>
      <c r="N219" s="25"/>
      <c r="O219" s="33">
        <f t="shared" si="7"/>
        <v>536</v>
      </c>
      <c r="P219" s="25"/>
      <c r="Q219" s="25">
        <v>0</v>
      </c>
      <c r="R219" s="26"/>
      <c r="S219" s="25"/>
      <c r="T219" s="25"/>
      <c r="U219" s="25"/>
      <c r="V219" s="39"/>
      <c r="W219" s="25"/>
      <c r="X219" s="33">
        <f t="shared" si="6"/>
        <v>0</v>
      </c>
      <c r="Y219" s="39"/>
      <c r="Z219" s="25">
        <v>0</v>
      </c>
      <c r="AA219" s="45"/>
      <c r="AB219" s="45"/>
      <c r="AC219" s="45"/>
      <c r="AD219" s="45"/>
      <c r="AE219" s="45"/>
    </row>
    <row r="220" spans="1:31" s="12" customFormat="1" ht="12">
      <c r="A220" s="27">
        <v>45602</v>
      </c>
      <c r="B220" s="75" t="s">
        <v>188</v>
      </c>
      <c r="C220" s="37">
        <v>0</v>
      </c>
      <c r="D220" s="34" t="s">
        <v>187</v>
      </c>
      <c r="E220" s="34" t="e">
        <f>IF(B220="","",VLOOKUP($B220,#REF!,4,FALSE))</f>
        <v>#REF!</v>
      </c>
      <c r="F220" s="34" t="e">
        <f>IF(E220="","",VLOOKUP($B220,#REF!,5,FALSE))</f>
        <v>#REF!</v>
      </c>
      <c r="G220" s="34" t="e">
        <f>IF(F220="","",VLOOKUP($B220,#REF!,6,FALSE))</f>
        <v>#REF!</v>
      </c>
      <c r="H220" s="34" t="e">
        <f>IF(G220="","",VLOOKUP($B220,#REF!,7,FALSE))</f>
        <v>#REF!</v>
      </c>
      <c r="I220" s="25">
        <v>462</v>
      </c>
      <c r="J220" s="25"/>
      <c r="K220" s="25"/>
      <c r="L220" s="25"/>
      <c r="M220" s="25"/>
      <c r="N220" s="25"/>
      <c r="O220" s="33">
        <f t="shared" si="7"/>
        <v>462</v>
      </c>
      <c r="P220" s="25"/>
      <c r="Q220" s="25">
        <v>0</v>
      </c>
      <c r="R220" s="25"/>
      <c r="S220" s="25"/>
      <c r="T220" s="25"/>
      <c r="U220" s="25"/>
      <c r="V220" s="39"/>
      <c r="W220" s="25"/>
      <c r="X220" s="33">
        <f t="shared" si="6"/>
        <v>0</v>
      </c>
      <c r="Y220" s="39"/>
      <c r="Z220" s="25">
        <v>0</v>
      </c>
      <c r="AA220" s="45"/>
      <c r="AB220" s="45"/>
      <c r="AC220" s="45"/>
      <c r="AD220" s="45"/>
      <c r="AE220" s="45"/>
    </row>
    <row r="221" spans="1:31" s="12" customFormat="1" ht="12">
      <c r="A221" s="27">
        <v>45603</v>
      </c>
      <c r="B221" s="53" t="s">
        <v>24</v>
      </c>
      <c r="C221" s="37" t="s">
        <v>82</v>
      </c>
      <c r="D221" s="34" t="s">
        <v>186</v>
      </c>
      <c r="E221" s="34" t="e">
        <f>IF(B221="","",VLOOKUP($B221,#REF!,4,FALSE))</f>
        <v>#REF!</v>
      </c>
      <c r="F221" s="34" t="e">
        <f>IF(E221="","",VLOOKUP($B221,#REF!,5,FALSE))</f>
        <v>#REF!</v>
      </c>
      <c r="G221" s="34" t="e">
        <f>IF(F221="","",VLOOKUP($B221,#REF!,6,FALSE))</f>
        <v>#REF!</v>
      </c>
      <c r="H221" s="34" t="e">
        <f>IF(G221="","",VLOOKUP($B221,#REF!,7,FALSE))</f>
        <v>#REF!</v>
      </c>
      <c r="I221" s="25"/>
      <c r="J221" s="25"/>
      <c r="K221" s="25"/>
      <c r="L221" s="25"/>
      <c r="M221" s="25"/>
      <c r="N221" s="25"/>
      <c r="O221" s="33">
        <f t="shared" si="7"/>
        <v>0</v>
      </c>
      <c r="P221" s="25"/>
      <c r="Q221" s="25">
        <v>0</v>
      </c>
      <c r="R221" s="25"/>
      <c r="S221" s="25"/>
      <c r="T221" s="25"/>
      <c r="U221" s="25"/>
      <c r="V221" s="39">
        <v>168</v>
      </c>
      <c r="W221" s="25"/>
      <c r="X221" s="33">
        <f t="shared" si="6"/>
        <v>168</v>
      </c>
      <c r="Y221" s="39">
        <v>124920</v>
      </c>
      <c r="Z221" s="25">
        <v>20986560</v>
      </c>
      <c r="AA221" s="45"/>
      <c r="AB221" s="45"/>
      <c r="AC221" s="45"/>
      <c r="AD221" s="45"/>
      <c r="AE221" s="45"/>
    </row>
    <row r="222" spans="1:31" s="12" customFormat="1" ht="12">
      <c r="A222" s="27">
        <v>45603</v>
      </c>
      <c r="B222" s="53" t="s">
        <v>58</v>
      </c>
      <c r="C222" s="37" t="s">
        <v>82</v>
      </c>
      <c r="D222" s="34" t="s">
        <v>186</v>
      </c>
      <c r="E222" s="34" t="e">
        <f>IF(B222="","",VLOOKUP($B222,#REF!,4,FALSE))</f>
        <v>#REF!</v>
      </c>
      <c r="F222" s="34" t="e">
        <f>IF(E222="","",VLOOKUP($B222,#REF!,5,FALSE))</f>
        <v>#REF!</v>
      </c>
      <c r="G222" s="34" t="e">
        <f>IF(F222="","",VLOOKUP($B222,#REF!,6,FALSE))</f>
        <v>#REF!</v>
      </c>
      <c r="H222" s="34" t="e">
        <f>IF(G222="","",VLOOKUP($B222,#REF!,7,FALSE))</f>
        <v>#REF!</v>
      </c>
      <c r="I222" s="25"/>
      <c r="J222" s="25"/>
      <c r="K222" s="25"/>
      <c r="L222" s="25"/>
      <c r="M222" s="25"/>
      <c r="N222" s="25"/>
      <c r="O222" s="33">
        <f t="shared" si="7"/>
        <v>0</v>
      </c>
      <c r="P222" s="25"/>
      <c r="Q222" s="25">
        <v>0</v>
      </c>
      <c r="R222" s="25"/>
      <c r="S222" s="25"/>
      <c r="T222" s="25"/>
      <c r="U222" s="25"/>
      <c r="V222" s="39">
        <v>36</v>
      </c>
      <c r="W222" s="25"/>
      <c r="X222" s="33">
        <f t="shared" si="6"/>
        <v>36</v>
      </c>
      <c r="Y222" s="39">
        <v>170880</v>
      </c>
      <c r="Z222" s="25">
        <v>6151680</v>
      </c>
      <c r="AA222" s="45"/>
      <c r="AB222" s="45"/>
      <c r="AC222" s="45"/>
      <c r="AD222" s="45"/>
      <c r="AE222" s="45"/>
    </row>
    <row r="223" spans="1:31" s="12" customFormat="1" ht="12">
      <c r="A223" s="27">
        <v>45603</v>
      </c>
      <c r="B223" s="47" t="s">
        <v>160</v>
      </c>
      <c r="C223" s="37" t="s">
        <v>82</v>
      </c>
      <c r="D223" s="34" t="s">
        <v>186</v>
      </c>
      <c r="E223" s="34" t="e">
        <f>IF(B223="","",VLOOKUP($B223,#REF!,4,FALSE))</f>
        <v>#REF!</v>
      </c>
      <c r="F223" s="34" t="e">
        <f>IF(E223="","",VLOOKUP($B223,#REF!,5,FALSE))</f>
        <v>#REF!</v>
      </c>
      <c r="G223" s="34" t="e">
        <f>IF(F223="","",VLOOKUP($B223,#REF!,6,FALSE))</f>
        <v>#REF!</v>
      </c>
      <c r="H223" s="34" t="e">
        <f>IF(G223="","",VLOOKUP($B223,#REF!,7,FALSE))</f>
        <v>#REF!</v>
      </c>
      <c r="I223" s="25"/>
      <c r="J223" s="25"/>
      <c r="K223" s="25"/>
      <c r="L223" s="25"/>
      <c r="M223" s="25"/>
      <c r="N223" s="25"/>
      <c r="O223" s="33">
        <f t="shared" si="7"/>
        <v>0</v>
      </c>
      <c r="P223" s="25"/>
      <c r="Q223" s="25">
        <v>0</v>
      </c>
      <c r="R223" s="25"/>
      <c r="S223" s="25"/>
      <c r="T223" s="25"/>
      <c r="U223" s="25"/>
      <c r="V223" s="39">
        <v>144</v>
      </c>
      <c r="W223" s="25"/>
      <c r="X223" s="33">
        <f t="shared" si="6"/>
        <v>144</v>
      </c>
      <c r="Y223" s="39">
        <v>100300</v>
      </c>
      <c r="Z223" s="25">
        <v>14443200</v>
      </c>
      <c r="AA223" s="45"/>
      <c r="AB223" s="45"/>
      <c r="AC223" s="45"/>
      <c r="AD223" s="45"/>
      <c r="AE223" s="45"/>
    </row>
    <row r="224" spans="1:31" s="12" customFormat="1" ht="12">
      <c r="A224" s="27">
        <v>45603</v>
      </c>
      <c r="B224" s="53" t="s">
        <v>211</v>
      </c>
      <c r="C224" s="37" t="s">
        <v>82</v>
      </c>
      <c r="D224" s="34" t="s">
        <v>186</v>
      </c>
      <c r="E224" s="34" t="e">
        <f>IF(B224="","",VLOOKUP($B224,#REF!,4,FALSE))</f>
        <v>#REF!</v>
      </c>
      <c r="F224" s="34" t="e">
        <f>IF(E224="","",VLOOKUP($B224,#REF!,5,FALSE))</f>
        <v>#REF!</v>
      </c>
      <c r="G224" s="34" t="e">
        <f>IF(F224="","",VLOOKUP($B224,#REF!,6,FALSE))</f>
        <v>#REF!</v>
      </c>
      <c r="H224" s="34" t="e">
        <f>IF(G224="","",VLOOKUP($B224,#REF!,7,FALSE))</f>
        <v>#REF!</v>
      </c>
      <c r="I224" s="25"/>
      <c r="J224" s="25"/>
      <c r="K224" s="25"/>
      <c r="L224" s="25"/>
      <c r="M224" s="25"/>
      <c r="N224" s="25"/>
      <c r="O224" s="33">
        <f t="shared" si="7"/>
        <v>0</v>
      </c>
      <c r="P224" s="25"/>
      <c r="Q224" s="25">
        <v>0</v>
      </c>
      <c r="R224" s="25"/>
      <c r="S224" s="25"/>
      <c r="T224" s="25"/>
      <c r="U224" s="25"/>
      <c r="V224" s="39">
        <v>24</v>
      </c>
      <c r="W224" s="25"/>
      <c r="X224" s="33">
        <f t="shared" si="6"/>
        <v>24</v>
      </c>
      <c r="Y224" s="39">
        <v>46020</v>
      </c>
      <c r="Z224" s="25">
        <v>1104480</v>
      </c>
      <c r="AA224" s="45"/>
      <c r="AB224" s="45"/>
      <c r="AC224" s="45"/>
      <c r="AD224" s="45"/>
      <c r="AE224" s="45"/>
    </row>
    <row r="225" spans="1:31" s="12" customFormat="1" ht="12">
      <c r="A225" s="27">
        <v>45603</v>
      </c>
      <c r="B225" s="53" t="s">
        <v>211</v>
      </c>
      <c r="C225" s="37" t="s">
        <v>82</v>
      </c>
      <c r="D225" s="34" t="s">
        <v>186</v>
      </c>
      <c r="E225" s="34" t="e">
        <f>IF(B225="","",VLOOKUP($B225,#REF!,4,FALSE))</f>
        <v>#REF!</v>
      </c>
      <c r="F225" s="34" t="e">
        <f>IF(E225="","",VLOOKUP($B225,#REF!,5,FALSE))</f>
        <v>#REF!</v>
      </c>
      <c r="G225" s="34" t="e">
        <f>IF(F225="","",VLOOKUP($B225,#REF!,6,FALSE))</f>
        <v>#REF!</v>
      </c>
      <c r="H225" s="34" t="e">
        <f>IF(G225="","",VLOOKUP($B225,#REF!,7,FALSE))</f>
        <v>#REF!</v>
      </c>
      <c r="I225" s="25"/>
      <c r="J225" s="25"/>
      <c r="K225" s="25"/>
      <c r="L225" s="25"/>
      <c r="M225" s="25"/>
      <c r="N225" s="25"/>
      <c r="O225" s="33">
        <f t="shared" si="7"/>
        <v>0</v>
      </c>
      <c r="P225" s="25"/>
      <c r="Q225" s="25">
        <v>0</v>
      </c>
      <c r="R225" s="25"/>
      <c r="S225" s="25"/>
      <c r="T225" s="25"/>
      <c r="U225" s="25"/>
      <c r="V225" s="39">
        <v>180</v>
      </c>
      <c r="W225" s="25"/>
      <c r="X225" s="33">
        <f t="shared" si="6"/>
        <v>180</v>
      </c>
      <c r="Y225" s="39">
        <v>46020</v>
      </c>
      <c r="Z225" s="25">
        <v>8283600</v>
      </c>
      <c r="AA225" s="45"/>
      <c r="AB225" s="45"/>
      <c r="AC225" s="45"/>
      <c r="AD225" s="45"/>
      <c r="AE225" s="45"/>
    </row>
    <row r="226" spans="1:31" s="12" customFormat="1" ht="12">
      <c r="A226" s="27">
        <v>45603</v>
      </c>
      <c r="B226" s="47" t="s">
        <v>211</v>
      </c>
      <c r="C226" s="37" t="s">
        <v>82</v>
      </c>
      <c r="D226" s="34" t="s">
        <v>186</v>
      </c>
      <c r="E226" s="34" t="e">
        <f>IF(B226="","",VLOOKUP($B226,#REF!,4,FALSE))</f>
        <v>#REF!</v>
      </c>
      <c r="F226" s="34" t="e">
        <f>IF(E226="","",VLOOKUP($B226,#REF!,5,FALSE))</f>
        <v>#REF!</v>
      </c>
      <c r="G226" s="34" t="e">
        <f>IF(F226="","",VLOOKUP($B226,#REF!,6,FALSE))</f>
        <v>#REF!</v>
      </c>
      <c r="H226" s="34" t="e">
        <f>IF(G226="","",VLOOKUP($B226,#REF!,7,FALSE))</f>
        <v>#REF!</v>
      </c>
      <c r="I226" s="25"/>
      <c r="J226" s="25"/>
      <c r="K226" s="25"/>
      <c r="L226" s="25"/>
      <c r="M226" s="25"/>
      <c r="N226" s="25"/>
      <c r="O226" s="33">
        <f t="shared" si="7"/>
        <v>0</v>
      </c>
      <c r="P226" s="25"/>
      <c r="Q226" s="25">
        <v>0</v>
      </c>
      <c r="R226" s="25"/>
      <c r="S226" s="25"/>
      <c r="T226" s="25"/>
      <c r="U226" s="25"/>
      <c r="V226" s="39">
        <v>192</v>
      </c>
      <c r="W226" s="25"/>
      <c r="X226" s="33">
        <f t="shared" si="6"/>
        <v>192</v>
      </c>
      <c r="Y226" s="39">
        <v>46020</v>
      </c>
      <c r="Z226" s="25">
        <v>8835840</v>
      </c>
      <c r="AA226" s="45"/>
      <c r="AB226" s="45"/>
      <c r="AC226" s="45"/>
      <c r="AD226" s="45"/>
      <c r="AE226" s="45"/>
    </row>
    <row r="227" spans="1:31" s="12" customFormat="1" ht="12">
      <c r="A227" s="27">
        <v>45603</v>
      </c>
      <c r="B227" s="47" t="s">
        <v>211</v>
      </c>
      <c r="C227" s="37" t="s">
        <v>82</v>
      </c>
      <c r="D227" s="34" t="s">
        <v>186</v>
      </c>
      <c r="E227" s="34" t="e">
        <f>IF(B227="","",VLOOKUP($B227,#REF!,4,FALSE))</f>
        <v>#REF!</v>
      </c>
      <c r="F227" s="34" t="e">
        <f>IF(E227="","",VLOOKUP($B227,#REF!,5,FALSE))</f>
        <v>#REF!</v>
      </c>
      <c r="G227" s="34" t="e">
        <f>IF(F227="","",VLOOKUP($B227,#REF!,6,FALSE))</f>
        <v>#REF!</v>
      </c>
      <c r="H227" s="34" t="e">
        <f>IF(G227="","",VLOOKUP($B227,#REF!,7,FALSE))</f>
        <v>#REF!</v>
      </c>
      <c r="I227" s="25"/>
      <c r="J227" s="25"/>
      <c r="K227" s="25"/>
      <c r="L227" s="25"/>
      <c r="M227" s="25"/>
      <c r="N227" s="25"/>
      <c r="O227" s="33">
        <f t="shared" si="7"/>
        <v>0</v>
      </c>
      <c r="P227" s="25"/>
      <c r="Q227" s="25">
        <v>0</v>
      </c>
      <c r="R227" s="25"/>
      <c r="S227" s="25"/>
      <c r="T227" s="25"/>
      <c r="U227" s="25"/>
      <c r="V227" s="39">
        <v>180</v>
      </c>
      <c r="W227" s="25"/>
      <c r="X227" s="33">
        <f t="shared" si="6"/>
        <v>180</v>
      </c>
      <c r="Y227" s="39">
        <v>46020</v>
      </c>
      <c r="Z227" s="25">
        <v>8283600</v>
      </c>
      <c r="AA227" s="45"/>
      <c r="AB227" s="45"/>
      <c r="AC227" s="45"/>
      <c r="AD227" s="45"/>
      <c r="AE227" s="45"/>
    </row>
    <row r="228" spans="1:31" s="12" customFormat="1" ht="12">
      <c r="A228" s="27">
        <v>45603</v>
      </c>
      <c r="B228" s="75" t="s">
        <v>47</v>
      </c>
      <c r="C228" s="37" t="s">
        <v>82</v>
      </c>
      <c r="D228" s="34" t="s">
        <v>186</v>
      </c>
      <c r="E228" s="34" t="e">
        <f>IF(B228="","",VLOOKUP($B228,#REF!,4,FALSE))</f>
        <v>#REF!</v>
      </c>
      <c r="F228" s="34" t="e">
        <f>IF(E228="","",VLOOKUP($B228,#REF!,5,FALSE))</f>
        <v>#REF!</v>
      </c>
      <c r="G228" s="34" t="e">
        <f>IF(F228="","",VLOOKUP($B228,#REF!,6,FALSE))</f>
        <v>#REF!</v>
      </c>
      <c r="H228" s="34" t="e">
        <f>IF(G228="","",VLOOKUP($B228,#REF!,7,FALSE))</f>
        <v>#REF!</v>
      </c>
      <c r="I228" s="25"/>
      <c r="J228" s="25"/>
      <c r="K228" s="25"/>
      <c r="L228" s="25"/>
      <c r="M228" s="25"/>
      <c r="N228" s="25"/>
      <c r="O228" s="33">
        <f t="shared" si="7"/>
        <v>0</v>
      </c>
      <c r="P228" s="25"/>
      <c r="Q228" s="25">
        <v>0</v>
      </c>
      <c r="R228" s="25"/>
      <c r="S228" s="25"/>
      <c r="T228" s="25"/>
      <c r="U228" s="25"/>
      <c r="V228" s="39">
        <v>56</v>
      </c>
      <c r="W228" s="25"/>
      <c r="X228" s="33">
        <f t="shared" si="6"/>
        <v>56</v>
      </c>
      <c r="Y228" s="39">
        <v>18860</v>
      </c>
      <c r="Z228" s="25">
        <v>1056160</v>
      </c>
      <c r="AA228" s="45"/>
      <c r="AB228" s="45"/>
      <c r="AC228" s="45"/>
      <c r="AD228" s="45"/>
      <c r="AE228" s="45"/>
    </row>
    <row r="229" spans="1:31" s="12" customFormat="1" ht="12">
      <c r="A229" s="27">
        <v>45603</v>
      </c>
      <c r="B229" s="53" t="s">
        <v>21</v>
      </c>
      <c r="C229" s="37" t="s">
        <v>82</v>
      </c>
      <c r="D229" s="34" t="s">
        <v>186</v>
      </c>
      <c r="E229" s="34" t="e">
        <f>IF(B229="","",VLOOKUP($B229,#REF!,4,FALSE))</f>
        <v>#REF!</v>
      </c>
      <c r="F229" s="34" t="e">
        <f>IF(E229="","",VLOOKUP($B229,#REF!,5,FALSE))</f>
        <v>#REF!</v>
      </c>
      <c r="G229" s="34" t="e">
        <f>IF(F229="","",VLOOKUP($B229,#REF!,6,FALSE))</f>
        <v>#REF!</v>
      </c>
      <c r="H229" s="34" t="e">
        <f>IF(G229="","",VLOOKUP($B229,#REF!,7,FALSE))</f>
        <v>#REF!</v>
      </c>
      <c r="I229" s="25"/>
      <c r="J229" s="25"/>
      <c r="K229" s="25"/>
      <c r="L229" s="25"/>
      <c r="M229" s="25"/>
      <c r="N229" s="25"/>
      <c r="O229" s="33">
        <f t="shared" si="7"/>
        <v>0</v>
      </c>
      <c r="P229" s="25"/>
      <c r="Q229" s="25">
        <v>0</v>
      </c>
      <c r="R229" s="25"/>
      <c r="S229" s="25"/>
      <c r="T229" s="25"/>
      <c r="U229" s="25"/>
      <c r="V229" s="39">
        <v>12</v>
      </c>
      <c r="W229" s="25"/>
      <c r="X229" s="33">
        <f t="shared" si="6"/>
        <v>12</v>
      </c>
      <c r="Y229" s="39">
        <v>80400</v>
      </c>
      <c r="Z229" s="25">
        <v>964800</v>
      </c>
      <c r="AA229" s="45"/>
      <c r="AB229" s="45"/>
      <c r="AC229" s="45"/>
      <c r="AD229" s="45"/>
      <c r="AE229" s="45"/>
    </row>
    <row r="230" spans="1:31" s="12" customFormat="1" ht="12">
      <c r="A230" s="27">
        <v>45603</v>
      </c>
      <c r="B230" s="75" t="s">
        <v>58</v>
      </c>
      <c r="C230" s="37" t="s">
        <v>82</v>
      </c>
      <c r="D230" s="34" t="s">
        <v>186</v>
      </c>
      <c r="E230" s="34" t="e">
        <f>IF(B230="","",VLOOKUP($B230,#REF!,4,FALSE))</f>
        <v>#REF!</v>
      </c>
      <c r="F230" s="34" t="e">
        <f>IF(E230="","",VLOOKUP($B230,#REF!,5,FALSE))</f>
        <v>#REF!</v>
      </c>
      <c r="G230" s="34" t="e">
        <f>IF(F230="","",VLOOKUP($B230,#REF!,6,FALSE))</f>
        <v>#REF!</v>
      </c>
      <c r="H230" s="34" t="e">
        <f>IF(G230="","",VLOOKUP($B230,#REF!,7,FALSE))</f>
        <v>#REF!</v>
      </c>
      <c r="I230" s="25"/>
      <c r="J230" s="25"/>
      <c r="K230" s="25"/>
      <c r="L230" s="25"/>
      <c r="M230" s="25"/>
      <c r="N230" s="25"/>
      <c r="O230" s="33">
        <f t="shared" si="7"/>
        <v>0</v>
      </c>
      <c r="P230" s="25"/>
      <c r="Q230" s="25">
        <v>0</v>
      </c>
      <c r="R230" s="25"/>
      <c r="S230" s="25"/>
      <c r="T230" s="25"/>
      <c r="U230" s="25"/>
      <c r="V230" s="39">
        <v>12</v>
      </c>
      <c r="W230" s="25"/>
      <c r="X230" s="33">
        <f t="shared" si="6"/>
        <v>12</v>
      </c>
      <c r="Y230" s="39">
        <v>170560</v>
      </c>
      <c r="Z230" s="25">
        <v>2046720</v>
      </c>
      <c r="AA230" s="45"/>
      <c r="AB230" s="45"/>
      <c r="AC230" s="45"/>
      <c r="AD230" s="45"/>
      <c r="AE230" s="45"/>
    </row>
    <row r="231" spans="1:31" s="12" customFormat="1" ht="12">
      <c r="A231" s="27">
        <v>45603</v>
      </c>
      <c r="B231" s="53" t="s">
        <v>219</v>
      </c>
      <c r="C231" s="37" t="s">
        <v>224</v>
      </c>
      <c r="D231" s="34" t="s">
        <v>212</v>
      </c>
      <c r="E231" s="34" t="e">
        <f>IF(B231="","",VLOOKUP($B231,#REF!,4,FALSE))</f>
        <v>#REF!</v>
      </c>
      <c r="F231" s="34" t="e">
        <f>IF(E231="","",VLOOKUP($B231,#REF!,5,FALSE))</f>
        <v>#REF!</v>
      </c>
      <c r="G231" s="34" t="e">
        <f>IF(F231="","",VLOOKUP($B231,#REF!,6,FALSE))</f>
        <v>#REF!</v>
      </c>
      <c r="H231" s="34" t="e">
        <f>IF(G231="","",VLOOKUP($B231,#REF!,7,FALSE))</f>
        <v>#REF!</v>
      </c>
      <c r="I231" s="25"/>
      <c r="J231" s="25"/>
      <c r="K231" s="25"/>
      <c r="L231" s="25"/>
      <c r="M231" s="25"/>
      <c r="N231" s="25"/>
      <c r="O231" s="33">
        <f t="shared" si="7"/>
        <v>0</v>
      </c>
      <c r="P231" s="25"/>
      <c r="Q231" s="25">
        <v>0</v>
      </c>
      <c r="R231" s="25"/>
      <c r="S231" s="25"/>
      <c r="T231" s="25"/>
      <c r="U231" s="25"/>
      <c r="V231" s="39">
        <v>12</v>
      </c>
      <c r="W231" s="25"/>
      <c r="X231" s="33">
        <f t="shared" si="6"/>
        <v>12</v>
      </c>
      <c r="Y231" s="39">
        <v>227240</v>
      </c>
      <c r="Z231" s="25">
        <v>2726880</v>
      </c>
      <c r="AA231" s="45"/>
      <c r="AB231" s="45"/>
      <c r="AC231" s="45"/>
      <c r="AD231" s="45"/>
      <c r="AE231" s="45"/>
    </row>
    <row r="232" spans="1:31" s="12" customFormat="1" ht="12">
      <c r="A232" s="27">
        <v>45603</v>
      </c>
      <c r="B232" s="53" t="s">
        <v>231</v>
      </c>
      <c r="C232" s="37" t="s">
        <v>141</v>
      </c>
      <c r="D232" s="34" t="s">
        <v>173</v>
      </c>
      <c r="E232" s="34" t="e">
        <f>IF(B232="","",VLOOKUP($B232,#REF!,4,FALSE))</f>
        <v>#REF!</v>
      </c>
      <c r="F232" s="34" t="e">
        <f>IF(E232="","",VLOOKUP($B232,#REF!,5,FALSE))</f>
        <v>#REF!</v>
      </c>
      <c r="G232" s="34" t="e">
        <f>IF(F232="","",VLOOKUP($B232,#REF!,6,FALSE))</f>
        <v>#REF!</v>
      </c>
      <c r="H232" s="34" t="e">
        <f>IF(G232="","",VLOOKUP($B232,#REF!,7,FALSE))</f>
        <v>#REF!</v>
      </c>
      <c r="I232" s="25"/>
      <c r="J232" s="25"/>
      <c r="K232" s="25"/>
      <c r="L232" s="25"/>
      <c r="M232" s="25"/>
      <c r="N232" s="25"/>
      <c r="O232" s="33">
        <f t="shared" si="7"/>
        <v>0</v>
      </c>
      <c r="P232" s="25"/>
      <c r="Q232" s="25">
        <v>0</v>
      </c>
      <c r="R232" s="25"/>
      <c r="S232" s="25"/>
      <c r="T232" s="25"/>
      <c r="U232" s="25">
        <v>672</v>
      </c>
      <c r="V232" s="39"/>
      <c r="W232" s="25"/>
      <c r="X232" s="33">
        <f t="shared" si="6"/>
        <v>672</v>
      </c>
      <c r="Y232" s="39">
        <f>Z232/X232</f>
        <v>310831.40029761905</v>
      </c>
      <c r="Z232" s="39">
        <v>208878701</v>
      </c>
      <c r="AA232" s="45" t="s">
        <v>154</v>
      </c>
      <c r="AB232" s="45" t="s">
        <v>141</v>
      </c>
      <c r="AC232" s="45" t="s">
        <v>173</v>
      </c>
      <c r="AD232" s="45"/>
      <c r="AE232" s="45"/>
    </row>
    <row r="233" spans="1:31" s="12" customFormat="1" ht="12">
      <c r="A233" s="27">
        <v>45603</v>
      </c>
      <c r="B233" s="53" t="s">
        <v>229</v>
      </c>
      <c r="C233" s="37" t="s">
        <v>117</v>
      </c>
      <c r="D233" s="34" t="s">
        <v>225</v>
      </c>
      <c r="E233" s="34" t="e">
        <f>IF(B233="","",VLOOKUP($B233,#REF!,4,FALSE))</f>
        <v>#REF!</v>
      </c>
      <c r="F233" s="34" t="e">
        <f>IF(E233="","",VLOOKUP($B233,#REF!,5,FALSE))</f>
        <v>#REF!</v>
      </c>
      <c r="G233" s="34" t="e">
        <f>IF(F233="","",VLOOKUP($B233,#REF!,6,FALSE))</f>
        <v>#REF!</v>
      </c>
      <c r="H233" s="34" t="e">
        <f>IF(G233="","",VLOOKUP($B233,#REF!,7,FALSE))</f>
        <v>#REF!</v>
      </c>
      <c r="I233" s="25"/>
      <c r="J233" s="25"/>
      <c r="K233" s="25"/>
      <c r="L233" s="25"/>
      <c r="M233" s="25"/>
      <c r="N233" s="25"/>
      <c r="O233" s="33">
        <f t="shared" si="7"/>
        <v>0</v>
      </c>
      <c r="P233" s="25"/>
      <c r="Q233" s="25">
        <v>0</v>
      </c>
      <c r="R233" s="25"/>
      <c r="S233" s="25"/>
      <c r="T233" s="25"/>
      <c r="U233" s="25">
        <v>8064</v>
      </c>
      <c r="V233" s="39"/>
      <c r="W233" s="25"/>
      <c r="X233" s="33">
        <f t="shared" si="6"/>
        <v>8064</v>
      </c>
      <c r="Y233" s="39">
        <v>9800</v>
      </c>
      <c r="Z233" s="25">
        <v>79027200</v>
      </c>
      <c r="AA233" s="45" t="s">
        <v>117</v>
      </c>
      <c r="AB233" s="45" t="s">
        <v>263</v>
      </c>
      <c r="AC233" s="45"/>
      <c r="AD233" s="45"/>
      <c r="AE233" s="45"/>
    </row>
    <row r="234" spans="1:31" s="12" customFormat="1" ht="12">
      <c r="A234" s="27">
        <v>45603</v>
      </c>
      <c r="B234" s="28" t="s">
        <v>45</v>
      </c>
      <c r="C234" s="37" t="s">
        <v>117</v>
      </c>
      <c r="D234" s="34" t="s">
        <v>225</v>
      </c>
      <c r="E234" s="34" t="e">
        <f>IF(B234="","",VLOOKUP($B234,#REF!,4,FALSE))</f>
        <v>#REF!</v>
      </c>
      <c r="F234" s="34" t="e">
        <f>IF(E234="","",VLOOKUP($B234,#REF!,5,FALSE))</f>
        <v>#REF!</v>
      </c>
      <c r="G234" s="34" t="e">
        <f>IF(F234="","",VLOOKUP($B234,#REF!,6,FALSE))</f>
        <v>#REF!</v>
      </c>
      <c r="H234" s="34" t="e">
        <f>IF(G234="","",VLOOKUP($B234,#REF!,7,FALSE))</f>
        <v>#REF!</v>
      </c>
      <c r="I234" s="25"/>
      <c r="J234" s="25">
        <v>504</v>
      </c>
      <c r="K234" s="25"/>
      <c r="L234" s="25"/>
      <c r="M234" s="25"/>
      <c r="N234" s="25"/>
      <c r="O234" s="33">
        <f t="shared" si="7"/>
        <v>504</v>
      </c>
      <c r="P234" s="25">
        <v>78000</v>
      </c>
      <c r="Q234" s="25">
        <v>39312000</v>
      </c>
      <c r="R234" s="25"/>
      <c r="S234" s="25"/>
      <c r="T234" s="25">
        <v>0</v>
      </c>
      <c r="U234" s="25"/>
      <c r="V234" s="39"/>
      <c r="W234" s="25"/>
      <c r="X234" s="33">
        <f t="shared" si="6"/>
        <v>0</v>
      </c>
      <c r="Y234" s="39"/>
      <c r="Z234" s="25">
        <v>0</v>
      </c>
      <c r="AA234" s="45"/>
      <c r="AB234" s="45"/>
      <c r="AC234" s="45"/>
      <c r="AD234" s="45"/>
      <c r="AE234" s="45"/>
    </row>
    <row r="235" spans="1:31" s="12" customFormat="1" ht="12">
      <c r="A235" s="27">
        <v>45603</v>
      </c>
      <c r="B235" s="53" t="s">
        <v>45</v>
      </c>
      <c r="C235" s="37" t="s">
        <v>141</v>
      </c>
      <c r="D235" s="34" t="s">
        <v>173</v>
      </c>
      <c r="E235" s="34" t="e">
        <f>IF(B235="","",VLOOKUP($B235,#REF!,4,FALSE))</f>
        <v>#REF!</v>
      </c>
      <c r="F235" s="34" t="e">
        <f>IF(E235="","",VLOOKUP($B235,#REF!,5,FALSE))</f>
        <v>#REF!</v>
      </c>
      <c r="G235" s="34" t="e">
        <f>IF(F235="","",VLOOKUP($B235,#REF!,6,FALSE))</f>
        <v>#REF!</v>
      </c>
      <c r="H235" s="34" t="e">
        <f>IF(G235="","",VLOOKUP($B235,#REF!,7,FALSE))</f>
        <v>#REF!</v>
      </c>
      <c r="I235" s="25"/>
      <c r="J235" s="25"/>
      <c r="K235" s="25"/>
      <c r="L235" s="25"/>
      <c r="M235" s="25"/>
      <c r="N235" s="25"/>
      <c r="O235" s="33">
        <f t="shared" si="7"/>
        <v>0</v>
      </c>
      <c r="P235" s="25"/>
      <c r="Q235" s="25">
        <v>0</v>
      </c>
      <c r="R235" s="25"/>
      <c r="S235" s="25"/>
      <c r="T235" s="25">
        <v>504</v>
      </c>
      <c r="U235" s="25"/>
      <c r="V235" s="39"/>
      <c r="W235" s="25"/>
      <c r="X235" s="33">
        <f t="shared" si="6"/>
        <v>504</v>
      </c>
      <c r="Y235" s="39">
        <f>Z235/X235</f>
        <v>130379.74007936507</v>
      </c>
      <c r="Z235" s="39">
        <v>65711389</v>
      </c>
      <c r="AA235" s="45" t="s">
        <v>154</v>
      </c>
      <c r="AB235" s="45" t="s">
        <v>141</v>
      </c>
      <c r="AC235" s="45" t="s">
        <v>173</v>
      </c>
      <c r="AD235" s="45"/>
      <c r="AE235" s="45"/>
    </row>
    <row r="236" spans="1:31" s="12" customFormat="1" ht="12">
      <c r="A236" s="27">
        <v>45603</v>
      </c>
      <c r="B236" s="53" t="s">
        <v>15</v>
      </c>
      <c r="C236" s="37" t="s">
        <v>83</v>
      </c>
      <c r="D236" s="34" t="s">
        <v>185</v>
      </c>
      <c r="E236" s="34" t="e">
        <f>IF(B236="","",VLOOKUP($B236,#REF!,4,FALSE))</f>
        <v>#REF!</v>
      </c>
      <c r="F236" s="34" t="e">
        <f>IF(E236="","",VLOOKUP($B236,#REF!,5,FALSE))</f>
        <v>#REF!</v>
      </c>
      <c r="G236" s="34" t="e">
        <f>IF(F236="","",VLOOKUP($B236,#REF!,6,FALSE))</f>
        <v>#REF!</v>
      </c>
      <c r="H236" s="34" t="e">
        <f>IF(G236="","",VLOOKUP($B236,#REF!,7,FALSE))</f>
        <v>#REF!</v>
      </c>
      <c r="I236" s="25"/>
      <c r="J236" s="25"/>
      <c r="K236" s="25"/>
      <c r="L236" s="25"/>
      <c r="M236" s="25"/>
      <c r="N236" s="25"/>
      <c r="O236" s="33">
        <f t="shared" si="7"/>
        <v>0</v>
      </c>
      <c r="P236" s="25"/>
      <c r="Q236" s="25">
        <v>0</v>
      </c>
      <c r="R236" s="25"/>
      <c r="S236" s="25"/>
      <c r="T236" s="25">
        <v>2</v>
      </c>
      <c r="U236" s="25"/>
      <c r="V236" s="39"/>
      <c r="W236" s="25"/>
      <c r="X236" s="33">
        <f t="shared" si="6"/>
        <v>2</v>
      </c>
      <c r="Y236" s="39">
        <v>69600</v>
      </c>
      <c r="Z236" s="25">
        <v>139200</v>
      </c>
      <c r="AA236" s="45"/>
      <c r="AB236" s="45"/>
      <c r="AC236" s="45"/>
      <c r="AD236" s="45"/>
      <c r="AE236" s="45"/>
    </row>
    <row r="237" spans="1:31" s="12" customFormat="1" ht="12">
      <c r="A237" s="27">
        <v>45603</v>
      </c>
      <c r="B237" s="53" t="s">
        <v>10</v>
      </c>
      <c r="C237" s="37" t="s">
        <v>83</v>
      </c>
      <c r="D237" s="34" t="s">
        <v>185</v>
      </c>
      <c r="E237" s="34" t="e">
        <f>IF(B237="","",VLOOKUP($B237,#REF!,4,FALSE))</f>
        <v>#REF!</v>
      </c>
      <c r="F237" s="34" t="e">
        <f>IF(E237="","",VLOOKUP($B237,#REF!,5,FALSE))</f>
        <v>#REF!</v>
      </c>
      <c r="G237" s="34" t="e">
        <f>IF(F237="","",VLOOKUP($B237,#REF!,6,FALSE))</f>
        <v>#REF!</v>
      </c>
      <c r="H237" s="34" t="e">
        <f>IF(G237="","",VLOOKUP($B237,#REF!,7,FALSE))</f>
        <v>#REF!</v>
      </c>
      <c r="I237" s="25"/>
      <c r="J237" s="25"/>
      <c r="K237" s="25"/>
      <c r="L237" s="25"/>
      <c r="M237" s="25"/>
      <c r="N237" s="25"/>
      <c r="O237" s="33">
        <f t="shared" si="7"/>
        <v>0</v>
      </c>
      <c r="P237" s="25"/>
      <c r="Q237" s="25">
        <v>0</v>
      </c>
      <c r="R237" s="25"/>
      <c r="S237" s="25"/>
      <c r="T237" s="25">
        <v>1</v>
      </c>
      <c r="U237" s="25"/>
      <c r="V237" s="39"/>
      <c r="W237" s="25"/>
      <c r="X237" s="33">
        <f t="shared" si="6"/>
        <v>1</v>
      </c>
      <c r="Y237" s="39">
        <v>57000</v>
      </c>
      <c r="Z237" s="25">
        <v>57000</v>
      </c>
      <c r="AA237" s="45"/>
      <c r="AB237" s="45"/>
      <c r="AC237" s="45"/>
      <c r="AD237" s="45"/>
      <c r="AE237" s="45"/>
    </row>
    <row r="238" spans="1:31" s="12" customFormat="1" ht="12">
      <c r="A238" s="27">
        <v>45603</v>
      </c>
      <c r="B238" s="53" t="s">
        <v>25</v>
      </c>
      <c r="C238" s="37" t="s">
        <v>83</v>
      </c>
      <c r="D238" s="34" t="s">
        <v>185</v>
      </c>
      <c r="E238" s="34" t="e">
        <f>IF(B238="","",VLOOKUP($B238,#REF!,4,FALSE))</f>
        <v>#REF!</v>
      </c>
      <c r="F238" s="34" t="e">
        <f>IF(E238="","",VLOOKUP($B238,#REF!,5,FALSE))</f>
        <v>#REF!</v>
      </c>
      <c r="G238" s="34" t="e">
        <f>IF(F238="","",VLOOKUP($B238,#REF!,6,FALSE))</f>
        <v>#REF!</v>
      </c>
      <c r="H238" s="34" t="e">
        <f>IF(G238="","",VLOOKUP($B238,#REF!,7,FALSE))</f>
        <v>#REF!</v>
      </c>
      <c r="I238" s="25"/>
      <c r="J238" s="25"/>
      <c r="K238" s="25"/>
      <c r="L238" s="25"/>
      <c r="M238" s="25"/>
      <c r="N238" s="25"/>
      <c r="O238" s="33">
        <f t="shared" si="7"/>
        <v>0</v>
      </c>
      <c r="P238" s="25"/>
      <c r="Q238" s="25">
        <v>0</v>
      </c>
      <c r="R238" s="25"/>
      <c r="S238" s="25"/>
      <c r="T238" s="25">
        <v>3</v>
      </c>
      <c r="U238" s="25"/>
      <c r="V238" s="39"/>
      <c r="W238" s="25"/>
      <c r="X238" s="33">
        <f t="shared" si="6"/>
        <v>3</v>
      </c>
      <c r="Y238" s="39">
        <v>57000</v>
      </c>
      <c r="Z238" s="25">
        <v>171000</v>
      </c>
      <c r="AA238" s="45"/>
      <c r="AB238" s="45"/>
      <c r="AC238" s="45"/>
      <c r="AD238" s="45"/>
      <c r="AE238" s="45"/>
    </row>
    <row r="239" spans="1:31" s="12" customFormat="1" ht="12">
      <c r="A239" s="27">
        <v>45603</v>
      </c>
      <c r="B239" s="73" t="s">
        <v>38</v>
      </c>
      <c r="C239" s="37" t="s">
        <v>83</v>
      </c>
      <c r="D239" s="34" t="s">
        <v>185</v>
      </c>
      <c r="E239" s="34" t="e">
        <f>IF(B239="","",VLOOKUP($B239,#REF!,4,FALSE))</f>
        <v>#REF!</v>
      </c>
      <c r="F239" s="34" t="e">
        <f>IF(E239="","",VLOOKUP($B239,#REF!,5,FALSE))</f>
        <v>#REF!</v>
      </c>
      <c r="G239" s="34" t="e">
        <f>IF(F239="","",VLOOKUP($B239,#REF!,6,FALSE))</f>
        <v>#REF!</v>
      </c>
      <c r="H239" s="34" t="e">
        <f>IF(G239="","",VLOOKUP($B239,#REF!,7,FALSE))</f>
        <v>#REF!</v>
      </c>
      <c r="I239" s="25"/>
      <c r="J239" s="25"/>
      <c r="K239" s="25"/>
      <c r="L239" s="25"/>
      <c r="M239" s="25"/>
      <c r="N239" s="25"/>
      <c r="O239" s="33">
        <f t="shared" si="7"/>
        <v>0</v>
      </c>
      <c r="P239" s="25"/>
      <c r="Q239" s="25">
        <v>0</v>
      </c>
      <c r="R239" s="25"/>
      <c r="S239" s="25"/>
      <c r="T239" s="25">
        <v>8</v>
      </c>
      <c r="U239" s="25"/>
      <c r="V239" s="39"/>
      <c r="W239" s="25"/>
      <c r="X239" s="33">
        <f t="shared" si="6"/>
        <v>8</v>
      </c>
      <c r="Y239" s="39">
        <v>54600</v>
      </c>
      <c r="Z239" s="25">
        <v>436800</v>
      </c>
      <c r="AA239" s="45"/>
      <c r="AB239" s="45"/>
      <c r="AC239" s="45"/>
      <c r="AD239" s="45"/>
      <c r="AE239" s="45"/>
    </row>
    <row r="240" spans="1:31" s="12" customFormat="1" ht="12">
      <c r="A240" s="27">
        <v>45603</v>
      </c>
      <c r="B240" s="53" t="s">
        <v>23</v>
      </c>
      <c r="C240" s="37" t="s">
        <v>83</v>
      </c>
      <c r="D240" s="34" t="s">
        <v>185</v>
      </c>
      <c r="E240" s="34" t="e">
        <f>IF(B240="","",VLOOKUP($B240,#REF!,4,FALSE))</f>
        <v>#REF!</v>
      </c>
      <c r="F240" s="34" t="e">
        <f>IF(E240="","",VLOOKUP($B240,#REF!,5,FALSE))</f>
        <v>#REF!</v>
      </c>
      <c r="G240" s="34" t="e">
        <f>IF(F240="","",VLOOKUP($B240,#REF!,6,FALSE))</f>
        <v>#REF!</v>
      </c>
      <c r="H240" s="34" t="e">
        <f>IF(G240="","",VLOOKUP($B240,#REF!,7,FALSE))</f>
        <v>#REF!</v>
      </c>
      <c r="I240" s="25"/>
      <c r="J240" s="25"/>
      <c r="K240" s="25"/>
      <c r="L240" s="25"/>
      <c r="M240" s="25"/>
      <c r="N240" s="25"/>
      <c r="O240" s="33">
        <f t="shared" si="7"/>
        <v>0</v>
      </c>
      <c r="P240" s="25"/>
      <c r="Q240" s="25">
        <v>0</v>
      </c>
      <c r="R240" s="25"/>
      <c r="S240" s="25"/>
      <c r="T240" s="25">
        <v>24</v>
      </c>
      <c r="U240" s="25"/>
      <c r="V240" s="39"/>
      <c r="W240" s="25"/>
      <c r="X240" s="33">
        <f t="shared" si="6"/>
        <v>24</v>
      </c>
      <c r="Y240" s="39">
        <v>46080</v>
      </c>
      <c r="Z240" s="25">
        <v>1105920</v>
      </c>
      <c r="AA240" s="45"/>
      <c r="AB240" s="45"/>
      <c r="AC240" s="45"/>
      <c r="AD240" s="45"/>
      <c r="AE240" s="45"/>
    </row>
    <row r="241" spans="1:31" s="12" customFormat="1" ht="12">
      <c r="A241" s="27">
        <v>45603</v>
      </c>
      <c r="B241" s="28" t="s">
        <v>61</v>
      </c>
      <c r="C241" s="37" t="s">
        <v>83</v>
      </c>
      <c r="D241" s="34" t="s">
        <v>185</v>
      </c>
      <c r="E241" s="34" t="e">
        <f>IF(B241="","",VLOOKUP($B241,#REF!,4,FALSE))</f>
        <v>#REF!</v>
      </c>
      <c r="F241" s="34" t="e">
        <f>IF(E241="","",VLOOKUP($B241,#REF!,5,FALSE))</f>
        <v>#REF!</v>
      </c>
      <c r="G241" s="34" t="e">
        <f>IF(F241="","",VLOOKUP($B241,#REF!,6,FALSE))</f>
        <v>#REF!</v>
      </c>
      <c r="H241" s="34" t="e">
        <f>IF(G241="","",VLOOKUP($B241,#REF!,7,FALSE))</f>
        <v>#REF!</v>
      </c>
      <c r="I241" s="25"/>
      <c r="J241" s="25"/>
      <c r="K241" s="25"/>
      <c r="L241" s="25"/>
      <c r="M241" s="25"/>
      <c r="N241" s="25"/>
      <c r="O241" s="33">
        <f t="shared" si="7"/>
        <v>0</v>
      </c>
      <c r="P241" s="25"/>
      <c r="Q241" s="25">
        <v>0</v>
      </c>
      <c r="R241" s="25"/>
      <c r="S241" s="25"/>
      <c r="T241" s="25">
        <v>16</v>
      </c>
      <c r="U241" s="25"/>
      <c r="V241" s="39"/>
      <c r="W241" s="25"/>
      <c r="X241" s="33">
        <f t="shared" si="6"/>
        <v>16</v>
      </c>
      <c r="Y241" s="39">
        <v>67500</v>
      </c>
      <c r="Z241" s="25">
        <v>1080000</v>
      </c>
      <c r="AA241" s="45"/>
      <c r="AB241" s="45"/>
      <c r="AC241" s="45"/>
      <c r="AD241" s="45"/>
      <c r="AE241" s="45"/>
    </row>
    <row r="242" spans="1:31" s="14" customFormat="1" ht="12">
      <c r="A242" s="27">
        <v>45603</v>
      </c>
      <c r="B242" s="73" t="s">
        <v>26</v>
      </c>
      <c r="C242" s="37" t="s">
        <v>83</v>
      </c>
      <c r="D242" s="34" t="s">
        <v>185</v>
      </c>
      <c r="E242" s="34" t="e">
        <f>IF(B242="","",VLOOKUP($B242,#REF!,4,FALSE))</f>
        <v>#REF!</v>
      </c>
      <c r="F242" s="34" t="e">
        <f>IF(E242="","",VLOOKUP($B242,#REF!,5,FALSE))</f>
        <v>#REF!</v>
      </c>
      <c r="G242" s="34" t="e">
        <f>IF(F242="","",VLOOKUP($B242,#REF!,6,FALSE))</f>
        <v>#REF!</v>
      </c>
      <c r="H242" s="34" t="e">
        <f>IF(G242="","",VLOOKUP($B242,#REF!,7,FALSE))</f>
        <v>#REF!</v>
      </c>
      <c r="I242" s="25"/>
      <c r="J242" s="25"/>
      <c r="K242" s="25"/>
      <c r="L242" s="25"/>
      <c r="M242" s="25"/>
      <c r="N242" s="25"/>
      <c r="O242" s="33">
        <f t="shared" si="7"/>
        <v>0</v>
      </c>
      <c r="P242" s="25"/>
      <c r="Q242" s="25">
        <v>0</v>
      </c>
      <c r="R242" s="25"/>
      <c r="S242" s="25"/>
      <c r="T242" s="25">
        <v>8</v>
      </c>
      <c r="U242" s="25"/>
      <c r="V242" s="39"/>
      <c r="W242" s="25"/>
      <c r="X242" s="33">
        <f t="shared" si="6"/>
        <v>8</v>
      </c>
      <c r="Y242" s="39">
        <v>23200</v>
      </c>
      <c r="Z242" s="25">
        <v>185600</v>
      </c>
      <c r="AA242" s="45"/>
      <c r="AB242" s="45"/>
      <c r="AC242" s="45"/>
      <c r="AD242" s="45"/>
      <c r="AE242" s="45"/>
    </row>
    <row r="243" spans="1:31" s="12" customFormat="1" ht="12">
      <c r="A243" s="27">
        <v>45603</v>
      </c>
      <c r="B243" s="28" t="s">
        <v>61</v>
      </c>
      <c r="C243" s="37" t="s">
        <v>83</v>
      </c>
      <c r="D243" s="34" t="s">
        <v>185</v>
      </c>
      <c r="E243" s="34" t="e">
        <f>IF(B243="","",VLOOKUP($B243,#REF!,4,FALSE))</f>
        <v>#REF!</v>
      </c>
      <c r="F243" s="34" t="e">
        <f>IF(E243="","",VLOOKUP($B243,#REF!,5,FALSE))</f>
        <v>#REF!</v>
      </c>
      <c r="G243" s="34" t="e">
        <f>IF(F243="","",VLOOKUP($B243,#REF!,6,FALSE))</f>
        <v>#REF!</v>
      </c>
      <c r="H243" s="34" t="e">
        <f>IF(G243="","",VLOOKUP($B243,#REF!,7,FALSE))</f>
        <v>#REF!</v>
      </c>
      <c r="I243" s="25"/>
      <c r="J243" s="25"/>
      <c r="K243" s="25"/>
      <c r="L243" s="25"/>
      <c r="M243" s="25"/>
      <c r="N243" s="25"/>
      <c r="O243" s="33">
        <f t="shared" si="7"/>
        <v>0</v>
      </c>
      <c r="P243" s="25"/>
      <c r="Q243" s="25">
        <v>0</v>
      </c>
      <c r="R243" s="25"/>
      <c r="S243" s="25"/>
      <c r="T243" s="25">
        <v>1</v>
      </c>
      <c r="U243" s="25"/>
      <c r="V243" s="39"/>
      <c r="W243" s="25"/>
      <c r="X243" s="33">
        <f t="shared" si="6"/>
        <v>1</v>
      </c>
      <c r="Y243" s="39">
        <v>47500</v>
      </c>
      <c r="Z243" s="25">
        <v>47500</v>
      </c>
      <c r="AA243" s="45"/>
      <c r="AB243" s="45"/>
      <c r="AC243" s="45"/>
      <c r="AD243" s="45"/>
      <c r="AE243" s="45"/>
    </row>
    <row r="244" spans="1:31" s="12" customFormat="1" ht="12">
      <c r="A244" s="27">
        <v>45603</v>
      </c>
      <c r="B244" s="28" t="s">
        <v>60</v>
      </c>
      <c r="C244" s="37" t="s">
        <v>139</v>
      </c>
      <c r="D244" s="34" t="s">
        <v>233</v>
      </c>
      <c r="E244" s="34" t="e">
        <f>IF(B244="","",VLOOKUP($B244,#REF!,4,FALSE))</f>
        <v>#REF!</v>
      </c>
      <c r="F244" s="34" t="e">
        <f>IF(E244="","",VLOOKUP($B244,#REF!,5,FALSE))</f>
        <v>#REF!</v>
      </c>
      <c r="G244" s="34" t="e">
        <f>IF(F244="","",VLOOKUP($B244,#REF!,6,FALSE))</f>
        <v>#REF!</v>
      </c>
      <c r="H244" s="34" t="e">
        <f>IF(G244="","",VLOOKUP($B244,#REF!,7,FALSE))</f>
        <v>#REF!</v>
      </c>
      <c r="I244" s="25"/>
      <c r="J244" s="25"/>
      <c r="K244" s="25"/>
      <c r="L244" s="25"/>
      <c r="M244" s="25"/>
      <c r="N244" s="25"/>
      <c r="O244" s="33">
        <f t="shared" si="7"/>
        <v>0</v>
      </c>
      <c r="P244" s="25"/>
      <c r="Q244" s="25">
        <v>0</v>
      </c>
      <c r="R244" s="25"/>
      <c r="S244" s="25"/>
      <c r="T244" s="25">
        <v>20</v>
      </c>
      <c r="U244" s="25"/>
      <c r="V244" s="39"/>
      <c r="W244" s="25"/>
      <c r="X244" s="33">
        <f t="shared" si="6"/>
        <v>20</v>
      </c>
      <c r="Y244" s="39">
        <v>15000</v>
      </c>
      <c r="Z244" s="25">
        <v>300000</v>
      </c>
      <c r="AA244" s="45" t="s">
        <v>264</v>
      </c>
      <c r="AB244" s="45"/>
      <c r="AC244" s="45"/>
      <c r="AD244" s="45"/>
      <c r="AE244" s="45"/>
    </row>
    <row r="245" spans="1:31" s="12" customFormat="1" ht="12">
      <c r="A245" s="27">
        <v>45603</v>
      </c>
      <c r="B245" s="28" t="s">
        <v>24</v>
      </c>
      <c r="C245" s="37" t="s">
        <v>117</v>
      </c>
      <c r="D245" s="34" t="s">
        <v>225</v>
      </c>
      <c r="E245" s="34" t="e">
        <f>IF(B245="","",VLOOKUP($B245,#REF!,4,FALSE))</f>
        <v>#REF!</v>
      </c>
      <c r="F245" s="34" t="e">
        <f>IF(E245="","",VLOOKUP($B245,#REF!,5,FALSE))</f>
        <v>#REF!</v>
      </c>
      <c r="G245" s="34" t="e">
        <f>IF(F245="","",VLOOKUP($B245,#REF!,6,FALSE))</f>
        <v>#REF!</v>
      </c>
      <c r="H245" s="34" t="e">
        <f>IF(G245="","",VLOOKUP($B245,#REF!,7,FALSE))</f>
        <v>#REF!</v>
      </c>
      <c r="I245" s="25"/>
      <c r="J245" s="25">
        <v>220</v>
      </c>
      <c r="K245" s="25"/>
      <c r="L245" s="25"/>
      <c r="M245" s="25"/>
      <c r="N245" s="25"/>
      <c r="O245" s="33">
        <f t="shared" si="7"/>
        <v>220</v>
      </c>
      <c r="P245" s="25">
        <v>74400</v>
      </c>
      <c r="Q245" s="25">
        <v>16368000</v>
      </c>
      <c r="R245" s="25"/>
      <c r="S245" s="25"/>
      <c r="T245" s="25"/>
      <c r="U245" s="25"/>
      <c r="V245" s="39"/>
      <c r="W245" s="25"/>
      <c r="X245" s="33">
        <f t="shared" si="6"/>
        <v>0</v>
      </c>
      <c r="Y245" s="39"/>
      <c r="Z245" s="25">
        <v>0</v>
      </c>
      <c r="AA245" s="45" t="s">
        <v>117</v>
      </c>
      <c r="AB245" s="45" t="s">
        <v>158</v>
      </c>
      <c r="AC245" s="45"/>
      <c r="AD245" s="45"/>
      <c r="AE245" s="45"/>
    </row>
    <row r="246" spans="1:31" s="12" customFormat="1" ht="12">
      <c r="A246" s="27">
        <v>45603</v>
      </c>
      <c r="B246" s="29" t="s">
        <v>24</v>
      </c>
      <c r="C246" s="37" t="s">
        <v>117</v>
      </c>
      <c r="D246" s="34" t="s">
        <v>225</v>
      </c>
      <c r="E246" s="34" t="e">
        <f>IF(B246="","",VLOOKUP($B246,#REF!,4,FALSE))</f>
        <v>#REF!</v>
      </c>
      <c r="F246" s="34" t="e">
        <f>IF(E246="","",VLOOKUP($B246,#REF!,5,FALSE))</f>
        <v>#REF!</v>
      </c>
      <c r="G246" s="34" t="e">
        <f>IF(F246="","",VLOOKUP($B246,#REF!,6,FALSE))</f>
        <v>#REF!</v>
      </c>
      <c r="H246" s="34" t="e">
        <f>IF(G246="","",VLOOKUP($B246,#REF!,7,FALSE))</f>
        <v>#REF!</v>
      </c>
      <c r="I246" s="25"/>
      <c r="J246" s="25">
        <v>320</v>
      </c>
      <c r="K246" s="25"/>
      <c r="L246" s="25"/>
      <c r="M246" s="25"/>
      <c r="N246" s="25"/>
      <c r="O246" s="33">
        <f t="shared" si="7"/>
        <v>320</v>
      </c>
      <c r="P246" s="25">
        <v>74400</v>
      </c>
      <c r="Q246" s="25">
        <v>23808000</v>
      </c>
      <c r="R246" s="25"/>
      <c r="S246" s="25"/>
      <c r="T246" s="25"/>
      <c r="U246" s="25"/>
      <c r="V246" s="39"/>
      <c r="W246" s="25"/>
      <c r="X246" s="33">
        <f t="shared" si="6"/>
        <v>0</v>
      </c>
      <c r="Y246" s="39"/>
      <c r="Z246" s="25">
        <v>0</v>
      </c>
      <c r="AA246" s="45"/>
      <c r="AB246" s="45"/>
      <c r="AC246" s="45"/>
      <c r="AD246" s="45"/>
      <c r="AE246" s="45"/>
    </row>
    <row r="247" spans="1:31" s="12" customFormat="1" ht="12">
      <c r="A247" s="27">
        <v>45603</v>
      </c>
      <c r="B247" s="30" t="s">
        <v>188</v>
      </c>
      <c r="C247" s="37">
        <v>0</v>
      </c>
      <c r="D247" s="34" t="s">
        <v>187</v>
      </c>
      <c r="E247" s="34" t="e">
        <f>IF(B247="","",VLOOKUP($B247,#REF!,4,FALSE))</f>
        <v>#REF!</v>
      </c>
      <c r="F247" s="34" t="e">
        <f>IF(E247="","",VLOOKUP($B247,#REF!,5,FALSE))</f>
        <v>#REF!</v>
      </c>
      <c r="G247" s="34" t="e">
        <f>IF(F247="","",VLOOKUP($B247,#REF!,6,FALSE))</f>
        <v>#REF!</v>
      </c>
      <c r="H247" s="34" t="e">
        <f>IF(G247="","",VLOOKUP($B247,#REF!,7,FALSE))</f>
        <v>#REF!</v>
      </c>
      <c r="I247" s="25">
        <v>471</v>
      </c>
      <c r="J247" s="25"/>
      <c r="K247" s="25"/>
      <c r="L247" s="25"/>
      <c r="M247" s="25"/>
      <c r="N247" s="25"/>
      <c r="O247" s="33">
        <f t="shared" si="7"/>
        <v>471</v>
      </c>
      <c r="P247" s="25"/>
      <c r="Q247" s="25">
        <v>0</v>
      </c>
      <c r="R247" s="25"/>
      <c r="S247" s="25"/>
      <c r="T247" s="25"/>
      <c r="U247" s="25"/>
      <c r="V247" s="39"/>
      <c r="W247" s="25"/>
      <c r="X247" s="33">
        <f t="shared" si="6"/>
        <v>0</v>
      </c>
      <c r="Y247" s="39"/>
      <c r="Z247" s="25">
        <v>0</v>
      </c>
      <c r="AA247" s="45"/>
      <c r="AB247" s="45"/>
      <c r="AC247" s="45"/>
      <c r="AD247" s="45"/>
      <c r="AE247" s="45"/>
    </row>
    <row r="248" spans="1:31" s="12" customFormat="1" ht="12">
      <c r="A248" s="27">
        <v>45603</v>
      </c>
      <c r="B248" s="54" t="s">
        <v>211</v>
      </c>
      <c r="C248" s="37">
        <v>0</v>
      </c>
      <c r="D248" s="34" t="s">
        <v>187</v>
      </c>
      <c r="E248" s="34" t="e">
        <f>IF(B248="","",VLOOKUP($B248,#REF!,4,FALSE))</f>
        <v>#REF!</v>
      </c>
      <c r="F248" s="34" t="e">
        <f>IF(E248="","",VLOOKUP($B248,#REF!,5,FALSE))</f>
        <v>#REF!</v>
      </c>
      <c r="G248" s="34" t="e">
        <f>IF(F248="","",VLOOKUP($B248,#REF!,6,FALSE))</f>
        <v>#REF!</v>
      </c>
      <c r="H248" s="34" t="e">
        <f>IF(G248="","",VLOOKUP($B248,#REF!,7,FALSE))</f>
        <v>#REF!</v>
      </c>
      <c r="I248" s="25"/>
      <c r="J248" s="25"/>
      <c r="K248" s="25"/>
      <c r="L248" s="25">
        <v>1126</v>
      </c>
      <c r="M248" s="25"/>
      <c r="N248" s="25"/>
      <c r="O248" s="33">
        <f t="shared" si="7"/>
        <v>1126</v>
      </c>
      <c r="P248" s="25"/>
      <c r="Q248" s="25">
        <v>0</v>
      </c>
      <c r="R248" s="25"/>
      <c r="S248" s="25"/>
      <c r="T248" s="25"/>
      <c r="U248" s="25"/>
      <c r="V248" s="39"/>
      <c r="W248" s="25"/>
      <c r="X248" s="33">
        <f t="shared" si="6"/>
        <v>0</v>
      </c>
      <c r="Y248" s="39"/>
      <c r="Z248" s="25">
        <v>0</v>
      </c>
      <c r="AA248" s="45"/>
      <c r="AB248" s="45"/>
      <c r="AC248" s="45"/>
      <c r="AD248" s="45"/>
      <c r="AE248" s="45"/>
    </row>
    <row r="249" spans="1:31" s="12" customFormat="1" ht="12">
      <c r="A249" s="27">
        <v>45603</v>
      </c>
      <c r="B249" s="54" t="s">
        <v>229</v>
      </c>
      <c r="C249" s="37">
        <v>0</v>
      </c>
      <c r="D249" s="34" t="s">
        <v>187</v>
      </c>
      <c r="E249" s="34" t="e">
        <f>IF(B249="","",VLOOKUP($B249,#REF!,4,FALSE))</f>
        <v>#REF!</v>
      </c>
      <c r="F249" s="34" t="e">
        <f>IF(E249="","",VLOOKUP($B249,#REF!,5,FALSE))</f>
        <v>#REF!</v>
      </c>
      <c r="G249" s="34" t="e">
        <f>IF(F249="","",VLOOKUP($B249,#REF!,6,FALSE))</f>
        <v>#REF!</v>
      </c>
      <c r="H249" s="34" t="e">
        <f>IF(G249="","",VLOOKUP($B249,#REF!,7,FALSE))</f>
        <v>#REF!</v>
      </c>
      <c r="I249" s="25"/>
      <c r="J249" s="25"/>
      <c r="K249" s="25"/>
      <c r="L249" s="25">
        <v>2148</v>
      </c>
      <c r="M249" s="25"/>
      <c r="N249" s="25"/>
      <c r="O249" s="33">
        <f t="shared" si="7"/>
        <v>2148</v>
      </c>
      <c r="P249" s="25"/>
      <c r="Q249" s="25">
        <v>0</v>
      </c>
      <c r="R249" s="25"/>
      <c r="S249" s="25"/>
      <c r="T249" s="25"/>
      <c r="U249" s="25"/>
      <c r="V249" s="39"/>
      <c r="W249" s="25"/>
      <c r="X249" s="33">
        <f t="shared" si="6"/>
        <v>0</v>
      </c>
      <c r="Y249" s="39"/>
      <c r="Z249" s="25">
        <v>0</v>
      </c>
      <c r="AA249" s="45"/>
      <c r="AB249" s="45"/>
      <c r="AC249" s="45"/>
      <c r="AD249" s="45"/>
      <c r="AE249" s="45"/>
    </row>
    <row r="250" spans="1:31" s="12" customFormat="1" ht="12">
      <c r="A250" s="27">
        <v>45603</v>
      </c>
      <c r="B250" s="54" t="s">
        <v>21</v>
      </c>
      <c r="C250" s="37">
        <v>0</v>
      </c>
      <c r="D250" s="34" t="s">
        <v>187</v>
      </c>
      <c r="E250" s="34" t="e">
        <f>IF(B250="","",VLOOKUP($B250,#REF!,4,FALSE))</f>
        <v>#REF!</v>
      </c>
      <c r="F250" s="34" t="e">
        <f>IF(E250="","",VLOOKUP($B250,#REF!,5,FALSE))</f>
        <v>#REF!</v>
      </c>
      <c r="G250" s="34" t="e">
        <f>IF(F250="","",VLOOKUP($B250,#REF!,6,FALSE))</f>
        <v>#REF!</v>
      </c>
      <c r="H250" s="34" t="e">
        <f>IF(G250="","",VLOOKUP($B250,#REF!,7,FALSE))</f>
        <v>#REF!</v>
      </c>
      <c r="I250" s="25"/>
      <c r="J250" s="25">
        <v>524</v>
      </c>
      <c r="K250" s="25"/>
      <c r="L250" s="25"/>
      <c r="M250" s="25"/>
      <c r="N250" s="25"/>
      <c r="O250" s="33">
        <f t="shared" si="7"/>
        <v>524</v>
      </c>
      <c r="P250" s="25"/>
      <c r="Q250" s="25">
        <v>0</v>
      </c>
      <c r="R250" s="25"/>
      <c r="S250" s="25"/>
      <c r="T250" s="25"/>
      <c r="U250" s="25"/>
      <c r="V250" s="39"/>
      <c r="W250" s="25"/>
      <c r="X250" s="33">
        <f t="shared" si="6"/>
        <v>0</v>
      </c>
      <c r="Y250" s="39"/>
      <c r="Z250" s="25">
        <v>0</v>
      </c>
      <c r="AA250" s="45"/>
      <c r="AB250" s="45"/>
      <c r="AC250" s="45"/>
      <c r="AD250" s="45"/>
      <c r="AE250" s="45"/>
    </row>
    <row r="251" spans="1:31" s="12" customFormat="1" ht="12">
      <c r="A251" s="27">
        <v>45604</v>
      </c>
      <c r="B251" s="54" t="s">
        <v>24</v>
      </c>
      <c r="C251" s="37" t="s">
        <v>117</v>
      </c>
      <c r="D251" s="34" t="s">
        <v>225</v>
      </c>
      <c r="E251" s="34" t="e">
        <f>IF(B251="","",VLOOKUP($B251,#REF!,4,FALSE))</f>
        <v>#REF!</v>
      </c>
      <c r="F251" s="34" t="e">
        <f>IF(E251="","",VLOOKUP($B251,#REF!,5,FALSE))</f>
        <v>#REF!</v>
      </c>
      <c r="G251" s="34" t="e">
        <f>IF(F251="","",VLOOKUP($B251,#REF!,6,FALSE))</f>
        <v>#REF!</v>
      </c>
      <c r="H251" s="34" t="e">
        <f>IF(G251="","",VLOOKUP($B251,#REF!,7,FALSE))</f>
        <v>#REF!</v>
      </c>
      <c r="I251" s="25"/>
      <c r="J251" s="25">
        <v>320</v>
      </c>
      <c r="K251" s="25"/>
      <c r="L251" s="25"/>
      <c r="M251" s="25"/>
      <c r="N251" s="25"/>
      <c r="O251" s="33">
        <f t="shared" si="7"/>
        <v>320</v>
      </c>
      <c r="P251" s="25">
        <v>74400</v>
      </c>
      <c r="Q251" s="25">
        <v>23808000</v>
      </c>
      <c r="R251" s="25"/>
      <c r="S251" s="25"/>
      <c r="T251" s="25"/>
      <c r="U251" s="25"/>
      <c r="V251" s="39"/>
      <c r="W251" s="25"/>
      <c r="X251" s="33">
        <f t="shared" si="6"/>
        <v>0</v>
      </c>
      <c r="Y251" s="39"/>
      <c r="Z251" s="25">
        <v>0</v>
      </c>
      <c r="AA251" s="45"/>
      <c r="AB251" s="45"/>
      <c r="AC251" s="45"/>
      <c r="AD251" s="45"/>
      <c r="AE251" s="45"/>
    </row>
    <row r="252" spans="1:31" s="12" customFormat="1" ht="12">
      <c r="A252" s="27">
        <v>45604</v>
      </c>
      <c r="B252" s="53" t="s">
        <v>14</v>
      </c>
      <c r="C252" s="37" t="s">
        <v>84</v>
      </c>
      <c r="D252" s="34" t="s">
        <v>184</v>
      </c>
      <c r="E252" s="34" t="e">
        <f>IF(B252="","",VLOOKUP($B252,#REF!,4,FALSE))</f>
        <v>#REF!</v>
      </c>
      <c r="F252" s="34" t="e">
        <f>IF(E252="","",VLOOKUP($B252,#REF!,5,FALSE))</f>
        <v>#REF!</v>
      </c>
      <c r="G252" s="34" t="e">
        <f>IF(F252="","",VLOOKUP($B252,#REF!,6,FALSE))</f>
        <v>#REF!</v>
      </c>
      <c r="H252" s="34" t="e">
        <f>IF(G252="","",VLOOKUP($B252,#REF!,7,FALSE))</f>
        <v>#REF!</v>
      </c>
      <c r="I252" s="25"/>
      <c r="J252" s="25"/>
      <c r="K252" s="25"/>
      <c r="L252" s="25"/>
      <c r="M252" s="25"/>
      <c r="N252" s="25"/>
      <c r="O252" s="33">
        <f t="shared" si="7"/>
        <v>0</v>
      </c>
      <c r="P252" s="25"/>
      <c r="Q252" s="25">
        <v>0</v>
      </c>
      <c r="R252" s="25"/>
      <c r="S252" s="25"/>
      <c r="T252" s="25">
        <v>33</v>
      </c>
      <c r="U252" s="25"/>
      <c r="V252" s="39"/>
      <c r="W252" s="25"/>
      <c r="X252" s="33">
        <f t="shared" si="6"/>
        <v>33</v>
      </c>
      <c r="Y252" s="39">
        <v>51200</v>
      </c>
      <c r="Z252" s="25">
        <v>1689600</v>
      </c>
      <c r="AA252" s="45" t="s">
        <v>265</v>
      </c>
      <c r="AB252" s="45"/>
      <c r="AC252" s="45"/>
      <c r="AD252" s="45"/>
      <c r="AE252" s="45"/>
    </row>
    <row r="253" spans="1:31" s="12" customFormat="1" ht="12">
      <c r="A253" s="27">
        <v>45604</v>
      </c>
      <c r="B253" s="53" t="s">
        <v>12</v>
      </c>
      <c r="C253" s="37" t="s">
        <v>84</v>
      </c>
      <c r="D253" s="34" t="s">
        <v>184</v>
      </c>
      <c r="E253" s="34" t="e">
        <f>IF(B253="","",VLOOKUP($B253,#REF!,4,FALSE))</f>
        <v>#REF!</v>
      </c>
      <c r="F253" s="34" t="e">
        <f>IF(E253="","",VLOOKUP($B253,#REF!,5,FALSE))</f>
        <v>#REF!</v>
      </c>
      <c r="G253" s="34" t="e">
        <f>IF(F253="","",VLOOKUP($B253,#REF!,6,FALSE))</f>
        <v>#REF!</v>
      </c>
      <c r="H253" s="34" t="e">
        <f>IF(G253="","",VLOOKUP($B253,#REF!,7,FALSE))</f>
        <v>#REF!</v>
      </c>
      <c r="I253" s="25"/>
      <c r="J253" s="25"/>
      <c r="K253" s="25"/>
      <c r="L253" s="25"/>
      <c r="M253" s="25"/>
      <c r="N253" s="25"/>
      <c r="O253" s="33">
        <f t="shared" si="7"/>
        <v>0</v>
      </c>
      <c r="P253" s="25"/>
      <c r="Q253" s="25">
        <v>0</v>
      </c>
      <c r="R253" s="25"/>
      <c r="S253" s="25"/>
      <c r="T253" s="25">
        <v>1</v>
      </c>
      <c r="U253" s="25"/>
      <c r="V253" s="39"/>
      <c r="W253" s="25"/>
      <c r="X253" s="33">
        <f t="shared" si="6"/>
        <v>1</v>
      </c>
      <c r="Y253" s="39">
        <v>41820</v>
      </c>
      <c r="Z253" s="25">
        <v>41818</v>
      </c>
      <c r="AA253" s="45" t="s">
        <v>265</v>
      </c>
      <c r="AB253" s="45"/>
      <c r="AC253" s="45"/>
      <c r="AD253" s="45"/>
      <c r="AE253" s="45"/>
    </row>
    <row r="254" spans="1:31" s="12" customFormat="1" ht="12">
      <c r="A254" s="27">
        <v>45604</v>
      </c>
      <c r="B254" s="53" t="s">
        <v>32</v>
      </c>
      <c r="C254" s="37" t="s">
        <v>84</v>
      </c>
      <c r="D254" s="34" t="s">
        <v>184</v>
      </c>
      <c r="E254" s="34" t="e">
        <f>IF(B254="","",VLOOKUP($B254,#REF!,4,FALSE))</f>
        <v>#REF!</v>
      </c>
      <c r="F254" s="34" t="e">
        <f>IF(E254="","",VLOOKUP($B254,#REF!,5,FALSE))</f>
        <v>#REF!</v>
      </c>
      <c r="G254" s="34" t="e">
        <f>IF(F254="","",VLOOKUP($B254,#REF!,6,FALSE))</f>
        <v>#REF!</v>
      </c>
      <c r="H254" s="34" t="e">
        <f>IF(G254="","",VLOOKUP($B254,#REF!,7,FALSE))</f>
        <v>#REF!</v>
      </c>
      <c r="I254" s="25"/>
      <c r="J254" s="25"/>
      <c r="K254" s="25"/>
      <c r="L254" s="25"/>
      <c r="M254" s="25"/>
      <c r="N254" s="25"/>
      <c r="O254" s="33">
        <f t="shared" si="7"/>
        <v>0</v>
      </c>
      <c r="P254" s="25"/>
      <c r="Q254" s="25">
        <v>0</v>
      </c>
      <c r="R254" s="25"/>
      <c r="S254" s="25"/>
      <c r="T254" s="25">
        <v>11</v>
      </c>
      <c r="U254" s="25"/>
      <c r="V254" s="39"/>
      <c r="W254" s="25"/>
      <c r="X254" s="33">
        <f t="shared" si="6"/>
        <v>11</v>
      </c>
      <c r="Y254" s="39">
        <v>81816</v>
      </c>
      <c r="Z254" s="25">
        <v>900000</v>
      </c>
      <c r="AA254" s="45" t="s">
        <v>265</v>
      </c>
      <c r="AB254" s="45"/>
      <c r="AC254" s="45"/>
      <c r="AD254" s="45"/>
      <c r="AE254" s="45"/>
    </row>
    <row r="255" spans="1:31" s="12" customFormat="1" ht="12">
      <c r="A255" s="27">
        <v>45604</v>
      </c>
      <c r="B255" s="53" t="s">
        <v>198</v>
      </c>
      <c r="C255" s="37" t="s">
        <v>84</v>
      </c>
      <c r="D255" s="34" t="s">
        <v>184</v>
      </c>
      <c r="E255" s="34" t="e">
        <f>IF(B255="","",VLOOKUP($B255,#REF!,4,FALSE))</f>
        <v>#REF!</v>
      </c>
      <c r="F255" s="34" t="e">
        <f>IF(E255="","",VLOOKUP($B255,#REF!,5,FALSE))</f>
        <v>#REF!</v>
      </c>
      <c r="G255" s="34" t="e">
        <f>IF(F255="","",VLOOKUP($B255,#REF!,6,FALSE))</f>
        <v>#REF!</v>
      </c>
      <c r="H255" s="34" t="e">
        <f>IF(G255="","",VLOOKUP($B255,#REF!,7,FALSE))</f>
        <v>#REF!</v>
      </c>
      <c r="I255" s="25"/>
      <c r="J255" s="25"/>
      <c r="K255" s="25"/>
      <c r="L255" s="25"/>
      <c r="M255" s="25"/>
      <c r="N255" s="25"/>
      <c r="O255" s="33">
        <f t="shared" si="7"/>
        <v>0</v>
      </c>
      <c r="P255" s="25"/>
      <c r="Q255" s="25">
        <v>0</v>
      </c>
      <c r="R255" s="25"/>
      <c r="S255" s="25"/>
      <c r="T255" s="25">
        <v>4</v>
      </c>
      <c r="U255" s="25"/>
      <c r="V255" s="39"/>
      <c r="W255" s="25"/>
      <c r="X255" s="33">
        <f t="shared" si="6"/>
        <v>4</v>
      </c>
      <c r="Y255" s="39">
        <v>76360</v>
      </c>
      <c r="Z255" s="25">
        <v>305455</v>
      </c>
      <c r="AA255" s="45" t="s">
        <v>265</v>
      </c>
      <c r="AB255" s="45"/>
      <c r="AC255" s="45"/>
      <c r="AD255" s="45"/>
      <c r="AE255" s="45"/>
    </row>
    <row r="256" spans="1:31" s="12" customFormat="1" ht="12">
      <c r="A256" s="27">
        <v>45604</v>
      </c>
      <c r="B256" s="53" t="s">
        <v>63</v>
      </c>
      <c r="C256" s="37" t="s">
        <v>84</v>
      </c>
      <c r="D256" s="34" t="s">
        <v>184</v>
      </c>
      <c r="E256" s="34" t="e">
        <f>IF(B256="","",VLOOKUP($B256,#REF!,4,FALSE))</f>
        <v>#REF!</v>
      </c>
      <c r="F256" s="34" t="e">
        <f>IF(E256="","",VLOOKUP($B256,#REF!,5,FALSE))</f>
        <v>#REF!</v>
      </c>
      <c r="G256" s="34" t="e">
        <f>IF(F256="","",VLOOKUP($B256,#REF!,6,FALSE))</f>
        <v>#REF!</v>
      </c>
      <c r="H256" s="34" t="e">
        <f>IF(G256="","",VLOOKUP($B256,#REF!,7,FALSE))</f>
        <v>#REF!</v>
      </c>
      <c r="I256" s="25"/>
      <c r="J256" s="25"/>
      <c r="K256" s="25"/>
      <c r="L256" s="25"/>
      <c r="M256" s="25"/>
      <c r="N256" s="25"/>
      <c r="O256" s="33">
        <f t="shared" si="7"/>
        <v>0</v>
      </c>
      <c r="P256" s="25"/>
      <c r="Q256" s="25">
        <v>0</v>
      </c>
      <c r="R256" s="25"/>
      <c r="S256" s="25"/>
      <c r="T256" s="25">
        <v>8</v>
      </c>
      <c r="U256" s="25"/>
      <c r="V256" s="39"/>
      <c r="W256" s="25"/>
      <c r="X256" s="33">
        <f t="shared" si="6"/>
        <v>8</v>
      </c>
      <c r="Y256" s="39">
        <v>130000</v>
      </c>
      <c r="Z256" s="25">
        <v>1040000</v>
      </c>
      <c r="AA256" s="45" t="s">
        <v>265</v>
      </c>
      <c r="AB256" s="45"/>
      <c r="AC256" s="45"/>
      <c r="AD256" s="45"/>
      <c r="AE256" s="45"/>
    </row>
    <row r="257" spans="1:31" s="12" customFormat="1" ht="12">
      <c r="A257" s="27">
        <v>45604</v>
      </c>
      <c r="B257" s="53" t="s">
        <v>35</v>
      </c>
      <c r="C257" s="37" t="s">
        <v>141</v>
      </c>
      <c r="D257" s="34" t="s">
        <v>173</v>
      </c>
      <c r="E257" s="34" t="e">
        <f>IF(B257="","",VLOOKUP($B257,#REF!,4,FALSE))</f>
        <v>#REF!</v>
      </c>
      <c r="F257" s="34" t="e">
        <f>IF(E257="","",VLOOKUP($B257,#REF!,5,FALSE))</f>
        <v>#REF!</v>
      </c>
      <c r="G257" s="34" t="e">
        <f>IF(F257="","",VLOOKUP($B257,#REF!,6,FALSE))</f>
        <v>#REF!</v>
      </c>
      <c r="H257" s="34" t="e">
        <f>IF(G257="","",VLOOKUP($B257,#REF!,7,FALSE))</f>
        <v>#REF!</v>
      </c>
      <c r="I257" s="25"/>
      <c r="J257" s="25"/>
      <c r="K257" s="25"/>
      <c r="L257" s="25"/>
      <c r="M257" s="25"/>
      <c r="N257" s="25"/>
      <c r="O257" s="33">
        <f t="shared" si="7"/>
        <v>0</v>
      </c>
      <c r="P257" s="25"/>
      <c r="Q257" s="25">
        <v>0</v>
      </c>
      <c r="R257" s="25">
        <v>960</v>
      </c>
      <c r="S257" s="25"/>
      <c r="T257" s="25"/>
      <c r="U257" s="25"/>
      <c r="V257" s="39"/>
      <c r="W257" s="25"/>
      <c r="X257" s="33">
        <f t="shared" si="6"/>
        <v>960</v>
      </c>
      <c r="Y257" s="39">
        <f>Z257/X257</f>
        <v>87480.960416666669</v>
      </c>
      <c r="Z257" s="39">
        <v>83981722</v>
      </c>
      <c r="AA257" s="45" t="s">
        <v>154</v>
      </c>
      <c r="AB257" s="45" t="s">
        <v>141</v>
      </c>
      <c r="AC257" s="45" t="s">
        <v>173</v>
      </c>
      <c r="AD257" s="45"/>
      <c r="AE257" s="45"/>
    </row>
    <row r="258" spans="1:31" s="12" customFormat="1" ht="12">
      <c r="A258" s="27">
        <v>45604</v>
      </c>
      <c r="B258" s="53" t="s">
        <v>43</v>
      </c>
      <c r="C258" s="37" t="s">
        <v>145</v>
      </c>
      <c r="D258" s="34" t="s">
        <v>176</v>
      </c>
      <c r="E258" s="34" t="e">
        <f>IF(B258="","",VLOOKUP($B258,#REF!,4,FALSE))</f>
        <v>#REF!</v>
      </c>
      <c r="F258" s="34" t="e">
        <f>IF(E258="","",VLOOKUP($B258,#REF!,5,FALSE))</f>
        <v>#REF!</v>
      </c>
      <c r="G258" s="34" t="e">
        <f>IF(F258="","",VLOOKUP($B258,#REF!,6,FALSE))</f>
        <v>#REF!</v>
      </c>
      <c r="H258" s="34" t="e">
        <f>IF(G258="","",VLOOKUP($B258,#REF!,7,FALSE))</f>
        <v>#REF!</v>
      </c>
      <c r="I258" s="25"/>
      <c r="J258" s="25"/>
      <c r="K258" s="25"/>
      <c r="L258" s="25"/>
      <c r="M258" s="25"/>
      <c r="N258" s="25"/>
      <c r="O258" s="33">
        <f t="shared" si="7"/>
        <v>0</v>
      </c>
      <c r="P258" s="25"/>
      <c r="Q258" s="25">
        <v>0</v>
      </c>
      <c r="R258" s="25"/>
      <c r="S258" s="25"/>
      <c r="T258" s="25"/>
      <c r="U258" s="25">
        <v>1400</v>
      </c>
      <c r="V258" s="39"/>
      <c r="W258" s="25"/>
      <c r="X258" s="33">
        <f t="shared" si="6"/>
        <v>1400</v>
      </c>
      <c r="Y258" s="39">
        <f>Z258/X258</f>
        <v>4388.2078571428574</v>
      </c>
      <c r="Z258" s="39">
        <v>6143491</v>
      </c>
      <c r="AA258" s="45" t="s">
        <v>154</v>
      </c>
      <c r="AB258" s="45" t="s">
        <v>145</v>
      </c>
      <c r="AC258" s="45" t="s">
        <v>176</v>
      </c>
      <c r="AD258" s="45"/>
      <c r="AE258" s="45"/>
    </row>
    <row r="259" spans="1:31" s="12" customFormat="1" ht="12">
      <c r="A259" s="27">
        <v>45604</v>
      </c>
      <c r="B259" s="53" t="s">
        <v>45</v>
      </c>
      <c r="C259" s="37" t="s">
        <v>117</v>
      </c>
      <c r="D259" s="34" t="s">
        <v>225</v>
      </c>
      <c r="E259" s="34" t="e">
        <f>IF(B259="","",VLOOKUP($B259,#REF!,4,FALSE))</f>
        <v>#REF!</v>
      </c>
      <c r="F259" s="34" t="e">
        <f>IF(E259="","",VLOOKUP($B259,#REF!,5,FALSE))</f>
        <v>#REF!</v>
      </c>
      <c r="G259" s="34" t="e">
        <f>IF(F259="","",VLOOKUP($B259,#REF!,6,FALSE))</f>
        <v>#REF!</v>
      </c>
      <c r="H259" s="34" t="e">
        <f>IF(G259="","",VLOOKUP($B259,#REF!,7,FALSE))</f>
        <v>#REF!</v>
      </c>
      <c r="I259" s="25"/>
      <c r="J259" s="25">
        <v>504</v>
      </c>
      <c r="K259" s="25"/>
      <c r="L259" s="25"/>
      <c r="M259" s="25"/>
      <c r="N259" s="25"/>
      <c r="O259" s="33">
        <f t="shared" si="7"/>
        <v>504</v>
      </c>
      <c r="P259" s="25">
        <v>78000</v>
      </c>
      <c r="Q259" s="25">
        <v>39312000</v>
      </c>
      <c r="R259" s="25"/>
      <c r="S259" s="25"/>
      <c r="T259" s="25"/>
      <c r="U259" s="25"/>
      <c r="V259" s="39"/>
      <c r="W259" s="25"/>
      <c r="X259" s="33">
        <f t="shared" si="6"/>
        <v>0</v>
      </c>
      <c r="Y259" s="39"/>
      <c r="Z259" s="25">
        <v>0</v>
      </c>
      <c r="AA259" s="45"/>
      <c r="AB259" s="45"/>
      <c r="AC259" s="45"/>
      <c r="AD259" s="45"/>
      <c r="AE259" s="45"/>
    </row>
    <row r="260" spans="1:31" s="12" customFormat="1" ht="12">
      <c r="A260" s="27">
        <v>45604</v>
      </c>
      <c r="B260" s="47" t="s">
        <v>45</v>
      </c>
      <c r="C260" s="37" t="s">
        <v>141</v>
      </c>
      <c r="D260" s="34" t="s">
        <v>173</v>
      </c>
      <c r="E260" s="34" t="e">
        <f>IF(B260="","",VLOOKUP($B260,#REF!,4,FALSE))</f>
        <v>#REF!</v>
      </c>
      <c r="F260" s="34" t="e">
        <f>IF(E260="","",VLOOKUP($B260,#REF!,5,FALSE))</f>
        <v>#REF!</v>
      </c>
      <c r="G260" s="34" t="e">
        <f>IF(F260="","",VLOOKUP($B260,#REF!,6,FALSE))</f>
        <v>#REF!</v>
      </c>
      <c r="H260" s="34" t="e">
        <f>IF(G260="","",VLOOKUP($B260,#REF!,7,FALSE))</f>
        <v>#REF!</v>
      </c>
      <c r="I260" s="25"/>
      <c r="J260" s="25"/>
      <c r="K260" s="25"/>
      <c r="L260" s="25"/>
      <c r="M260" s="25"/>
      <c r="N260" s="25"/>
      <c r="O260" s="33">
        <f t="shared" si="7"/>
        <v>0</v>
      </c>
      <c r="P260" s="25"/>
      <c r="Q260" s="25">
        <v>0</v>
      </c>
      <c r="R260" s="25"/>
      <c r="S260" s="25">
        <v>504</v>
      </c>
      <c r="T260" s="25"/>
      <c r="U260" s="25"/>
      <c r="V260" s="39"/>
      <c r="W260" s="25"/>
      <c r="X260" s="33">
        <f t="shared" ref="X260:X323" si="8">SUM(R260:W260)</f>
        <v>504</v>
      </c>
      <c r="Y260" s="39">
        <f>Z260/X260</f>
        <v>130297.72817460318</v>
      </c>
      <c r="Z260" s="39">
        <v>65670055</v>
      </c>
      <c r="AA260" s="45" t="s">
        <v>154</v>
      </c>
      <c r="AB260" s="45" t="s">
        <v>141</v>
      </c>
      <c r="AC260" s="45" t="s">
        <v>173</v>
      </c>
      <c r="AD260" s="45"/>
      <c r="AE260" s="45"/>
    </row>
    <row r="261" spans="1:31" s="12" customFormat="1" ht="12">
      <c r="A261" s="27">
        <v>45604</v>
      </c>
      <c r="B261" s="75" t="s">
        <v>160</v>
      </c>
      <c r="C261" s="37" t="s">
        <v>82</v>
      </c>
      <c r="D261" s="34" t="s">
        <v>186</v>
      </c>
      <c r="E261" s="34" t="e">
        <f>IF(B261="","",VLOOKUP($B261,#REF!,4,FALSE))</f>
        <v>#REF!</v>
      </c>
      <c r="F261" s="34" t="e">
        <f>IF(E261="","",VLOOKUP($B261,#REF!,5,FALSE))</f>
        <v>#REF!</v>
      </c>
      <c r="G261" s="34" t="e">
        <f>IF(F261="","",VLOOKUP($B261,#REF!,6,FALSE))</f>
        <v>#REF!</v>
      </c>
      <c r="H261" s="34" t="e">
        <f>IF(G261="","",VLOOKUP($B261,#REF!,7,FALSE))</f>
        <v>#REF!</v>
      </c>
      <c r="I261" s="25"/>
      <c r="J261" s="25"/>
      <c r="K261" s="25"/>
      <c r="L261" s="25"/>
      <c r="M261" s="25"/>
      <c r="N261" s="25"/>
      <c r="O261" s="33">
        <f t="shared" ref="O261:O324" si="9">SUM(I261:N261)</f>
        <v>0</v>
      </c>
      <c r="P261" s="25"/>
      <c r="Q261" s="25">
        <v>0</v>
      </c>
      <c r="R261" s="25"/>
      <c r="S261" s="25"/>
      <c r="T261" s="25"/>
      <c r="U261" s="25"/>
      <c r="V261" s="39">
        <v>84</v>
      </c>
      <c r="W261" s="25"/>
      <c r="X261" s="33">
        <f t="shared" si="8"/>
        <v>84</v>
      </c>
      <c r="Y261" s="39">
        <v>100300</v>
      </c>
      <c r="Z261" s="25">
        <v>8425200</v>
      </c>
      <c r="AA261" s="45"/>
      <c r="AB261" s="45"/>
      <c r="AC261" s="45"/>
      <c r="AD261" s="45"/>
      <c r="AE261" s="45"/>
    </row>
    <row r="262" spans="1:31" s="12" customFormat="1" ht="12">
      <c r="A262" s="27">
        <v>45604</v>
      </c>
      <c r="B262" s="53" t="s">
        <v>24</v>
      </c>
      <c r="C262" s="37" t="s">
        <v>82</v>
      </c>
      <c r="D262" s="34" t="s">
        <v>186</v>
      </c>
      <c r="E262" s="34" t="e">
        <f>IF(B262="","",VLOOKUP($B262,#REF!,4,FALSE))</f>
        <v>#REF!</v>
      </c>
      <c r="F262" s="34" t="e">
        <f>IF(E262="","",VLOOKUP($B262,#REF!,5,FALSE))</f>
        <v>#REF!</v>
      </c>
      <c r="G262" s="34" t="e">
        <f>IF(F262="","",VLOOKUP($B262,#REF!,6,FALSE))</f>
        <v>#REF!</v>
      </c>
      <c r="H262" s="34" t="e">
        <f>IF(G262="","",VLOOKUP($B262,#REF!,7,FALSE))</f>
        <v>#REF!</v>
      </c>
      <c r="I262" s="25"/>
      <c r="J262" s="25"/>
      <c r="K262" s="25"/>
      <c r="L262" s="25"/>
      <c r="M262" s="25"/>
      <c r="N262" s="25"/>
      <c r="O262" s="33">
        <f t="shared" si="9"/>
        <v>0</v>
      </c>
      <c r="P262" s="25"/>
      <c r="Q262" s="25">
        <v>0</v>
      </c>
      <c r="R262" s="25"/>
      <c r="S262" s="25"/>
      <c r="T262" s="25"/>
      <c r="U262" s="25"/>
      <c r="V262" s="39">
        <v>72</v>
      </c>
      <c r="W262" s="25"/>
      <c r="X262" s="33">
        <f t="shared" si="8"/>
        <v>72</v>
      </c>
      <c r="Y262" s="39">
        <v>124920</v>
      </c>
      <c r="Z262" s="25">
        <v>8994240</v>
      </c>
      <c r="AA262" s="45"/>
      <c r="AB262" s="45"/>
      <c r="AC262" s="45"/>
      <c r="AD262" s="45"/>
      <c r="AE262" s="45"/>
    </row>
    <row r="263" spans="1:31" s="12" customFormat="1" ht="12">
      <c r="A263" s="27">
        <v>45604</v>
      </c>
      <c r="B263" s="53" t="s">
        <v>28</v>
      </c>
      <c r="C263" s="37" t="s">
        <v>82</v>
      </c>
      <c r="D263" s="34" t="s">
        <v>186</v>
      </c>
      <c r="E263" s="34" t="e">
        <f>IF(B263="","",VLOOKUP($B263,#REF!,4,FALSE))</f>
        <v>#REF!</v>
      </c>
      <c r="F263" s="34" t="e">
        <f>IF(E263="","",VLOOKUP($B263,#REF!,5,FALSE))</f>
        <v>#REF!</v>
      </c>
      <c r="G263" s="34" t="e">
        <f>IF(F263="","",VLOOKUP($B263,#REF!,6,FALSE))</f>
        <v>#REF!</v>
      </c>
      <c r="H263" s="34" t="e">
        <f>IF(G263="","",VLOOKUP($B263,#REF!,7,FALSE))</f>
        <v>#REF!</v>
      </c>
      <c r="I263" s="25"/>
      <c r="J263" s="25"/>
      <c r="K263" s="25"/>
      <c r="L263" s="25"/>
      <c r="M263" s="25"/>
      <c r="N263" s="25"/>
      <c r="O263" s="33">
        <f t="shared" si="9"/>
        <v>0</v>
      </c>
      <c r="P263" s="25"/>
      <c r="Q263" s="25">
        <v>0</v>
      </c>
      <c r="R263" s="25"/>
      <c r="S263" s="25"/>
      <c r="T263" s="25"/>
      <c r="U263" s="25"/>
      <c r="V263" s="39">
        <v>24</v>
      </c>
      <c r="W263" s="25"/>
      <c r="X263" s="33">
        <f t="shared" si="8"/>
        <v>24</v>
      </c>
      <c r="Y263" s="39">
        <v>186150</v>
      </c>
      <c r="Z263" s="25">
        <v>4467600</v>
      </c>
      <c r="AA263" s="45"/>
      <c r="AB263" s="45"/>
      <c r="AC263" s="45"/>
      <c r="AD263" s="45"/>
      <c r="AE263" s="45"/>
    </row>
    <row r="264" spans="1:31" s="12" customFormat="1" ht="12">
      <c r="A264" s="27">
        <v>45604</v>
      </c>
      <c r="B264" s="53" t="s">
        <v>188</v>
      </c>
      <c r="C264" s="37" t="s">
        <v>82</v>
      </c>
      <c r="D264" s="34" t="s">
        <v>186</v>
      </c>
      <c r="E264" s="34" t="e">
        <f>IF(B264="","",VLOOKUP($B264,#REF!,4,FALSE))</f>
        <v>#REF!</v>
      </c>
      <c r="F264" s="34" t="e">
        <f>IF(E264="","",VLOOKUP($B264,#REF!,5,FALSE))</f>
        <v>#REF!</v>
      </c>
      <c r="G264" s="34" t="e">
        <f>IF(F264="","",VLOOKUP($B264,#REF!,6,FALSE))</f>
        <v>#REF!</v>
      </c>
      <c r="H264" s="34" t="e">
        <f>IF(G264="","",VLOOKUP($B264,#REF!,7,FALSE))</f>
        <v>#REF!</v>
      </c>
      <c r="I264" s="25"/>
      <c r="J264" s="25"/>
      <c r="K264" s="25"/>
      <c r="L264" s="25"/>
      <c r="M264" s="25"/>
      <c r="N264" s="25"/>
      <c r="O264" s="33">
        <f t="shared" si="9"/>
        <v>0</v>
      </c>
      <c r="P264" s="25"/>
      <c r="Q264" s="25">
        <v>0</v>
      </c>
      <c r="R264" s="25"/>
      <c r="S264" s="25"/>
      <c r="T264" s="25"/>
      <c r="U264" s="25"/>
      <c r="V264" s="39">
        <v>24</v>
      </c>
      <c r="W264" s="25"/>
      <c r="X264" s="33">
        <f t="shared" si="8"/>
        <v>24</v>
      </c>
      <c r="Y264" s="39">
        <v>128000</v>
      </c>
      <c r="Z264" s="25">
        <v>3072000</v>
      </c>
      <c r="AA264" s="45"/>
      <c r="AB264" s="45"/>
      <c r="AC264" s="45"/>
      <c r="AD264" s="45"/>
      <c r="AE264" s="45"/>
    </row>
    <row r="265" spans="1:31" s="12" customFormat="1" ht="12">
      <c r="A265" s="27">
        <v>45604</v>
      </c>
      <c r="B265" s="53" t="s">
        <v>24</v>
      </c>
      <c r="C265" s="37" t="s">
        <v>82</v>
      </c>
      <c r="D265" s="34" t="s">
        <v>186</v>
      </c>
      <c r="E265" s="34" t="e">
        <f>IF(B265="","",VLOOKUP($B265,#REF!,4,FALSE))</f>
        <v>#REF!</v>
      </c>
      <c r="F265" s="34" t="e">
        <f>IF(E265="","",VLOOKUP($B265,#REF!,5,FALSE))</f>
        <v>#REF!</v>
      </c>
      <c r="G265" s="34" t="e">
        <f>IF(F265="","",VLOOKUP($B265,#REF!,6,FALSE))</f>
        <v>#REF!</v>
      </c>
      <c r="H265" s="34" t="e">
        <f>IF(G265="","",VLOOKUP($B265,#REF!,7,FALSE))</f>
        <v>#REF!</v>
      </c>
      <c r="I265" s="25"/>
      <c r="J265" s="25"/>
      <c r="K265" s="25"/>
      <c r="L265" s="25"/>
      <c r="M265" s="25"/>
      <c r="N265" s="25"/>
      <c r="O265" s="33">
        <f t="shared" si="9"/>
        <v>0</v>
      </c>
      <c r="P265" s="25"/>
      <c r="Q265" s="25">
        <v>0</v>
      </c>
      <c r="R265" s="25"/>
      <c r="S265" s="25"/>
      <c r="T265" s="25"/>
      <c r="U265" s="25"/>
      <c r="V265" s="39">
        <v>36</v>
      </c>
      <c r="W265" s="25"/>
      <c r="X265" s="33">
        <f t="shared" si="8"/>
        <v>36</v>
      </c>
      <c r="Y265" s="39">
        <v>124920</v>
      </c>
      <c r="Z265" s="25">
        <v>4497120</v>
      </c>
      <c r="AA265" s="45"/>
      <c r="AB265" s="45"/>
      <c r="AC265" s="45"/>
      <c r="AD265" s="45"/>
      <c r="AE265" s="45"/>
    </row>
    <row r="266" spans="1:31" s="12" customFormat="1" ht="12">
      <c r="A266" s="27">
        <v>45604</v>
      </c>
      <c r="B266" s="47" t="s">
        <v>44</v>
      </c>
      <c r="C266" s="37" t="s">
        <v>82</v>
      </c>
      <c r="D266" s="34" t="s">
        <v>186</v>
      </c>
      <c r="E266" s="34" t="e">
        <f>IF(B266="","",VLOOKUP($B266,#REF!,4,FALSE))</f>
        <v>#REF!</v>
      </c>
      <c r="F266" s="34" t="e">
        <f>IF(E266="","",VLOOKUP($B266,#REF!,5,FALSE))</f>
        <v>#REF!</v>
      </c>
      <c r="G266" s="34" t="e">
        <f>IF(F266="","",VLOOKUP($B266,#REF!,6,FALSE))</f>
        <v>#REF!</v>
      </c>
      <c r="H266" s="34" t="e">
        <f>IF(G266="","",VLOOKUP($B266,#REF!,7,FALSE))</f>
        <v>#REF!</v>
      </c>
      <c r="I266" s="25"/>
      <c r="J266" s="25"/>
      <c r="K266" s="25"/>
      <c r="L266" s="25"/>
      <c r="M266" s="25"/>
      <c r="N266" s="25"/>
      <c r="O266" s="33">
        <f t="shared" si="9"/>
        <v>0</v>
      </c>
      <c r="P266" s="25"/>
      <c r="Q266" s="25">
        <v>0</v>
      </c>
      <c r="R266" s="25"/>
      <c r="S266" s="25"/>
      <c r="T266" s="25"/>
      <c r="U266" s="25"/>
      <c r="V266" s="39">
        <v>72</v>
      </c>
      <c r="W266" s="25"/>
      <c r="X266" s="33">
        <f t="shared" si="8"/>
        <v>72</v>
      </c>
      <c r="Y266" s="39">
        <v>171900</v>
      </c>
      <c r="Z266" s="25">
        <v>12376800</v>
      </c>
      <c r="AA266" s="45"/>
      <c r="AB266" s="45"/>
      <c r="AC266" s="45"/>
      <c r="AD266" s="45"/>
      <c r="AE266" s="45"/>
    </row>
    <row r="267" spans="1:31" s="12" customFormat="1" ht="12">
      <c r="A267" s="27">
        <v>45604</v>
      </c>
      <c r="B267" s="28" t="s">
        <v>211</v>
      </c>
      <c r="C267" s="37" t="s">
        <v>82</v>
      </c>
      <c r="D267" s="34" t="s">
        <v>186</v>
      </c>
      <c r="E267" s="34" t="e">
        <f>IF(B267="","",VLOOKUP($B267,#REF!,4,FALSE))</f>
        <v>#REF!</v>
      </c>
      <c r="F267" s="34" t="e">
        <f>IF(E267="","",VLOOKUP($B267,#REF!,5,FALSE))</f>
        <v>#REF!</v>
      </c>
      <c r="G267" s="34" t="e">
        <f>IF(F267="","",VLOOKUP($B267,#REF!,6,FALSE))</f>
        <v>#REF!</v>
      </c>
      <c r="H267" s="34" t="e">
        <f>IF(G267="","",VLOOKUP($B267,#REF!,7,FALSE))</f>
        <v>#REF!</v>
      </c>
      <c r="I267" s="25"/>
      <c r="J267" s="25"/>
      <c r="K267" s="25"/>
      <c r="L267" s="25"/>
      <c r="M267" s="25"/>
      <c r="N267" s="25"/>
      <c r="O267" s="33">
        <f t="shared" si="9"/>
        <v>0</v>
      </c>
      <c r="P267" s="25"/>
      <c r="Q267" s="25">
        <v>0</v>
      </c>
      <c r="R267" s="25"/>
      <c r="S267" s="25"/>
      <c r="T267" s="25"/>
      <c r="U267" s="25"/>
      <c r="V267" s="39">
        <v>192</v>
      </c>
      <c r="W267" s="25"/>
      <c r="X267" s="33">
        <f t="shared" si="8"/>
        <v>192</v>
      </c>
      <c r="Y267" s="39">
        <v>46020</v>
      </c>
      <c r="Z267" s="25">
        <v>8835840</v>
      </c>
      <c r="AA267" s="45"/>
      <c r="AB267" s="45"/>
      <c r="AC267" s="45"/>
      <c r="AD267" s="45"/>
      <c r="AE267" s="45"/>
    </row>
    <row r="268" spans="1:31" s="12" customFormat="1" ht="12">
      <c r="A268" s="27">
        <v>45604</v>
      </c>
      <c r="B268" s="28" t="s">
        <v>211</v>
      </c>
      <c r="C268" s="37" t="s">
        <v>82</v>
      </c>
      <c r="D268" s="34" t="s">
        <v>186</v>
      </c>
      <c r="E268" s="34" t="e">
        <f>IF(B268="","",VLOOKUP($B268,#REF!,4,FALSE))</f>
        <v>#REF!</v>
      </c>
      <c r="F268" s="34" t="e">
        <f>IF(E268="","",VLOOKUP($B268,#REF!,5,FALSE))</f>
        <v>#REF!</v>
      </c>
      <c r="G268" s="34" t="e">
        <f>IF(F268="","",VLOOKUP($B268,#REF!,6,FALSE))</f>
        <v>#REF!</v>
      </c>
      <c r="H268" s="34" t="e">
        <f>IF(G268="","",VLOOKUP($B268,#REF!,7,FALSE))</f>
        <v>#REF!</v>
      </c>
      <c r="I268" s="25"/>
      <c r="J268" s="25"/>
      <c r="K268" s="25"/>
      <c r="L268" s="25"/>
      <c r="M268" s="25"/>
      <c r="N268" s="25"/>
      <c r="O268" s="33">
        <f t="shared" si="9"/>
        <v>0</v>
      </c>
      <c r="P268" s="25"/>
      <c r="Q268" s="25">
        <v>0</v>
      </c>
      <c r="R268" s="25"/>
      <c r="S268" s="25"/>
      <c r="T268" s="25"/>
      <c r="U268" s="25"/>
      <c r="V268" s="39">
        <v>180</v>
      </c>
      <c r="W268" s="25"/>
      <c r="X268" s="33">
        <f t="shared" si="8"/>
        <v>180</v>
      </c>
      <c r="Y268" s="39">
        <v>46020</v>
      </c>
      <c r="Z268" s="25">
        <v>8283600</v>
      </c>
      <c r="AA268" s="45"/>
      <c r="AB268" s="45"/>
      <c r="AC268" s="45"/>
      <c r="AD268" s="45"/>
      <c r="AE268" s="45"/>
    </row>
    <row r="269" spans="1:31" s="12" customFormat="1" ht="12">
      <c r="A269" s="27">
        <v>45604</v>
      </c>
      <c r="B269" s="53" t="s">
        <v>211</v>
      </c>
      <c r="C269" s="37" t="s">
        <v>82</v>
      </c>
      <c r="D269" s="34" t="s">
        <v>186</v>
      </c>
      <c r="E269" s="34" t="e">
        <f>IF(B269="","",VLOOKUP($B269,#REF!,4,FALSE))</f>
        <v>#REF!</v>
      </c>
      <c r="F269" s="34" t="e">
        <f>IF(E269="","",VLOOKUP($B269,#REF!,5,FALSE))</f>
        <v>#REF!</v>
      </c>
      <c r="G269" s="34" t="e">
        <f>IF(F269="","",VLOOKUP($B269,#REF!,6,FALSE))</f>
        <v>#REF!</v>
      </c>
      <c r="H269" s="34" t="e">
        <f>IF(G269="","",VLOOKUP($B269,#REF!,7,FALSE))</f>
        <v>#REF!</v>
      </c>
      <c r="I269" s="25"/>
      <c r="J269" s="25"/>
      <c r="K269" s="25"/>
      <c r="L269" s="25"/>
      <c r="M269" s="25"/>
      <c r="N269" s="25"/>
      <c r="O269" s="33">
        <f t="shared" si="9"/>
        <v>0</v>
      </c>
      <c r="P269" s="25"/>
      <c r="Q269" s="25">
        <v>0</v>
      </c>
      <c r="R269" s="25"/>
      <c r="S269" s="25"/>
      <c r="T269" s="25"/>
      <c r="U269" s="25"/>
      <c r="V269" s="39">
        <v>192</v>
      </c>
      <c r="W269" s="25"/>
      <c r="X269" s="33">
        <f t="shared" si="8"/>
        <v>192</v>
      </c>
      <c r="Y269" s="39">
        <v>46020</v>
      </c>
      <c r="Z269" s="25">
        <v>8835840</v>
      </c>
      <c r="AA269" s="45"/>
      <c r="AB269" s="45"/>
      <c r="AC269" s="45"/>
      <c r="AD269" s="45"/>
      <c r="AE269" s="45"/>
    </row>
    <row r="270" spans="1:31" s="12" customFormat="1" ht="12">
      <c r="A270" s="27">
        <v>45604</v>
      </c>
      <c r="B270" s="47" t="s">
        <v>160</v>
      </c>
      <c r="C270" s="37" t="s">
        <v>82</v>
      </c>
      <c r="D270" s="34" t="s">
        <v>186</v>
      </c>
      <c r="E270" s="34" t="e">
        <f>IF(B270="","",VLOOKUP($B270,#REF!,4,FALSE))</f>
        <v>#REF!</v>
      </c>
      <c r="F270" s="34" t="e">
        <f>IF(E270="","",VLOOKUP($B270,#REF!,5,FALSE))</f>
        <v>#REF!</v>
      </c>
      <c r="G270" s="34" t="e">
        <f>IF(F270="","",VLOOKUP($B270,#REF!,6,FALSE))</f>
        <v>#REF!</v>
      </c>
      <c r="H270" s="34" t="e">
        <f>IF(G270="","",VLOOKUP($B270,#REF!,7,FALSE))</f>
        <v>#REF!</v>
      </c>
      <c r="I270" s="25"/>
      <c r="J270" s="25"/>
      <c r="K270" s="25"/>
      <c r="L270" s="25"/>
      <c r="M270" s="25"/>
      <c r="N270" s="25"/>
      <c r="O270" s="33">
        <f t="shared" si="9"/>
        <v>0</v>
      </c>
      <c r="P270" s="25"/>
      <c r="Q270" s="25">
        <v>0</v>
      </c>
      <c r="R270" s="25"/>
      <c r="S270" s="25"/>
      <c r="T270" s="25"/>
      <c r="U270" s="25"/>
      <c r="V270" s="39">
        <v>48</v>
      </c>
      <c r="W270" s="25"/>
      <c r="X270" s="33">
        <f t="shared" si="8"/>
        <v>48</v>
      </c>
      <c r="Y270" s="39">
        <v>100300</v>
      </c>
      <c r="Z270" s="25">
        <v>4814400</v>
      </c>
      <c r="AA270" s="45"/>
      <c r="AB270" s="45"/>
      <c r="AC270" s="45"/>
      <c r="AD270" s="45"/>
      <c r="AE270" s="45"/>
    </row>
    <row r="271" spans="1:31" s="12" customFormat="1" ht="12">
      <c r="A271" s="27">
        <v>45604</v>
      </c>
      <c r="B271" s="53" t="s">
        <v>211</v>
      </c>
      <c r="C271" s="37" t="s">
        <v>82</v>
      </c>
      <c r="D271" s="34" t="s">
        <v>186</v>
      </c>
      <c r="E271" s="34" t="e">
        <f>IF(B271="","",VLOOKUP($B271,#REF!,4,FALSE))</f>
        <v>#REF!</v>
      </c>
      <c r="F271" s="34" t="e">
        <f>IF(E271="","",VLOOKUP($B271,#REF!,5,FALSE))</f>
        <v>#REF!</v>
      </c>
      <c r="G271" s="34" t="e">
        <f>IF(F271="","",VLOOKUP($B271,#REF!,6,FALSE))</f>
        <v>#REF!</v>
      </c>
      <c r="H271" s="34" t="e">
        <f>IF(G271="","",VLOOKUP($B271,#REF!,7,FALSE))</f>
        <v>#REF!</v>
      </c>
      <c r="I271" s="25"/>
      <c r="J271" s="25"/>
      <c r="K271" s="25"/>
      <c r="L271" s="25"/>
      <c r="M271" s="25"/>
      <c r="N271" s="25"/>
      <c r="O271" s="33">
        <f t="shared" si="9"/>
        <v>0</v>
      </c>
      <c r="P271" s="25"/>
      <c r="Q271" s="25">
        <v>0</v>
      </c>
      <c r="R271" s="25"/>
      <c r="S271" s="25"/>
      <c r="T271" s="25"/>
      <c r="U271" s="25"/>
      <c r="V271" s="39">
        <v>48</v>
      </c>
      <c r="W271" s="25"/>
      <c r="X271" s="33">
        <f t="shared" si="8"/>
        <v>48</v>
      </c>
      <c r="Y271" s="39">
        <v>46020</v>
      </c>
      <c r="Z271" s="25">
        <v>2208960</v>
      </c>
      <c r="AA271" s="45"/>
      <c r="AB271" s="45"/>
      <c r="AC271" s="45"/>
      <c r="AD271" s="45"/>
      <c r="AE271" s="45"/>
    </row>
    <row r="272" spans="1:31" s="12" customFormat="1" ht="12">
      <c r="A272" s="27">
        <v>45604</v>
      </c>
      <c r="B272" s="28" t="s">
        <v>21</v>
      </c>
      <c r="C272" s="37" t="s">
        <v>82</v>
      </c>
      <c r="D272" s="34" t="s">
        <v>186</v>
      </c>
      <c r="E272" s="34" t="e">
        <f>IF(B272="","",VLOOKUP($B272,#REF!,4,FALSE))</f>
        <v>#REF!</v>
      </c>
      <c r="F272" s="34" t="e">
        <f>IF(E272="","",VLOOKUP($B272,#REF!,5,FALSE))</f>
        <v>#REF!</v>
      </c>
      <c r="G272" s="34" t="e">
        <f>IF(F272="","",VLOOKUP($B272,#REF!,6,FALSE))</f>
        <v>#REF!</v>
      </c>
      <c r="H272" s="34" t="e">
        <f>IF(G272="","",VLOOKUP($B272,#REF!,7,FALSE))</f>
        <v>#REF!</v>
      </c>
      <c r="I272" s="25"/>
      <c r="J272" s="25"/>
      <c r="K272" s="25"/>
      <c r="L272" s="25"/>
      <c r="M272" s="25"/>
      <c r="N272" s="25"/>
      <c r="O272" s="33">
        <f t="shared" si="9"/>
        <v>0</v>
      </c>
      <c r="P272" s="25"/>
      <c r="Q272" s="25">
        <v>0</v>
      </c>
      <c r="R272" s="25"/>
      <c r="S272" s="25"/>
      <c r="T272" s="25"/>
      <c r="U272" s="25"/>
      <c r="V272" s="39">
        <v>192</v>
      </c>
      <c r="W272" s="25"/>
      <c r="X272" s="33">
        <f t="shared" si="8"/>
        <v>192</v>
      </c>
      <c r="Y272" s="39">
        <v>81800</v>
      </c>
      <c r="Z272" s="25">
        <v>15705600</v>
      </c>
      <c r="AA272" s="45"/>
      <c r="AB272" s="45"/>
      <c r="AC272" s="45"/>
      <c r="AD272" s="45"/>
      <c r="AE272" s="45"/>
    </row>
    <row r="273" spans="1:31" s="12" customFormat="1" ht="12">
      <c r="A273" s="27">
        <v>45604</v>
      </c>
      <c r="B273" s="76" t="s">
        <v>211</v>
      </c>
      <c r="C273" s="37" t="s">
        <v>82</v>
      </c>
      <c r="D273" s="34" t="s">
        <v>186</v>
      </c>
      <c r="E273" s="34" t="e">
        <f>IF(B273="","",VLOOKUP($B273,#REF!,4,FALSE))</f>
        <v>#REF!</v>
      </c>
      <c r="F273" s="34" t="e">
        <f>IF(E273="","",VLOOKUP($B273,#REF!,5,FALSE))</f>
        <v>#REF!</v>
      </c>
      <c r="G273" s="34" t="e">
        <f>IF(F273="","",VLOOKUP($B273,#REF!,6,FALSE))</f>
        <v>#REF!</v>
      </c>
      <c r="H273" s="34" t="e">
        <f>IF(G273="","",VLOOKUP($B273,#REF!,7,FALSE))</f>
        <v>#REF!</v>
      </c>
      <c r="I273" s="25"/>
      <c r="J273" s="25"/>
      <c r="K273" s="25"/>
      <c r="L273" s="25"/>
      <c r="M273" s="25"/>
      <c r="N273" s="25"/>
      <c r="O273" s="33">
        <f t="shared" si="9"/>
        <v>0</v>
      </c>
      <c r="P273" s="25"/>
      <c r="Q273" s="25">
        <v>0</v>
      </c>
      <c r="R273" s="25"/>
      <c r="S273" s="25"/>
      <c r="T273" s="25"/>
      <c r="U273" s="25"/>
      <c r="V273" s="39">
        <v>168</v>
      </c>
      <c r="W273" s="25"/>
      <c r="X273" s="33">
        <f t="shared" si="8"/>
        <v>168</v>
      </c>
      <c r="Y273" s="39">
        <v>46020</v>
      </c>
      <c r="Z273" s="25">
        <v>7731360</v>
      </c>
      <c r="AA273" s="45"/>
      <c r="AB273" s="45"/>
      <c r="AC273" s="45"/>
      <c r="AD273" s="45"/>
      <c r="AE273" s="45"/>
    </row>
    <row r="274" spans="1:31" s="12" customFormat="1" ht="12">
      <c r="A274" s="27">
        <v>45604</v>
      </c>
      <c r="B274" s="53" t="s">
        <v>211</v>
      </c>
      <c r="C274" s="37" t="s">
        <v>82</v>
      </c>
      <c r="D274" s="34" t="s">
        <v>186</v>
      </c>
      <c r="E274" s="34" t="e">
        <f>IF(B274="","",VLOOKUP($B274,#REF!,4,FALSE))</f>
        <v>#REF!</v>
      </c>
      <c r="F274" s="34" t="e">
        <f>IF(E274="","",VLOOKUP($B274,#REF!,5,FALSE))</f>
        <v>#REF!</v>
      </c>
      <c r="G274" s="34" t="e">
        <f>IF(F274="","",VLOOKUP($B274,#REF!,6,FALSE))</f>
        <v>#REF!</v>
      </c>
      <c r="H274" s="34" t="e">
        <f>IF(G274="","",VLOOKUP($B274,#REF!,7,FALSE))</f>
        <v>#REF!</v>
      </c>
      <c r="I274" s="25"/>
      <c r="J274" s="25"/>
      <c r="K274" s="25"/>
      <c r="L274" s="25"/>
      <c r="M274" s="25"/>
      <c r="N274" s="25"/>
      <c r="O274" s="33">
        <f t="shared" si="9"/>
        <v>0</v>
      </c>
      <c r="P274" s="25"/>
      <c r="Q274" s="25">
        <v>0</v>
      </c>
      <c r="R274" s="25"/>
      <c r="S274" s="25"/>
      <c r="T274" s="25"/>
      <c r="U274" s="25"/>
      <c r="V274" s="39">
        <v>192</v>
      </c>
      <c r="W274" s="25"/>
      <c r="X274" s="33">
        <f t="shared" si="8"/>
        <v>192</v>
      </c>
      <c r="Y274" s="39">
        <v>46020</v>
      </c>
      <c r="Z274" s="25">
        <v>8835840</v>
      </c>
      <c r="AA274" s="45"/>
      <c r="AB274" s="45"/>
      <c r="AC274" s="45"/>
      <c r="AD274" s="45"/>
      <c r="AE274" s="45"/>
    </row>
    <row r="275" spans="1:31" s="12" customFormat="1" ht="12">
      <c r="A275" s="27">
        <v>45604</v>
      </c>
      <c r="B275" s="53" t="s">
        <v>211</v>
      </c>
      <c r="C275" s="37" t="s">
        <v>82</v>
      </c>
      <c r="D275" s="34" t="s">
        <v>186</v>
      </c>
      <c r="E275" s="34" t="e">
        <f>IF(B275="","",VLOOKUP($B275,#REF!,4,FALSE))</f>
        <v>#REF!</v>
      </c>
      <c r="F275" s="34" t="e">
        <f>IF(E275="","",VLOOKUP($B275,#REF!,5,FALSE))</f>
        <v>#REF!</v>
      </c>
      <c r="G275" s="34" t="e">
        <f>IF(F275="","",VLOOKUP($B275,#REF!,6,FALSE))</f>
        <v>#REF!</v>
      </c>
      <c r="H275" s="34" t="e">
        <f>IF(G275="","",VLOOKUP($B275,#REF!,7,FALSE))</f>
        <v>#REF!</v>
      </c>
      <c r="I275" s="25"/>
      <c r="J275" s="25"/>
      <c r="K275" s="25"/>
      <c r="L275" s="25"/>
      <c r="M275" s="25"/>
      <c r="N275" s="25"/>
      <c r="O275" s="33">
        <f t="shared" si="9"/>
        <v>0</v>
      </c>
      <c r="P275" s="25"/>
      <c r="Q275" s="25">
        <v>0</v>
      </c>
      <c r="R275" s="25"/>
      <c r="S275" s="25"/>
      <c r="T275" s="25"/>
      <c r="U275" s="25"/>
      <c r="V275" s="39">
        <v>168</v>
      </c>
      <c r="W275" s="25"/>
      <c r="X275" s="33">
        <f t="shared" si="8"/>
        <v>168</v>
      </c>
      <c r="Y275" s="39">
        <v>46020</v>
      </c>
      <c r="Z275" s="25">
        <v>7731360</v>
      </c>
      <c r="AA275" s="45"/>
      <c r="AB275" s="45"/>
      <c r="AC275" s="45"/>
      <c r="AD275" s="45"/>
      <c r="AE275" s="45"/>
    </row>
    <row r="276" spans="1:31" s="12" customFormat="1" ht="12">
      <c r="A276" s="27">
        <v>45604</v>
      </c>
      <c r="B276" s="53" t="s">
        <v>47</v>
      </c>
      <c r="C276" s="37" t="s">
        <v>82</v>
      </c>
      <c r="D276" s="34" t="s">
        <v>186</v>
      </c>
      <c r="E276" s="34" t="e">
        <f>IF(B276="","",VLOOKUP($B276,#REF!,4,FALSE))</f>
        <v>#REF!</v>
      </c>
      <c r="F276" s="34" t="e">
        <f>IF(E276="","",VLOOKUP($B276,#REF!,5,FALSE))</f>
        <v>#REF!</v>
      </c>
      <c r="G276" s="34" t="e">
        <f>IF(F276="","",VLOOKUP($B276,#REF!,6,FALSE))</f>
        <v>#REF!</v>
      </c>
      <c r="H276" s="34" t="e">
        <f>IF(G276="","",VLOOKUP($B276,#REF!,7,FALSE))</f>
        <v>#REF!</v>
      </c>
      <c r="I276" s="25"/>
      <c r="J276" s="25"/>
      <c r="K276" s="25"/>
      <c r="L276" s="25"/>
      <c r="M276" s="25"/>
      <c r="N276" s="25"/>
      <c r="O276" s="33">
        <f t="shared" si="9"/>
        <v>0</v>
      </c>
      <c r="P276" s="25"/>
      <c r="Q276" s="25">
        <v>0</v>
      </c>
      <c r="R276" s="25"/>
      <c r="S276" s="25"/>
      <c r="T276" s="25"/>
      <c r="U276" s="25"/>
      <c r="V276" s="39">
        <v>56</v>
      </c>
      <c r="W276" s="25"/>
      <c r="X276" s="33">
        <f t="shared" si="8"/>
        <v>56</v>
      </c>
      <c r="Y276" s="39">
        <v>18860</v>
      </c>
      <c r="Z276" s="25">
        <v>1056160</v>
      </c>
      <c r="AA276" s="45"/>
      <c r="AB276" s="45"/>
      <c r="AC276" s="45"/>
      <c r="AD276" s="45"/>
      <c r="AE276" s="45"/>
    </row>
    <row r="277" spans="1:31" s="12" customFormat="1" ht="12">
      <c r="A277" s="27">
        <v>45604</v>
      </c>
      <c r="B277" s="53" t="s">
        <v>160</v>
      </c>
      <c r="C277" s="37" t="s">
        <v>82</v>
      </c>
      <c r="D277" s="34" t="s">
        <v>186</v>
      </c>
      <c r="E277" s="34" t="e">
        <f>IF(B277="","",VLOOKUP($B277,#REF!,4,FALSE))</f>
        <v>#REF!</v>
      </c>
      <c r="F277" s="34" t="e">
        <f>IF(E277="","",VLOOKUP($B277,#REF!,5,FALSE))</f>
        <v>#REF!</v>
      </c>
      <c r="G277" s="34" t="e">
        <f>IF(F277="","",VLOOKUP($B277,#REF!,6,FALSE))</f>
        <v>#REF!</v>
      </c>
      <c r="H277" s="34" t="e">
        <f>IF(G277="","",VLOOKUP($B277,#REF!,7,FALSE))</f>
        <v>#REF!</v>
      </c>
      <c r="I277" s="25"/>
      <c r="J277" s="25"/>
      <c r="K277" s="25"/>
      <c r="L277" s="25"/>
      <c r="M277" s="25"/>
      <c r="N277" s="25"/>
      <c r="O277" s="33">
        <f t="shared" si="9"/>
        <v>0</v>
      </c>
      <c r="P277" s="25"/>
      <c r="Q277" s="25">
        <v>0</v>
      </c>
      <c r="R277" s="25"/>
      <c r="S277" s="25"/>
      <c r="T277" s="25"/>
      <c r="U277" s="25"/>
      <c r="V277" s="39">
        <v>36</v>
      </c>
      <c r="W277" s="25"/>
      <c r="X277" s="33">
        <f t="shared" si="8"/>
        <v>36</v>
      </c>
      <c r="Y277" s="39">
        <v>97900</v>
      </c>
      <c r="Z277" s="25">
        <v>3524400</v>
      </c>
      <c r="AA277" s="45"/>
      <c r="AB277" s="45"/>
      <c r="AC277" s="45"/>
      <c r="AD277" s="45"/>
      <c r="AE277" s="45"/>
    </row>
    <row r="278" spans="1:31" s="12" customFormat="1" ht="12">
      <c r="A278" s="27">
        <v>45604</v>
      </c>
      <c r="B278" s="47" t="s">
        <v>15</v>
      </c>
      <c r="C278" s="37" t="s">
        <v>83</v>
      </c>
      <c r="D278" s="34" t="s">
        <v>185</v>
      </c>
      <c r="E278" s="34" t="e">
        <f>IF(B278="","",VLOOKUP($B278,#REF!,4,FALSE))</f>
        <v>#REF!</v>
      </c>
      <c r="F278" s="34" t="e">
        <f>IF(E278="","",VLOOKUP($B278,#REF!,5,FALSE))</f>
        <v>#REF!</v>
      </c>
      <c r="G278" s="34" t="e">
        <f>IF(F278="","",VLOOKUP($B278,#REF!,6,FALSE))</f>
        <v>#REF!</v>
      </c>
      <c r="H278" s="34" t="e">
        <f>IF(G278="","",VLOOKUP($B278,#REF!,7,FALSE))</f>
        <v>#REF!</v>
      </c>
      <c r="I278" s="25"/>
      <c r="J278" s="25"/>
      <c r="K278" s="25"/>
      <c r="L278" s="25"/>
      <c r="M278" s="25"/>
      <c r="N278" s="25"/>
      <c r="O278" s="33">
        <f t="shared" si="9"/>
        <v>0</v>
      </c>
      <c r="P278" s="25"/>
      <c r="Q278" s="25">
        <v>0</v>
      </c>
      <c r="R278" s="25"/>
      <c r="S278" s="25"/>
      <c r="T278" s="25">
        <v>7</v>
      </c>
      <c r="U278" s="25"/>
      <c r="V278" s="39"/>
      <c r="W278" s="25"/>
      <c r="X278" s="33">
        <f t="shared" si="8"/>
        <v>7</v>
      </c>
      <c r="Y278" s="39">
        <v>69600</v>
      </c>
      <c r="Z278" s="25">
        <v>487200</v>
      </c>
      <c r="AA278" s="45"/>
      <c r="AB278" s="45"/>
      <c r="AC278" s="45"/>
      <c r="AD278" s="45"/>
      <c r="AE278" s="45"/>
    </row>
    <row r="279" spans="1:31" s="12" customFormat="1" ht="12">
      <c r="A279" s="27">
        <v>45604</v>
      </c>
      <c r="B279" s="53" t="s">
        <v>10</v>
      </c>
      <c r="C279" s="37" t="s">
        <v>83</v>
      </c>
      <c r="D279" s="34" t="s">
        <v>185</v>
      </c>
      <c r="E279" s="34" t="e">
        <f>IF(B279="","",VLOOKUP($B279,#REF!,4,FALSE))</f>
        <v>#REF!</v>
      </c>
      <c r="F279" s="34" t="e">
        <f>IF(E279="","",VLOOKUP($B279,#REF!,5,FALSE))</f>
        <v>#REF!</v>
      </c>
      <c r="G279" s="34" t="e">
        <f>IF(F279="","",VLOOKUP($B279,#REF!,6,FALSE))</f>
        <v>#REF!</v>
      </c>
      <c r="H279" s="34" t="e">
        <f>IF(G279="","",VLOOKUP($B279,#REF!,7,FALSE))</f>
        <v>#REF!</v>
      </c>
      <c r="I279" s="25"/>
      <c r="J279" s="25"/>
      <c r="K279" s="25"/>
      <c r="L279" s="25"/>
      <c r="M279" s="25"/>
      <c r="N279" s="25"/>
      <c r="O279" s="33">
        <f t="shared" si="9"/>
        <v>0</v>
      </c>
      <c r="P279" s="25"/>
      <c r="Q279" s="25">
        <v>0</v>
      </c>
      <c r="R279" s="25"/>
      <c r="S279" s="25"/>
      <c r="T279" s="25">
        <v>1</v>
      </c>
      <c r="U279" s="25"/>
      <c r="V279" s="39"/>
      <c r="W279" s="25"/>
      <c r="X279" s="33">
        <f t="shared" si="8"/>
        <v>1</v>
      </c>
      <c r="Y279" s="39">
        <v>57000</v>
      </c>
      <c r="Z279" s="25">
        <v>57000</v>
      </c>
      <c r="AA279" s="45"/>
      <c r="AB279" s="45"/>
      <c r="AC279" s="45"/>
      <c r="AD279" s="45"/>
      <c r="AE279" s="45"/>
    </row>
    <row r="280" spans="1:31" s="12" customFormat="1" ht="12">
      <c r="A280" s="27">
        <v>45604</v>
      </c>
      <c r="B280" s="75" t="s">
        <v>38</v>
      </c>
      <c r="C280" s="37" t="s">
        <v>83</v>
      </c>
      <c r="D280" s="34" t="s">
        <v>185</v>
      </c>
      <c r="E280" s="34" t="e">
        <f>IF(B280="","",VLOOKUP($B280,#REF!,4,FALSE))</f>
        <v>#REF!</v>
      </c>
      <c r="F280" s="34" t="e">
        <f>IF(E280="","",VLOOKUP($B280,#REF!,5,FALSE))</f>
        <v>#REF!</v>
      </c>
      <c r="G280" s="34" t="e">
        <f>IF(F280="","",VLOOKUP($B280,#REF!,6,FALSE))</f>
        <v>#REF!</v>
      </c>
      <c r="H280" s="34" t="e">
        <f>IF(G280="","",VLOOKUP($B280,#REF!,7,FALSE))</f>
        <v>#REF!</v>
      </c>
      <c r="I280" s="25"/>
      <c r="J280" s="25"/>
      <c r="K280" s="25"/>
      <c r="L280" s="25"/>
      <c r="M280" s="25"/>
      <c r="N280" s="25"/>
      <c r="O280" s="33">
        <f t="shared" si="9"/>
        <v>0</v>
      </c>
      <c r="P280" s="25"/>
      <c r="Q280" s="25">
        <v>0</v>
      </c>
      <c r="R280" s="25"/>
      <c r="S280" s="25"/>
      <c r="T280" s="25">
        <v>10</v>
      </c>
      <c r="U280" s="25"/>
      <c r="V280" s="39"/>
      <c r="W280" s="25"/>
      <c r="X280" s="33">
        <f t="shared" si="8"/>
        <v>10</v>
      </c>
      <c r="Y280" s="39">
        <v>54600</v>
      </c>
      <c r="Z280" s="25">
        <v>546000</v>
      </c>
      <c r="AA280" s="45"/>
      <c r="AB280" s="45"/>
      <c r="AC280" s="45"/>
      <c r="AD280" s="45"/>
      <c r="AE280" s="45"/>
    </row>
    <row r="281" spans="1:31" s="12" customFormat="1" ht="12">
      <c r="A281" s="27">
        <v>45604</v>
      </c>
      <c r="B281" s="53" t="s">
        <v>23</v>
      </c>
      <c r="C281" s="37" t="s">
        <v>83</v>
      </c>
      <c r="D281" s="34" t="s">
        <v>185</v>
      </c>
      <c r="E281" s="34" t="e">
        <f>IF(B281="","",VLOOKUP($B281,#REF!,4,FALSE))</f>
        <v>#REF!</v>
      </c>
      <c r="F281" s="34" t="e">
        <f>IF(E281="","",VLOOKUP($B281,#REF!,5,FALSE))</f>
        <v>#REF!</v>
      </c>
      <c r="G281" s="34" t="e">
        <f>IF(F281="","",VLOOKUP($B281,#REF!,6,FALSE))</f>
        <v>#REF!</v>
      </c>
      <c r="H281" s="34" t="e">
        <f>IF(G281="","",VLOOKUP($B281,#REF!,7,FALSE))</f>
        <v>#REF!</v>
      </c>
      <c r="I281" s="25"/>
      <c r="J281" s="25"/>
      <c r="K281" s="25"/>
      <c r="L281" s="25"/>
      <c r="M281" s="25"/>
      <c r="N281" s="25"/>
      <c r="O281" s="33">
        <f t="shared" si="9"/>
        <v>0</v>
      </c>
      <c r="P281" s="25"/>
      <c r="Q281" s="25">
        <v>0</v>
      </c>
      <c r="R281" s="25"/>
      <c r="S281" s="25"/>
      <c r="T281" s="25">
        <v>25</v>
      </c>
      <c r="U281" s="25"/>
      <c r="V281" s="39"/>
      <c r="W281" s="25"/>
      <c r="X281" s="33">
        <f t="shared" si="8"/>
        <v>25</v>
      </c>
      <c r="Y281" s="39">
        <v>46080</v>
      </c>
      <c r="Z281" s="25">
        <v>1152000</v>
      </c>
      <c r="AA281" s="45"/>
      <c r="AB281" s="45"/>
      <c r="AC281" s="45"/>
      <c r="AD281" s="45"/>
      <c r="AE281" s="45"/>
    </row>
    <row r="282" spans="1:31" s="12" customFormat="1" ht="12">
      <c r="A282" s="27">
        <v>45604</v>
      </c>
      <c r="B282" s="53" t="s">
        <v>61</v>
      </c>
      <c r="C282" s="37" t="s">
        <v>83</v>
      </c>
      <c r="D282" s="34" t="s">
        <v>185</v>
      </c>
      <c r="E282" s="34" t="e">
        <f>IF(B282="","",VLOOKUP($B282,#REF!,4,FALSE))</f>
        <v>#REF!</v>
      </c>
      <c r="F282" s="34" t="e">
        <f>IF(E282="","",VLOOKUP($B282,#REF!,5,FALSE))</f>
        <v>#REF!</v>
      </c>
      <c r="G282" s="34" t="e">
        <f>IF(F282="","",VLOOKUP($B282,#REF!,6,FALSE))</f>
        <v>#REF!</v>
      </c>
      <c r="H282" s="34" t="e">
        <f>IF(G282="","",VLOOKUP($B282,#REF!,7,FALSE))</f>
        <v>#REF!</v>
      </c>
      <c r="I282" s="25"/>
      <c r="J282" s="25"/>
      <c r="K282" s="25"/>
      <c r="L282" s="25"/>
      <c r="M282" s="25"/>
      <c r="N282" s="25"/>
      <c r="O282" s="33">
        <f t="shared" si="9"/>
        <v>0</v>
      </c>
      <c r="P282" s="25"/>
      <c r="Q282" s="25">
        <v>0</v>
      </c>
      <c r="R282" s="25"/>
      <c r="S282" s="25"/>
      <c r="T282" s="25">
        <v>28</v>
      </c>
      <c r="U282" s="25"/>
      <c r="V282" s="39"/>
      <c r="W282" s="25"/>
      <c r="X282" s="33">
        <f t="shared" si="8"/>
        <v>28</v>
      </c>
      <c r="Y282" s="39">
        <v>67500</v>
      </c>
      <c r="Z282" s="25">
        <v>1890000</v>
      </c>
      <c r="AA282" s="45"/>
      <c r="AB282" s="45"/>
      <c r="AC282" s="45"/>
      <c r="AD282" s="45"/>
      <c r="AE282" s="45"/>
    </row>
    <row r="283" spans="1:31" s="12" customFormat="1" ht="12">
      <c r="A283" s="27">
        <v>45604</v>
      </c>
      <c r="B283" s="53" t="s">
        <v>26</v>
      </c>
      <c r="C283" s="37" t="s">
        <v>83</v>
      </c>
      <c r="D283" s="34" t="s">
        <v>185</v>
      </c>
      <c r="E283" s="34" t="e">
        <f>IF(B283="","",VLOOKUP($B283,#REF!,4,FALSE))</f>
        <v>#REF!</v>
      </c>
      <c r="F283" s="34" t="e">
        <f>IF(E283="","",VLOOKUP($B283,#REF!,5,FALSE))</f>
        <v>#REF!</v>
      </c>
      <c r="G283" s="34" t="e">
        <f>IF(F283="","",VLOOKUP($B283,#REF!,6,FALSE))</f>
        <v>#REF!</v>
      </c>
      <c r="H283" s="34" t="e">
        <f>IF(G283="","",VLOOKUP($B283,#REF!,7,FALSE))</f>
        <v>#REF!</v>
      </c>
      <c r="I283" s="25"/>
      <c r="J283" s="25"/>
      <c r="K283" s="25"/>
      <c r="L283" s="25"/>
      <c r="M283" s="25"/>
      <c r="N283" s="25"/>
      <c r="O283" s="33">
        <f t="shared" si="9"/>
        <v>0</v>
      </c>
      <c r="P283" s="25"/>
      <c r="Q283" s="25">
        <v>0</v>
      </c>
      <c r="R283" s="25"/>
      <c r="S283" s="25"/>
      <c r="T283" s="25">
        <v>5</v>
      </c>
      <c r="U283" s="25"/>
      <c r="V283" s="39"/>
      <c r="W283" s="25"/>
      <c r="X283" s="33">
        <f t="shared" si="8"/>
        <v>5</v>
      </c>
      <c r="Y283" s="39">
        <v>23200</v>
      </c>
      <c r="Z283" s="25">
        <v>116000</v>
      </c>
      <c r="AA283" s="45"/>
      <c r="AB283" s="45"/>
      <c r="AC283" s="45"/>
      <c r="AD283" s="45"/>
      <c r="AE283" s="45"/>
    </row>
    <row r="284" spans="1:31" s="12" customFormat="1" ht="12">
      <c r="A284" s="27">
        <v>45604</v>
      </c>
      <c r="B284" s="53" t="s">
        <v>10</v>
      </c>
      <c r="C284" s="37" t="s">
        <v>83</v>
      </c>
      <c r="D284" s="34" t="s">
        <v>185</v>
      </c>
      <c r="E284" s="34" t="e">
        <f>IF(B284="","",VLOOKUP($B284,#REF!,4,FALSE))</f>
        <v>#REF!</v>
      </c>
      <c r="F284" s="34" t="e">
        <f>IF(E284="","",VLOOKUP($B284,#REF!,5,FALSE))</f>
        <v>#REF!</v>
      </c>
      <c r="G284" s="34" t="e">
        <f>IF(F284="","",VLOOKUP($B284,#REF!,6,FALSE))</f>
        <v>#REF!</v>
      </c>
      <c r="H284" s="34" t="e">
        <f>IF(G284="","",VLOOKUP($B284,#REF!,7,FALSE))</f>
        <v>#REF!</v>
      </c>
      <c r="I284" s="25"/>
      <c r="J284" s="25"/>
      <c r="K284" s="25"/>
      <c r="L284" s="25"/>
      <c r="M284" s="25"/>
      <c r="N284" s="25"/>
      <c r="O284" s="33">
        <f t="shared" si="9"/>
        <v>0</v>
      </c>
      <c r="P284" s="25"/>
      <c r="Q284" s="25">
        <v>0</v>
      </c>
      <c r="R284" s="25"/>
      <c r="S284" s="25"/>
      <c r="T284" s="25">
        <v>1</v>
      </c>
      <c r="U284" s="25"/>
      <c r="V284" s="39"/>
      <c r="W284" s="25"/>
      <c r="X284" s="33">
        <f t="shared" si="8"/>
        <v>1</v>
      </c>
      <c r="Y284" s="39"/>
      <c r="Z284" s="25">
        <v>0</v>
      </c>
      <c r="AA284" s="45"/>
      <c r="AB284" s="45"/>
      <c r="AC284" s="45"/>
      <c r="AD284" s="45"/>
      <c r="AE284" s="45"/>
    </row>
    <row r="285" spans="1:31" s="12" customFormat="1" ht="12">
      <c r="A285" s="27">
        <v>45604</v>
      </c>
      <c r="B285" s="53" t="s">
        <v>161</v>
      </c>
      <c r="C285" s="37" t="s">
        <v>83</v>
      </c>
      <c r="D285" s="34" t="s">
        <v>185</v>
      </c>
      <c r="E285" s="34" t="e">
        <f>IF(B285="","",VLOOKUP($B285,#REF!,4,FALSE))</f>
        <v>#REF!</v>
      </c>
      <c r="F285" s="34" t="e">
        <f>IF(E285="","",VLOOKUP($B285,#REF!,5,FALSE))</f>
        <v>#REF!</v>
      </c>
      <c r="G285" s="34" t="e">
        <f>IF(F285="","",VLOOKUP($B285,#REF!,6,FALSE))</f>
        <v>#REF!</v>
      </c>
      <c r="H285" s="34" t="e">
        <f>IF(G285="","",VLOOKUP($B285,#REF!,7,FALSE))</f>
        <v>#REF!</v>
      </c>
      <c r="I285" s="25"/>
      <c r="J285" s="25"/>
      <c r="K285" s="25">
        <v>1</v>
      </c>
      <c r="L285" s="25"/>
      <c r="M285" s="25"/>
      <c r="N285" s="25"/>
      <c r="O285" s="33">
        <f t="shared" si="9"/>
        <v>1</v>
      </c>
      <c r="P285" s="25"/>
      <c r="Q285" s="25">
        <v>0</v>
      </c>
      <c r="R285" s="25"/>
      <c r="S285" s="25"/>
      <c r="T285" s="25">
        <v>1</v>
      </c>
      <c r="U285" s="25"/>
      <c r="V285" s="39"/>
      <c r="W285" s="25"/>
      <c r="X285" s="33">
        <f t="shared" si="8"/>
        <v>1</v>
      </c>
      <c r="Y285" s="39">
        <v>44280</v>
      </c>
      <c r="Z285" s="25">
        <v>44280</v>
      </c>
      <c r="AA285" s="45"/>
      <c r="AB285" s="45"/>
      <c r="AC285" s="45"/>
      <c r="AD285" s="45"/>
      <c r="AE285" s="45"/>
    </row>
    <row r="286" spans="1:31" s="12" customFormat="1" ht="12">
      <c r="A286" s="27">
        <v>45604</v>
      </c>
      <c r="B286" s="53" t="s">
        <v>78</v>
      </c>
      <c r="C286" s="37" t="s">
        <v>144</v>
      </c>
      <c r="D286" s="34" t="s">
        <v>190</v>
      </c>
      <c r="E286" s="34" t="e">
        <f>IF(B286="","",VLOOKUP($B286,#REF!,4,FALSE))</f>
        <v>#REF!</v>
      </c>
      <c r="F286" s="34" t="e">
        <f>IF(E286="","",VLOOKUP($B286,#REF!,5,FALSE))</f>
        <v>#REF!</v>
      </c>
      <c r="G286" s="34" t="e">
        <f>IF(F286="","",VLOOKUP($B286,#REF!,6,FALSE))</f>
        <v>#REF!</v>
      </c>
      <c r="H286" s="34" t="e">
        <f>IF(G286="","",VLOOKUP($B286,#REF!,7,FALSE))</f>
        <v>#REF!</v>
      </c>
      <c r="I286" s="25"/>
      <c r="J286" s="25"/>
      <c r="K286" s="25"/>
      <c r="L286" s="25"/>
      <c r="M286" s="25"/>
      <c r="N286" s="25"/>
      <c r="O286" s="33">
        <f t="shared" si="9"/>
        <v>0</v>
      </c>
      <c r="P286" s="25"/>
      <c r="Q286" s="25">
        <v>0</v>
      </c>
      <c r="R286" s="25"/>
      <c r="S286" s="25"/>
      <c r="T286" s="25">
        <v>2</v>
      </c>
      <c r="U286" s="25"/>
      <c r="V286" s="39"/>
      <c r="W286" s="25"/>
      <c r="X286" s="33">
        <f t="shared" si="8"/>
        <v>2</v>
      </c>
      <c r="Y286" s="39"/>
      <c r="Z286" s="25">
        <v>0</v>
      </c>
      <c r="AA286" s="45" t="s">
        <v>210</v>
      </c>
      <c r="AB286" s="45"/>
      <c r="AC286" s="45"/>
      <c r="AD286" s="45"/>
      <c r="AE286" s="45"/>
    </row>
    <row r="287" spans="1:31" s="12" customFormat="1" ht="12">
      <c r="A287" s="27">
        <v>45604</v>
      </c>
      <c r="B287" s="53" t="s">
        <v>78</v>
      </c>
      <c r="C287" s="37" t="s">
        <v>144</v>
      </c>
      <c r="D287" s="34" t="s">
        <v>190</v>
      </c>
      <c r="E287" s="34" t="e">
        <f>IF(B287="","",VLOOKUP($B287,#REF!,4,FALSE))</f>
        <v>#REF!</v>
      </c>
      <c r="F287" s="34" t="e">
        <f>IF(E287="","",VLOOKUP($B287,#REF!,5,FALSE))</f>
        <v>#REF!</v>
      </c>
      <c r="G287" s="34" t="e">
        <f>IF(F287="","",VLOOKUP($B287,#REF!,6,FALSE))</f>
        <v>#REF!</v>
      </c>
      <c r="H287" s="34" t="e">
        <f>IF(G287="","",VLOOKUP($B287,#REF!,7,FALSE))</f>
        <v>#REF!</v>
      </c>
      <c r="I287" s="25"/>
      <c r="J287" s="25"/>
      <c r="K287" s="25"/>
      <c r="L287" s="25"/>
      <c r="M287" s="25"/>
      <c r="N287" s="25"/>
      <c r="O287" s="33">
        <f t="shared" si="9"/>
        <v>0</v>
      </c>
      <c r="P287" s="25"/>
      <c r="Q287" s="25">
        <v>0</v>
      </c>
      <c r="R287" s="25"/>
      <c r="S287" s="25"/>
      <c r="T287" s="25">
        <v>10</v>
      </c>
      <c r="U287" s="25"/>
      <c r="V287" s="39"/>
      <c r="W287" s="25"/>
      <c r="X287" s="33">
        <f t="shared" si="8"/>
        <v>10</v>
      </c>
      <c r="Y287" s="39"/>
      <c r="Z287" s="25">
        <v>0</v>
      </c>
      <c r="AA287" s="45" t="s">
        <v>215</v>
      </c>
      <c r="AB287" s="45"/>
      <c r="AC287" s="45"/>
      <c r="AD287" s="45"/>
      <c r="AE287" s="45"/>
    </row>
    <row r="288" spans="1:31" s="12" customFormat="1" ht="12">
      <c r="A288" s="27">
        <v>45604</v>
      </c>
      <c r="B288" s="53" t="s">
        <v>11</v>
      </c>
      <c r="C288" s="37" t="s">
        <v>136</v>
      </c>
      <c r="D288" s="34" t="s">
        <v>177</v>
      </c>
      <c r="E288" s="34" t="e">
        <f>IF(B288="","",VLOOKUP($B288,#REF!,4,FALSE))</f>
        <v>#REF!</v>
      </c>
      <c r="F288" s="34" t="e">
        <f>IF(E288="","",VLOOKUP($B288,#REF!,5,FALSE))</f>
        <v>#REF!</v>
      </c>
      <c r="G288" s="34" t="e">
        <f>IF(F288="","",VLOOKUP($B288,#REF!,6,FALSE))</f>
        <v>#REF!</v>
      </c>
      <c r="H288" s="34" t="e">
        <f>IF(G288="","",VLOOKUP($B288,#REF!,7,FALSE))</f>
        <v>#REF!</v>
      </c>
      <c r="I288" s="25"/>
      <c r="J288" s="25"/>
      <c r="K288" s="25"/>
      <c r="L288" s="25"/>
      <c r="M288" s="25"/>
      <c r="N288" s="25"/>
      <c r="O288" s="33">
        <f t="shared" si="9"/>
        <v>0</v>
      </c>
      <c r="P288" s="25"/>
      <c r="Q288" s="25">
        <v>0</v>
      </c>
      <c r="R288" s="25"/>
      <c r="S288" s="25"/>
      <c r="T288" s="25">
        <v>1</v>
      </c>
      <c r="U288" s="25"/>
      <c r="V288" s="39"/>
      <c r="W288" s="25"/>
      <c r="X288" s="33">
        <f t="shared" si="8"/>
        <v>1</v>
      </c>
      <c r="Y288" s="39">
        <v>44000</v>
      </c>
      <c r="Z288" s="25">
        <v>44000</v>
      </c>
      <c r="AA288" s="45" t="s">
        <v>136</v>
      </c>
      <c r="AB288" s="45" t="s">
        <v>177</v>
      </c>
      <c r="AC288" s="45"/>
      <c r="AD288" s="45"/>
      <c r="AE288" s="45"/>
    </row>
    <row r="289" spans="1:31" s="12" customFormat="1" ht="12">
      <c r="A289" s="27">
        <v>45604</v>
      </c>
      <c r="B289" s="28" t="s">
        <v>163</v>
      </c>
      <c r="C289" s="37" t="s">
        <v>135</v>
      </c>
      <c r="D289" s="34" t="s">
        <v>179</v>
      </c>
      <c r="E289" s="34" t="e">
        <f>IF(B289="","",VLOOKUP($B289,#REF!,4,FALSE))</f>
        <v>#REF!</v>
      </c>
      <c r="F289" s="34" t="e">
        <f>IF(E289="","",VLOOKUP($B289,#REF!,5,FALSE))</f>
        <v>#REF!</v>
      </c>
      <c r="G289" s="34" t="e">
        <f>IF(F289="","",VLOOKUP($B289,#REF!,6,FALSE))</f>
        <v>#REF!</v>
      </c>
      <c r="H289" s="34" t="e">
        <f>IF(G289="","",VLOOKUP($B289,#REF!,7,FALSE))</f>
        <v>#REF!</v>
      </c>
      <c r="I289" s="25"/>
      <c r="J289" s="25"/>
      <c r="K289" s="25"/>
      <c r="L289" s="25"/>
      <c r="M289" s="25"/>
      <c r="N289" s="25"/>
      <c r="O289" s="33">
        <f t="shared" si="9"/>
        <v>0</v>
      </c>
      <c r="P289" s="25"/>
      <c r="Q289" s="25">
        <v>0</v>
      </c>
      <c r="R289" s="25"/>
      <c r="S289" s="25"/>
      <c r="T289" s="25">
        <v>1</v>
      </c>
      <c r="U289" s="25"/>
      <c r="V289" s="39"/>
      <c r="W289" s="25"/>
      <c r="X289" s="33">
        <f t="shared" si="8"/>
        <v>1</v>
      </c>
      <c r="Y289" s="39">
        <v>46400</v>
      </c>
      <c r="Z289" s="25">
        <v>46400</v>
      </c>
      <c r="AA289" s="45" t="s">
        <v>135</v>
      </c>
      <c r="AB289" s="45" t="s">
        <v>179</v>
      </c>
      <c r="AC289" s="45"/>
      <c r="AD289" s="45"/>
      <c r="AE289" s="45"/>
    </row>
    <row r="290" spans="1:31" s="12" customFormat="1" ht="12">
      <c r="A290" s="27">
        <v>45604</v>
      </c>
      <c r="B290" s="28" t="s">
        <v>211</v>
      </c>
      <c r="C290" s="37">
        <v>0</v>
      </c>
      <c r="D290" s="34" t="s">
        <v>187</v>
      </c>
      <c r="E290" s="34" t="e">
        <f>IF(B290="","",VLOOKUP($B290,#REF!,4,FALSE))</f>
        <v>#REF!</v>
      </c>
      <c r="F290" s="34" t="e">
        <f>IF(E290="","",VLOOKUP($B290,#REF!,5,FALSE))</f>
        <v>#REF!</v>
      </c>
      <c r="G290" s="34" t="e">
        <f>IF(F290="","",VLOOKUP($B290,#REF!,6,FALSE))</f>
        <v>#REF!</v>
      </c>
      <c r="H290" s="34" t="e">
        <f>IF(G290="","",VLOOKUP($B290,#REF!,7,FALSE))</f>
        <v>#REF!</v>
      </c>
      <c r="I290" s="25"/>
      <c r="J290" s="25"/>
      <c r="K290" s="25"/>
      <c r="L290" s="25">
        <v>736</v>
      </c>
      <c r="M290" s="25"/>
      <c r="N290" s="25"/>
      <c r="O290" s="33">
        <f t="shared" si="9"/>
        <v>736</v>
      </c>
      <c r="P290" s="25"/>
      <c r="Q290" s="25">
        <v>0</v>
      </c>
      <c r="R290" s="25"/>
      <c r="S290" s="25"/>
      <c r="T290" s="25"/>
      <c r="U290" s="25"/>
      <c r="V290" s="39"/>
      <c r="W290" s="25"/>
      <c r="X290" s="33">
        <f t="shared" si="8"/>
        <v>0</v>
      </c>
      <c r="Y290" s="39"/>
      <c r="Z290" s="25">
        <v>0</v>
      </c>
      <c r="AA290" s="45"/>
      <c r="AB290" s="45"/>
      <c r="AC290" s="45"/>
      <c r="AD290" s="45"/>
      <c r="AE290" s="45"/>
    </row>
    <row r="291" spans="1:31" s="12" customFormat="1" ht="12">
      <c r="A291" s="27">
        <v>45604</v>
      </c>
      <c r="B291" s="28" t="s">
        <v>57</v>
      </c>
      <c r="C291" s="37">
        <v>0</v>
      </c>
      <c r="D291" s="34" t="s">
        <v>187</v>
      </c>
      <c r="E291" s="34" t="e">
        <f>IF(B291="","",VLOOKUP($B291,#REF!,4,FALSE))</f>
        <v>#REF!</v>
      </c>
      <c r="F291" s="34" t="e">
        <f>IF(E291="","",VLOOKUP($B291,#REF!,5,FALSE))</f>
        <v>#REF!</v>
      </c>
      <c r="G291" s="34" t="e">
        <f>IF(F291="","",VLOOKUP($B291,#REF!,6,FALSE))</f>
        <v>#REF!</v>
      </c>
      <c r="H291" s="34" t="e">
        <f>IF(G291="","",VLOOKUP($B291,#REF!,7,FALSE))</f>
        <v>#REF!</v>
      </c>
      <c r="I291" s="25"/>
      <c r="J291" s="25"/>
      <c r="K291" s="25"/>
      <c r="L291" s="25">
        <v>128</v>
      </c>
      <c r="M291" s="25"/>
      <c r="N291" s="25"/>
      <c r="O291" s="33">
        <f t="shared" si="9"/>
        <v>128</v>
      </c>
      <c r="P291" s="25"/>
      <c r="Q291" s="25">
        <v>0</v>
      </c>
      <c r="R291" s="25"/>
      <c r="S291" s="25"/>
      <c r="T291" s="25"/>
      <c r="U291" s="25"/>
      <c r="V291" s="39"/>
      <c r="W291" s="25"/>
      <c r="X291" s="33">
        <f t="shared" si="8"/>
        <v>0</v>
      </c>
      <c r="Y291" s="39"/>
      <c r="Z291" s="25">
        <v>0</v>
      </c>
      <c r="AA291" s="45"/>
      <c r="AB291" s="45"/>
      <c r="AC291" s="45"/>
      <c r="AD291" s="45"/>
      <c r="AE291" s="45"/>
    </row>
    <row r="292" spans="1:31" s="12" customFormat="1" ht="12">
      <c r="A292" s="27">
        <v>45604</v>
      </c>
      <c r="B292" s="28" t="s">
        <v>229</v>
      </c>
      <c r="C292" s="37">
        <v>0</v>
      </c>
      <c r="D292" s="34" t="s">
        <v>187</v>
      </c>
      <c r="E292" s="34" t="e">
        <f>IF(B292="","",VLOOKUP($B292,#REF!,4,FALSE))</f>
        <v>#REF!</v>
      </c>
      <c r="F292" s="34" t="e">
        <f>IF(E292="","",VLOOKUP($B292,#REF!,5,FALSE))</f>
        <v>#REF!</v>
      </c>
      <c r="G292" s="34" t="e">
        <f>IF(F292="","",VLOOKUP($B292,#REF!,6,FALSE))</f>
        <v>#REF!</v>
      </c>
      <c r="H292" s="34" t="e">
        <f>IF(G292="","",VLOOKUP($B292,#REF!,7,FALSE))</f>
        <v>#REF!</v>
      </c>
      <c r="I292" s="25"/>
      <c r="J292" s="25"/>
      <c r="K292" s="25"/>
      <c r="L292" s="25">
        <v>4007</v>
      </c>
      <c r="M292" s="25"/>
      <c r="N292" s="25"/>
      <c r="O292" s="33">
        <f t="shared" si="9"/>
        <v>4007</v>
      </c>
      <c r="P292" s="25"/>
      <c r="Q292" s="25">
        <v>0</v>
      </c>
      <c r="R292" s="25"/>
      <c r="S292" s="25"/>
      <c r="T292" s="25"/>
      <c r="U292" s="25"/>
      <c r="V292" s="39"/>
      <c r="W292" s="25"/>
      <c r="X292" s="33">
        <f t="shared" si="8"/>
        <v>0</v>
      </c>
      <c r="Y292" s="39"/>
      <c r="Z292" s="25">
        <v>0</v>
      </c>
      <c r="AA292" s="45"/>
      <c r="AB292" s="45"/>
      <c r="AC292" s="45"/>
      <c r="AD292" s="45"/>
      <c r="AE292" s="45"/>
    </row>
    <row r="293" spans="1:31" s="12" customFormat="1" ht="12">
      <c r="A293" s="27">
        <v>45604</v>
      </c>
      <c r="B293" s="20" t="s">
        <v>21</v>
      </c>
      <c r="C293" s="37">
        <v>0</v>
      </c>
      <c r="D293" s="34" t="s">
        <v>187</v>
      </c>
      <c r="E293" s="34" t="e">
        <f>IF(B293="","",VLOOKUP($B293,#REF!,4,FALSE))</f>
        <v>#REF!</v>
      </c>
      <c r="F293" s="34" t="e">
        <f>IF(E293="","",VLOOKUP($B293,#REF!,5,FALSE))</f>
        <v>#REF!</v>
      </c>
      <c r="G293" s="34" t="e">
        <f>IF(F293="","",VLOOKUP($B293,#REF!,6,FALSE))</f>
        <v>#REF!</v>
      </c>
      <c r="H293" s="34" t="e">
        <f>IF(G293="","",VLOOKUP($B293,#REF!,7,FALSE))</f>
        <v>#REF!</v>
      </c>
      <c r="I293" s="25"/>
      <c r="J293" s="25">
        <v>404</v>
      </c>
      <c r="K293" s="25"/>
      <c r="L293" s="25"/>
      <c r="M293" s="25"/>
      <c r="N293" s="25"/>
      <c r="O293" s="33">
        <f t="shared" si="9"/>
        <v>404</v>
      </c>
      <c r="P293" s="25"/>
      <c r="Q293" s="25">
        <v>0</v>
      </c>
      <c r="R293" s="25"/>
      <c r="S293" s="25"/>
      <c r="T293" s="25"/>
      <c r="U293" s="25"/>
      <c r="V293" s="39"/>
      <c r="W293" s="25"/>
      <c r="X293" s="33">
        <f t="shared" si="8"/>
        <v>0</v>
      </c>
      <c r="Y293" s="39"/>
      <c r="Z293" s="25">
        <v>0</v>
      </c>
      <c r="AA293" s="45"/>
      <c r="AB293" s="45"/>
      <c r="AC293" s="45"/>
      <c r="AD293" s="45"/>
      <c r="AE293" s="45"/>
    </row>
    <row r="294" spans="1:31" s="12" customFormat="1" ht="12">
      <c r="A294" s="27">
        <v>45604</v>
      </c>
      <c r="B294" s="53" t="s">
        <v>35</v>
      </c>
      <c r="C294" s="37">
        <v>0</v>
      </c>
      <c r="D294" s="34" t="s">
        <v>187</v>
      </c>
      <c r="E294" s="34" t="e">
        <f>IF(B294="","",VLOOKUP($B294,#REF!,4,FALSE))</f>
        <v>#REF!</v>
      </c>
      <c r="F294" s="34" t="e">
        <f>IF(E294="","",VLOOKUP($B294,#REF!,5,FALSE))</f>
        <v>#REF!</v>
      </c>
      <c r="G294" s="34" t="e">
        <f>IF(F294="","",VLOOKUP($B294,#REF!,6,FALSE))</f>
        <v>#REF!</v>
      </c>
      <c r="H294" s="34" t="e">
        <f>IF(G294="","",VLOOKUP($B294,#REF!,7,FALSE))</f>
        <v>#REF!</v>
      </c>
      <c r="I294" s="25">
        <v>408</v>
      </c>
      <c r="J294" s="25"/>
      <c r="K294" s="25"/>
      <c r="L294" s="25"/>
      <c r="M294" s="25"/>
      <c r="N294" s="25"/>
      <c r="O294" s="33">
        <f t="shared" si="9"/>
        <v>408</v>
      </c>
      <c r="P294" s="25"/>
      <c r="Q294" s="25">
        <v>0</v>
      </c>
      <c r="R294" s="25"/>
      <c r="S294" s="25"/>
      <c r="T294" s="25"/>
      <c r="U294" s="25"/>
      <c r="V294" s="39"/>
      <c r="W294" s="25"/>
      <c r="X294" s="33">
        <f t="shared" si="8"/>
        <v>0</v>
      </c>
      <c r="Y294" s="39"/>
      <c r="Z294" s="25">
        <v>0</v>
      </c>
      <c r="AA294" s="45"/>
      <c r="AB294" s="45"/>
      <c r="AC294" s="45"/>
      <c r="AD294" s="45"/>
      <c r="AE294" s="45"/>
    </row>
    <row r="295" spans="1:31" s="12" customFormat="1" ht="12">
      <c r="A295" s="27">
        <v>45604</v>
      </c>
      <c r="B295" s="53" t="s">
        <v>230</v>
      </c>
      <c r="C295" s="37">
        <v>0</v>
      </c>
      <c r="D295" s="34" t="s">
        <v>187</v>
      </c>
      <c r="E295" s="34" t="e">
        <f>IF(B295="","",VLOOKUP($B295,#REF!,4,FALSE))</f>
        <v>#REF!</v>
      </c>
      <c r="F295" s="34" t="e">
        <f>IF(E295="","",VLOOKUP($B295,#REF!,5,FALSE))</f>
        <v>#REF!</v>
      </c>
      <c r="G295" s="34" t="e">
        <f>IF(F295="","",VLOOKUP($B295,#REF!,6,FALSE))</f>
        <v>#REF!</v>
      </c>
      <c r="H295" s="34" t="e">
        <f>IF(G295="","",VLOOKUP($B295,#REF!,7,FALSE))</f>
        <v>#REF!</v>
      </c>
      <c r="I295" s="25">
        <v>112</v>
      </c>
      <c r="J295" s="25"/>
      <c r="K295" s="25"/>
      <c r="L295" s="25"/>
      <c r="M295" s="25"/>
      <c r="N295" s="25"/>
      <c r="O295" s="33">
        <f t="shared" si="9"/>
        <v>112</v>
      </c>
      <c r="P295" s="25"/>
      <c r="Q295" s="25">
        <v>0</v>
      </c>
      <c r="R295" s="25"/>
      <c r="S295" s="25"/>
      <c r="T295" s="25"/>
      <c r="U295" s="25"/>
      <c r="V295" s="39"/>
      <c r="W295" s="25"/>
      <c r="X295" s="33">
        <f t="shared" si="8"/>
        <v>0</v>
      </c>
      <c r="Y295" s="39"/>
      <c r="Z295" s="25">
        <v>0</v>
      </c>
      <c r="AA295" s="45"/>
      <c r="AB295" s="45"/>
      <c r="AC295" s="45"/>
      <c r="AD295" s="45"/>
      <c r="AE295" s="45"/>
    </row>
    <row r="296" spans="1:31" s="12" customFormat="1" ht="12">
      <c r="A296" s="27">
        <v>45604</v>
      </c>
      <c r="B296" s="73" t="s">
        <v>31</v>
      </c>
      <c r="C296" s="37">
        <v>0</v>
      </c>
      <c r="D296" s="34" t="s">
        <v>187</v>
      </c>
      <c r="E296" s="34" t="e">
        <f>IF(B296="","",VLOOKUP($B296,#REF!,4,FALSE))</f>
        <v>#REF!</v>
      </c>
      <c r="F296" s="34" t="e">
        <f>IF(E296="","",VLOOKUP($B296,#REF!,5,FALSE))</f>
        <v>#REF!</v>
      </c>
      <c r="G296" s="34" t="e">
        <f>IF(F296="","",VLOOKUP($B296,#REF!,6,FALSE))</f>
        <v>#REF!</v>
      </c>
      <c r="H296" s="34" t="e">
        <f>IF(G296="","",VLOOKUP($B296,#REF!,7,FALSE))</f>
        <v>#REF!</v>
      </c>
      <c r="I296" s="25">
        <v>96</v>
      </c>
      <c r="J296" s="25"/>
      <c r="K296" s="25"/>
      <c r="L296" s="25"/>
      <c r="M296" s="25"/>
      <c r="N296" s="25"/>
      <c r="O296" s="33">
        <f t="shared" si="9"/>
        <v>96</v>
      </c>
      <c r="P296" s="25"/>
      <c r="Q296" s="25">
        <v>0</v>
      </c>
      <c r="R296" s="25"/>
      <c r="S296" s="25"/>
      <c r="T296" s="25"/>
      <c r="U296" s="25"/>
      <c r="V296" s="39"/>
      <c r="W296" s="25"/>
      <c r="X296" s="33">
        <f t="shared" si="8"/>
        <v>0</v>
      </c>
      <c r="Y296" s="39"/>
      <c r="Z296" s="25">
        <v>0</v>
      </c>
      <c r="AA296" s="45"/>
      <c r="AB296" s="45"/>
      <c r="AC296" s="45"/>
      <c r="AD296" s="45"/>
      <c r="AE296" s="45"/>
    </row>
    <row r="297" spans="1:31" s="12" customFormat="1" ht="12">
      <c r="A297" s="27">
        <v>45605</v>
      </c>
      <c r="B297" s="28" t="s">
        <v>160</v>
      </c>
      <c r="C297" s="37" t="s">
        <v>82</v>
      </c>
      <c r="D297" s="34" t="s">
        <v>186</v>
      </c>
      <c r="E297" s="34" t="e">
        <f>IF(B297="","",VLOOKUP($B297,#REF!,4,FALSE))</f>
        <v>#REF!</v>
      </c>
      <c r="F297" s="34" t="e">
        <f>IF(E297="","",VLOOKUP($B297,#REF!,5,FALSE))</f>
        <v>#REF!</v>
      </c>
      <c r="G297" s="34" t="e">
        <f>IF(F297="","",VLOOKUP($B297,#REF!,6,FALSE))</f>
        <v>#REF!</v>
      </c>
      <c r="H297" s="34" t="e">
        <f>IF(G297="","",VLOOKUP($B297,#REF!,7,FALSE))</f>
        <v>#REF!</v>
      </c>
      <c r="I297" s="25"/>
      <c r="J297" s="25"/>
      <c r="K297" s="25"/>
      <c r="L297" s="25"/>
      <c r="M297" s="25"/>
      <c r="N297" s="25"/>
      <c r="O297" s="33">
        <f t="shared" si="9"/>
        <v>0</v>
      </c>
      <c r="P297" s="25"/>
      <c r="Q297" s="25">
        <v>0</v>
      </c>
      <c r="R297" s="25"/>
      <c r="S297" s="25"/>
      <c r="T297" s="25"/>
      <c r="U297" s="25"/>
      <c r="V297" s="39">
        <v>156</v>
      </c>
      <c r="W297" s="25"/>
      <c r="X297" s="33">
        <f t="shared" si="8"/>
        <v>156</v>
      </c>
      <c r="Y297" s="39">
        <v>100300</v>
      </c>
      <c r="Z297" s="25">
        <v>15646800</v>
      </c>
      <c r="AA297" s="45"/>
      <c r="AB297" s="45"/>
      <c r="AC297" s="45"/>
      <c r="AD297" s="45"/>
      <c r="AE297" s="45"/>
    </row>
    <row r="298" spans="1:31" s="12" customFormat="1" ht="12">
      <c r="A298" s="27">
        <v>45605</v>
      </c>
      <c r="B298" s="73" t="s">
        <v>24</v>
      </c>
      <c r="C298" s="37" t="s">
        <v>82</v>
      </c>
      <c r="D298" s="34" t="s">
        <v>186</v>
      </c>
      <c r="E298" s="34" t="e">
        <f>IF(B298="","",VLOOKUP($B298,#REF!,4,FALSE))</f>
        <v>#REF!</v>
      </c>
      <c r="F298" s="34" t="e">
        <f>IF(E298="","",VLOOKUP($B298,#REF!,5,FALSE))</f>
        <v>#REF!</v>
      </c>
      <c r="G298" s="34" t="e">
        <f>IF(F298="","",VLOOKUP($B298,#REF!,6,FALSE))</f>
        <v>#REF!</v>
      </c>
      <c r="H298" s="34" t="e">
        <f>IF(G298="","",VLOOKUP($B298,#REF!,7,FALSE))</f>
        <v>#REF!</v>
      </c>
      <c r="I298" s="25"/>
      <c r="J298" s="25"/>
      <c r="K298" s="25"/>
      <c r="L298" s="25"/>
      <c r="M298" s="25"/>
      <c r="N298" s="25"/>
      <c r="O298" s="33">
        <f t="shared" si="9"/>
        <v>0</v>
      </c>
      <c r="P298" s="25"/>
      <c r="Q298" s="25">
        <v>0</v>
      </c>
      <c r="R298" s="25"/>
      <c r="S298" s="25"/>
      <c r="T298" s="25"/>
      <c r="U298" s="25"/>
      <c r="V298" s="39">
        <v>72</v>
      </c>
      <c r="W298" s="25"/>
      <c r="X298" s="33">
        <f t="shared" si="8"/>
        <v>72</v>
      </c>
      <c r="Y298" s="39">
        <v>124920</v>
      </c>
      <c r="Z298" s="25">
        <v>8994240</v>
      </c>
      <c r="AA298" s="45"/>
      <c r="AB298" s="45"/>
      <c r="AC298" s="45"/>
      <c r="AD298" s="45"/>
      <c r="AE298" s="45"/>
    </row>
    <row r="299" spans="1:31" s="12" customFormat="1" ht="12">
      <c r="A299" s="27">
        <v>45605</v>
      </c>
      <c r="B299" s="28" t="s">
        <v>160</v>
      </c>
      <c r="C299" s="37" t="s">
        <v>82</v>
      </c>
      <c r="D299" s="34" t="s">
        <v>186</v>
      </c>
      <c r="E299" s="34" t="e">
        <f>IF(B299="","",VLOOKUP($B299,#REF!,4,FALSE))</f>
        <v>#REF!</v>
      </c>
      <c r="F299" s="34" t="e">
        <f>IF(E299="","",VLOOKUP($B299,#REF!,5,FALSE))</f>
        <v>#REF!</v>
      </c>
      <c r="G299" s="34" t="e">
        <f>IF(F299="","",VLOOKUP($B299,#REF!,6,FALSE))</f>
        <v>#REF!</v>
      </c>
      <c r="H299" s="34" t="e">
        <f>IF(G299="","",VLOOKUP($B299,#REF!,7,FALSE))</f>
        <v>#REF!</v>
      </c>
      <c r="I299" s="25"/>
      <c r="J299" s="25"/>
      <c r="K299" s="25"/>
      <c r="L299" s="25"/>
      <c r="M299" s="25"/>
      <c r="N299" s="25"/>
      <c r="O299" s="33">
        <f t="shared" si="9"/>
        <v>0</v>
      </c>
      <c r="P299" s="25"/>
      <c r="Q299" s="25">
        <v>0</v>
      </c>
      <c r="R299" s="25"/>
      <c r="S299" s="25"/>
      <c r="T299" s="25"/>
      <c r="U299" s="25"/>
      <c r="V299" s="39">
        <v>60</v>
      </c>
      <c r="W299" s="25"/>
      <c r="X299" s="33">
        <f t="shared" si="8"/>
        <v>60</v>
      </c>
      <c r="Y299" s="39">
        <v>100300</v>
      </c>
      <c r="Z299" s="25">
        <v>6018000</v>
      </c>
      <c r="AA299" s="45"/>
      <c r="AB299" s="45"/>
      <c r="AC299" s="45"/>
      <c r="AD299" s="45"/>
      <c r="AE299" s="45"/>
    </row>
    <row r="300" spans="1:31" s="12" customFormat="1" ht="12">
      <c r="A300" s="27">
        <v>45605</v>
      </c>
      <c r="B300" s="28" t="s">
        <v>28</v>
      </c>
      <c r="C300" s="37" t="s">
        <v>82</v>
      </c>
      <c r="D300" s="34" t="s">
        <v>186</v>
      </c>
      <c r="E300" s="34" t="e">
        <f>IF(B300="","",VLOOKUP($B300,#REF!,4,FALSE))</f>
        <v>#REF!</v>
      </c>
      <c r="F300" s="34" t="e">
        <f>IF(E300="","",VLOOKUP($B300,#REF!,5,FALSE))</f>
        <v>#REF!</v>
      </c>
      <c r="G300" s="34" t="e">
        <f>IF(F300="","",VLOOKUP($B300,#REF!,6,FALSE))</f>
        <v>#REF!</v>
      </c>
      <c r="H300" s="34" t="e">
        <f>IF(G300="","",VLOOKUP($B300,#REF!,7,FALSE))</f>
        <v>#REF!</v>
      </c>
      <c r="I300" s="25"/>
      <c r="J300" s="25"/>
      <c r="K300" s="25"/>
      <c r="L300" s="25"/>
      <c r="M300" s="25"/>
      <c r="N300" s="25"/>
      <c r="O300" s="33">
        <f t="shared" si="9"/>
        <v>0</v>
      </c>
      <c r="P300" s="25"/>
      <c r="Q300" s="25">
        <v>0</v>
      </c>
      <c r="R300" s="25"/>
      <c r="S300" s="25"/>
      <c r="T300" s="25"/>
      <c r="U300" s="25"/>
      <c r="V300" s="39">
        <v>36</v>
      </c>
      <c r="W300" s="25"/>
      <c r="X300" s="33">
        <f t="shared" si="8"/>
        <v>36</v>
      </c>
      <c r="Y300" s="39">
        <v>186150</v>
      </c>
      <c r="Z300" s="25">
        <v>6701400</v>
      </c>
      <c r="AA300" s="45"/>
      <c r="AB300" s="45"/>
      <c r="AC300" s="45"/>
      <c r="AD300" s="45"/>
      <c r="AE300" s="45"/>
    </row>
    <row r="301" spans="1:31" s="12" customFormat="1" ht="12">
      <c r="A301" s="27">
        <v>45605</v>
      </c>
      <c r="B301" s="28" t="s">
        <v>211</v>
      </c>
      <c r="C301" s="37" t="s">
        <v>82</v>
      </c>
      <c r="D301" s="34" t="s">
        <v>186</v>
      </c>
      <c r="E301" s="34" t="e">
        <f>IF(B301="","",VLOOKUP($B301,#REF!,4,FALSE))</f>
        <v>#REF!</v>
      </c>
      <c r="F301" s="34" t="e">
        <f>IF(E301="","",VLOOKUP($B301,#REF!,5,FALSE))</f>
        <v>#REF!</v>
      </c>
      <c r="G301" s="34" t="e">
        <f>IF(F301="","",VLOOKUP($B301,#REF!,6,FALSE))</f>
        <v>#REF!</v>
      </c>
      <c r="H301" s="34" t="e">
        <f>IF(G301="","",VLOOKUP($B301,#REF!,7,FALSE))</f>
        <v>#REF!</v>
      </c>
      <c r="I301" s="25"/>
      <c r="J301" s="25"/>
      <c r="K301" s="25"/>
      <c r="L301" s="25"/>
      <c r="M301" s="25"/>
      <c r="N301" s="25"/>
      <c r="O301" s="33">
        <f t="shared" si="9"/>
        <v>0</v>
      </c>
      <c r="P301" s="25"/>
      <c r="Q301" s="25">
        <v>0</v>
      </c>
      <c r="R301" s="25"/>
      <c r="S301" s="25"/>
      <c r="T301" s="25"/>
      <c r="U301" s="25"/>
      <c r="V301" s="39">
        <v>180</v>
      </c>
      <c r="W301" s="25"/>
      <c r="X301" s="33">
        <f t="shared" si="8"/>
        <v>180</v>
      </c>
      <c r="Y301" s="39">
        <v>46020</v>
      </c>
      <c r="Z301" s="25">
        <v>8283600</v>
      </c>
      <c r="AA301" s="45"/>
      <c r="AB301" s="45"/>
      <c r="AC301" s="45"/>
      <c r="AD301" s="45"/>
      <c r="AE301" s="45"/>
    </row>
    <row r="302" spans="1:31" s="12" customFormat="1" ht="12">
      <c r="A302" s="27">
        <v>45605</v>
      </c>
      <c r="B302" s="29" t="s">
        <v>211</v>
      </c>
      <c r="C302" s="37" t="s">
        <v>82</v>
      </c>
      <c r="D302" s="34" t="s">
        <v>186</v>
      </c>
      <c r="E302" s="34" t="e">
        <f>IF(B302="","",VLOOKUP($B302,#REF!,4,FALSE))</f>
        <v>#REF!</v>
      </c>
      <c r="F302" s="34" t="e">
        <f>IF(E302="","",VLOOKUP($B302,#REF!,5,FALSE))</f>
        <v>#REF!</v>
      </c>
      <c r="G302" s="34" t="e">
        <f>IF(F302="","",VLOOKUP($B302,#REF!,6,FALSE))</f>
        <v>#REF!</v>
      </c>
      <c r="H302" s="34" t="e">
        <f>IF(G302="","",VLOOKUP($B302,#REF!,7,FALSE))</f>
        <v>#REF!</v>
      </c>
      <c r="I302" s="25"/>
      <c r="J302" s="25"/>
      <c r="K302" s="25"/>
      <c r="L302" s="25"/>
      <c r="M302" s="25"/>
      <c r="N302" s="25"/>
      <c r="O302" s="33">
        <f t="shared" si="9"/>
        <v>0</v>
      </c>
      <c r="P302" s="25"/>
      <c r="Q302" s="25">
        <v>0</v>
      </c>
      <c r="R302" s="25"/>
      <c r="S302" s="25"/>
      <c r="T302" s="25"/>
      <c r="U302" s="25"/>
      <c r="V302" s="39">
        <v>192</v>
      </c>
      <c r="W302" s="25"/>
      <c r="X302" s="33">
        <f t="shared" si="8"/>
        <v>192</v>
      </c>
      <c r="Y302" s="39">
        <v>46020</v>
      </c>
      <c r="Z302" s="25">
        <v>8835840</v>
      </c>
      <c r="AA302" s="45"/>
      <c r="AB302" s="45"/>
      <c r="AC302" s="45"/>
      <c r="AD302" s="45"/>
      <c r="AE302" s="45"/>
    </row>
    <row r="303" spans="1:31" s="12" customFormat="1" ht="12">
      <c r="A303" s="27">
        <v>45605</v>
      </c>
      <c r="B303" s="53" t="s">
        <v>188</v>
      </c>
      <c r="C303" s="37" t="s">
        <v>82</v>
      </c>
      <c r="D303" s="34" t="s">
        <v>186</v>
      </c>
      <c r="E303" s="34" t="e">
        <f>IF(B303="","",VLOOKUP($B303,#REF!,4,FALSE))</f>
        <v>#REF!</v>
      </c>
      <c r="F303" s="34" t="e">
        <f>IF(E303="","",VLOOKUP($B303,#REF!,5,FALSE))</f>
        <v>#REF!</v>
      </c>
      <c r="G303" s="34" t="e">
        <f>IF(F303="","",VLOOKUP($B303,#REF!,6,FALSE))</f>
        <v>#REF!</v>
      </c>
      <c r="H303" s="34" t="e">
        <f>IF(G303="","",VLOOKUP($B303,#REF!,7,FALSE))</f>
        <v>#REF!</v>
      </c>
      <c r="I303" s="25"/>
      <c r="J303" s="25"/>
      <c r="K303" s="25"/>
      <c r="L303" s="25"/>
      <c r="M303" s="25"/>
      <c r="N303" s="25"/>
      <c r="O303" s="33">
        <f t="shared" si="9"/>
        <v>0</v>
      </c>
      <c r="P303" s="25"/>
      <c r="Q303" s="25">
        <v>0</v>
      </c>
      <c r="R303" s="25"/>
      <c r="S303" s="25"/>
      <c r="T303" s="25"/>
      <c r="U303" s="25"/>
      <c r="V303" s="39">
        <v>192</v>
      </c>
      <c r="W303" s="25"/>
      <c r="X303" s="33">
        <f t="shared" si="8"/>
        <v>192</v>
      </c>
      <c r="Y303" s="39">
        <v>128000</v>
      </c>
      <c r="Z303" s="25">
        <v>24576000</v>
      </c>
      <c r="AA303" s="45"/>
      <c r="AB303" s="45"/>
      <c r="AC303" s="45"/>
      <c r="AD303" s="45"/>
      <c r="AE303" s="45"/>
    </row>
    <row r="304" spans="1:31" s="12" customFormat="1" ht="12">
      <c r="A304" s="27">
        <v>45605</v>
      </c>
      <c r="B304" s="53" t="s">
        <v>28</v>
      </c>
      <c r="C304" s="37" t="s">
        <v>82</v>
      </c>
      <c r="D304" s="34" t="s">
        <v>186</v>
      </c>
      <c r="E304" s="34" t="e">
        <f>IF(B304="","",VLOOKUP($B304,#REF!,4,FALSE))</f>
        <v>#REF!</v>
      </c>
      <c r="F304" s="34" t="e">
        <f>IF(E304="","",VLOOKUP($B304,#REF!,5,FALSE))</f>
        <v>#REF!</v>
      </c>
      <c r="G304" s="34" t="e">
        <f>IF(F304="","",VLOOKUP($B304,#REF!,6,FALSE))</f>
        <v>#REF!</v>
      </c>
      <c r="H304" s="34" t="e">
        <f>IF(G304="","",VLOOKUP($B304,#REF!,7,FALSE))</f>
        <v>#REF!</v>
      </c>
      <c r="I304" s="25"/>
      <c r="J304" s="25"/>
      <c r="K304" s="25"/>
      <c r="L304" s="25"/>
      <c r="M304" s="25"/>
      <c r="N304" s="25"/>
      <c r="O304" s="33">
        <f t="shared" si="9"/>
        <v>0</v>
      </c>
      <c r="P304" s="25"/>
      <c r="Q304" s="25">
        <v>0</v>
      </c>
      <c r="R304" s="25"/>
      <c r="S304" s="25"/>
      <c r="T304" s="25"/>
      <c r="U304" s="25"/>
      <c r="V304" s="39">
        <v>180</v>
      </c>
      <c r="W304" s="25"/>
      <c r="X304" s="33">
        <f t="shared" si="8"/>
        <v>180</v>
      </c>
      <c r="Y304" s="39">
        <v>186150</v>
      </c>
      <c r="Z304" s="25">
        <v>33507000</v>
      </c>
      <c r="AA304" s="45"/>
      <c r="AB304" s="45"/>
      <c r="AC304" s="45"/>
      <c r="AD304" s="45"/>
      <c r="AE304" s="45"/>
    </row>
    <row r="305" spans="1:31" s="12" customFormat="1" ht="12">
      <c r="A305" s="27">
        <v>45605</v>
      </c>
      <c r="B305" s="73" t="s">
        <v>57</v>
      </c>
      <c r="C305" s="37" t="s">
        <v>82</v>
      </c>
      <c r="D305" s="34" t="s">
        <v>186</v>
      </c>
      <c r="E305" s="34" t="e">
        <f>IF(B305="","",VLOOKUP($B305,#REF!,4,FALSE))</f>
        <v>#REF!</v>
      </c>
      <c r="F305" s="34" t="e">
        <f>IF(E305="","",VLOOKUP($B305,#REF!,5,FALSE))</f>
        <v>#REF!</v>
      </c>
      <c r="G305" s="34" t="e">
        <f>IF(F305="","",VLOOKUP($B305,#REF!,6,FALSE))</f>
        <v>#REF!</v>
      </c>
      <c r="H305" s="34" t="e">
        <f>IF(G305="","",VLOOKUP($B305,#REF!,7,FALSE))</f>
        <v>#REF!</v>
      </c>
      <c r="I305" s="25"/>
      <c r="J305" s="25"/>
      <c r="K305" s="25"/>
      <c r="L305" s="25"/>
      <c r="M305" s="25"/>
      <c r="N305" s="25"/>
      <c r="O305" s="33">
        <f t="shared" si="9"/>
        <v>0</v>
      </c>
      <c r="P305" s="25"/>
      <c r="Q305" s="25">
        <v>0</v>
      </c>
      <c r="R305" s="25"/>
      <c r="S305" s="25"/>
      <c r="T305" s="25"/>
      <c r="U305" s="25"/>
      <c r="V305" s="39">
        <v>32</v>
      </c>
      <c r="W305" s="25"/>
      <c r="X305" s="33">
        <f t="shared" si="8"/>
        <v>32</v>
      </c>
      <c r="Y305" s="39">
        <v>163800</v>
      </c>
      <c r="Z305" s="25">
        <v>5241600</v>
      </c>
      <c r="AA305" s="45"/>
      <c r="AB305" s="45"/>
      <c r="AC305" s="45"/>
      <c r="AD305" s="45"/>
      <c r="AE305" s="45"/>
    </row>
    <row r="306" spans="1:31" s="12" customFormat="1" ht="12">
      <c r="A306" s="27">
        <v>45605</v>
      </c>
      <c r="B306" s="53" t="s">
        <v>57</v>
      </c>
      <c r="C306" s="37" t="s">
        <v>82</v>
      </c>
      <c r="D306" s="34" t="s">
        <v>186</v>
      </c>
      <c r="E306" s="34" t="e">
        <f>IF(B306="","",VLOOKUP($B306,#REF!,4,FALSE))</f>
        <v>#REF!</v>
      </c>
      <c r="F306" s="34" t="e">
        <f>IF(E306="","",VLOOKUP($B306,#REF!,5,FALSE))</f>
        <v>#REF!</v>
      </c>
      <c r="G306" s="34" t="e">
        <f>IF(F306="","",VLOOKUP($B306,#REF!,6,FALSE))</f>
        <v>#REF!</v>
      </c>
      <c r="H306" s="34" t="e">
        <f>IF(G306="","",VLOOKUP($B306,#REF!,7,FALSE))</f>
        <v>#REF!</v>
      </c>
      <c r="I306" s="25"/>
      <c r="J306" s="25"/>
      <c r="K306" s="25"/>
      <c r="L306" s="25"/>
      <c r="M306" s="25"/>
      <c r="N306" s="25"/>
      <c r="O306" s="33">
        <f t="shared" si="9"/>
        <v>0</v>
      </c>
      <c r="P306" s="25"/>
      <c r="Q306" s="25">
        <v>0</v>
      </c>
      <c r="R306" s="25"/>
      <c r="S306" s="25"/>
      <c r="T306" s="25"/>
      <c r="U306" s="25"/>
      <c r="V306" s="39">
        <v>256</v>
      </c>
      <c r="W306" s="25"/>
      <c r="X306" s="33">
        <f t="shared" si="8"/>
        <v>256</v>
      </c>
      <c r="Y306" s="39">
        <v>163800</v>
      </c>
      <c r="Z306" s="25">
        <v>41932800</v>
      </c>
      <c r="AA306" s="45"/>
      <c r="AB306" s="45"/>
      <c r="AC306" s="45"/>
      <c r="AD306" s="45"/>
      <c r="AE306" s="45"/>
    </row>
    <row r="307" spans="1:31" s="12" customFormat="1" ht="12">
      <c r="A307" s="27">
        <v>45605</v>
      </c>
      <c r="B307" s="53" t="s">
        <v>219</v>
      </c>
      <c r="C307" s="37" t="s">
        <v>82</v>
      </c>
      <c r="D307" s="34" t="s">
        <v>186</v>
      </c>
      <c r="E307" s="34" t="e">
        <f>IF(B307="","",VLOOKUP($B307,#REF!,4,FALSE))</f>
        <v>#REF!</v>
      </c>
      <c r="F307" s="34" t="e">
        <f>IF(E307="","",VLOOKUP($B307,#REF!,5,FALSE))</f>
        <v>#REF!</v>
      </c>
      <c r="G307" s="34" t="e">
        <f>IF(F307="","",VLOOKUP($B307,#REF!,6,FALSE))</f>
        <v>#REF!</v>
      </c>
      <c r="H307" s="34" t="e">
        <f>IF(G307="","",VLOOKUP($B307,#REF!,7,FALSE))</f>
        <v>#REF!</v>
      </c>
      <c r="I307" s="25"/>
      <c r="J307" s="25"/>
      <c r="K307" s="25"/>
      <c r="L307" s="25"/>
      <c r="M307" s="25"/>
      <c r="N307" s="25"/>
      <c r="O307" s="33">
        <f t="shared" si="9"/>
        <v>0</v>
      </c>
      <c r="P307" s="25"/>
      <c r="Q307" s="25">
        <v>0</v>
      </c>
      <c r="R307" s="25"/>
      <c r="S307" s="25"/>
      <c r="T307" s="25"/>
      <c r="U307" s="25"/>
      <c r="V307" s="39">
        <v>180</v>
      </c>
      <c r="W307" s="25"/>
      <c r="X307" s="33">
        <f t="shared" si="8"/>
        <v>180</v>
      </c>
      <c r="Y307" s="39">
        <v>235000</v>
      </c>
      <c r="Z307" s="25">
        <v>42300000</v>
      </c>
      <c r="AA307" s="45"/>
      <c r="AB307" s="45"/>
      <c r="AC307" s="45"/>
      <c r="AD307" s="45"/>
      <c r="AE307" s="45"/>
    </row>
    <row r="308" spans="1:31" s="12" customFormat="1" ht="12">
      <c r="A308" s="27">
        <v>45605</v>
      </c>
      <c r="B308" s="47" t="s">
        <v>58</v>
      </c>
      <c r="C308" s="37" t="s">
        <v>82</v>
      </c>
      <c r="D308" s="34" t="s">
        <v>186</v>
      </c>
      <c r="E308" s="34" t="e">
        <f>IF(B308="","",VLOOKUP($B308,#REF!,4,FALSE))</f>
        <v>#REF!</v>
      </c>
      <c r="F308" s="34" t="e">
        <f>IF(E308="","",VLOOKUP($B308,#REF!,5,FALSE))</f>
        <v>#REF!</v>
      </c>
      <c r="G308" s="34" t="e">
        <f>IF(F308="","",VLOOKUP($B308,#REF!,6,FALSE))</f>
        <v>#REF!</v>
      </c>
      <c r="H308" s="34" t="e">
        <f>IF(G308="","",VLOOKUP($B308,#REF!,7,FALSE))</f>
        <v>#REF!</v>
      </c>
      <c r="I308" s="25"/>
      <c r="J308" s="25"/>
      <c r="K308" s="25"/>
      <c r="L308" s="25"/>
      <c r="M308" s="25"/>
      <c r="N308" s="25"/>
      <c r="O308" s="33">
        <f t="shared" si="9"/>
        <v>0</v>
      </c>
      <c r="P308" s="25"/>
      <c r="Q308" s="25">
        <v>0</v>
      </c>
      <c r="R308" s="25"/>
      <c r="S308" s="25"/>
      <c r="T308" s="25"/>
      <c r="U308" s="25"/>
      <c r="V308" s="39">
        <v>180</v>
      </c>
      <c r="W308" s="25"/>
      <c r="X308" s="33">
        <f t="shared" si="8"/>
        <v>180</v>
      </c>
      <c r="Y308" s="39">
        <v>170880</v>
      </c>
      <c r="Z308" s="25">
        <v>30758400</v>
      </c>
      <c r="AA308" s="45"/>
      <c r="AB308" s="45"/>
      <c r="AC308" s="45"/>
      <c r="AD308" s="45"/>
      <c r="AE308" s="45"/>
    </row>
    <row r="309" spans="1:31" s="12" customFormat="1" ht="12">
      <c r="A309" s="27">
        <v>45605</v>
      </c>
      <c r="B309" s="53" t="s">
        <v>28</v>
      </c>
      <c r="C309" s="37" t="s">
        <v>82</v>
      </c>
      <c r="D309" s="34" t="s">
        <v>186</v>
      </c>
      <c r="E309" s="34" t="e">
        <f>IF(B309="","",VLOOKUP($B309,#REF!,4,FALSE))</f>
        <v>#REF!</v>
      </c>
      <c r="F309" s="34" t="e">
        <f>IF(E309="","",VLOOKUP($B309,#REF!,5,FALSE))</f>
        <v>#REF!</v>
      </c>
      <c r="G309" s="34" t="e">
        <f>IF(F309="","",VLOOKUP($B309,#REF!,6,FALSE))</f>
        <v>#REF!</v>
      </c>
      <c r="H309" s="34" t="e">
        <f>IF(G309="","",VLOOKUP($B309,#REF!,7,FALSE))</f>
        <v>#REF!</v>
      </c>
      <c r="I309" s="25"/>
      <c r="J309" s="25"/>
      <c r="K309" s="25"/>
      <c r="L309" s="25"/>
      <c r="M309" s="25"/>
      <c r="N309" s="25"/>
      <c r="O309" s="33">
        <f t="shared" si="9"/>
        <v>0</v>
      </c>
      <c r="P309" s="25"/>
      <c r="Q309" s="25">
        <v>0</v>
      </c>
      <c r="R309" s="25"/>
      <c r="S309" s="25"/>
      <c r="T309" s="25"/>
      <c r="U309" s="25"/>
      <c r="V309" s="39">
        <v>36</v>
      </c>
      <c r="W309" s="25"/>
      <c r="X309" s="33">
        <f t="shared" si="8"/>
        <v>36</v>
      </c>
      <c r="Y309" s="39">
        <v>186150</v>
      </c>
      <c r="Z309" s="25">
        <v>6701400</v>
      </c>
      <c r="AA309" s="45"/>
      <c r="AB309" s="45"/>
      <c r="AC309" s="45"/>
      <c r="AD309" s="45"/>
      <c r="AE309" s="45"/>
    </row>
    <row r="310" spans="1:31" s="12" customFormat="1" ht="12">
      <c r="A310" s="27">
        <v>45605</v>
      </c>
      <c r="B310" s="53" t="s">
        <v>160</v>
      </c>
      <c r="C310" s="37" t="s">
        <v>82</v>
      </c>
      <c r="D310" s="34" t="s">
        <v>186</v>
      </c>
      <c r="E310" s="34" t="e">
        <f>IF(B310="","",VLOOKUP($B310,#REF!,4,FALSE))</f>
        <v>#REF!</v>
      </c>
      <c r="F310" s="34" t="e">
        <f>IF(E310="","",VLOOKUP($B310,#REF!,5,FALSE))</f>
        <v>#REF!</v>
      </c>
      <c r="G310" s="34" t="e">
        <f>IF(F310="","",VLOOKUP($B310,#REF!,6,FALSE))</f>
        <v>#REF!</v>
      </c>
      <c r="H310" s="34" t="e">
        <f>IF(G310="","",VLOOKUP($B310,#REF!,7,FALSE))</f>
        <v>#REF!</v>
      </c>
      <c r="I310" s="25"/>
      <c r="J310" s="25"/>
      <c r="K310" s="25"/>
      <c r="L310" s="25"/>
      <c r="M310" s="25"/>
      <c r="N310" s="25"/>
      <c r="O310" s="33">
        <f t="shared" si="9"/>
        <v>0</v>
      </c>
      <c r="P310" s="25"/>
      <c r="Q310" s="25">
        <v>0</v>
      </c>
      <c r="R310" s="25"/>
      <c r="S310" s="25"/>
      <c r="T310" s="25"/>
      <c r="U310" s="25"/>
      <c r="V310" s="39">
        <v>12</v>
      </c>
      <c r="W310" s="25"/>
      <c r="X310" s="33">
        <f t="shared" si="8"/>
        <v>12</v>
      </c>
      <c r="Y310" s="39">
        <v>97900</v>
      </c>
      <c r="Z310" s="25">
        <v>1174800</v>
      </c>
      <c r="AA310" s="45"/>
      <c r="AB310" s="45"/>
      <c r="AC310" s="45"/>
      <c r="AD310" s="45"/>
      <c r="AE310" s="45"/>
    </row>
    <row r="311" spans="1:31" s="12" customFormat="1" ht="12">
      <c r="A311" s="27">
        <v>45607</v>
      </c>
      <c r="B311" s="28" t="s">
        <v>28</v>
      </c>
      <c r="C311" s="37" t="s">
        <v>82</v>
      </c>
      <c r="D311" s="34" t="s">
        <v>186</v>
      </c>
      <c r="E311" s="34" t="e">
        <f>IF(B311="","",VLOOKUP($B311,#REF!,4,FALSE))</f>
        <v>#REF!</v>
      </c>
      <c r="F311" s="34" t="e">
        <f>IF(E311="","",VLOOKUP($B311,#REF!,5,FALSE))</f>
        <v>#REF!</v>
      </c>
      <c r="G311" s="34" t="e">
        <f>IF(F311="","",VLOOKUP($B311,#REF!,6,FALSE))</f>
        <v>#REF!</v>
      </c>
      <c r="H311" s="34" t="e">
        <f>IF(G311="","",VLOOKUP($B311,#REF!,7,FALSE))</f>
        <v>#REF!</v>
      </c>
      <c r="I311" s="25"/>
      <c r="J311" s="25"/>
      <c r="K311" s="25"/>
      <c r="L311" s="25"/>
      <c r="M311" s="25"/>
      <c r="N311" s="25"/>
      <c r="O311" s="33">
        <f t="shared" si="9"/>
        <v>0</v>
      </c>
      <c r="P311" s="25"/>
      <c r="Q311" s="25">
        <v>0</v>
      </c>
      <c r="R311" s="25"/>
      <c r="S311" s="25"/>
      <c r="T311" s="25"/>
      <c r="U311" s="25"/>
      <c r="V311" s="39">
        <v>36</v>
      </c>
      <c r="W311" s="25"/>
      <c r="X311" s="33">
        <f t="shared" si="8"/>
        <v>36</v>
      </c>
      <c r="Y311" s="39">
        <v>186150</v>
      </c>
      <c r="Z311" s="25">
        <v>6701400</v>
      </c>
      <c r="AA311" s="45"/>
      <c r="AB311" s="45"/>
      <c r="AC311" s="45"/>
      <c r="AD311" s="45"/>
      <c r="AE311" s="45"/>
    </row>
    <row r="312" spans="1:31" s="12" customFormat="1" ht="12">
      <c r="A312" s="27">
        <v>45607</v>
      </c>
      <c r="B312" s="76" t="s">
        <v>160</v>
      </c>
      <c r="C312" s="37" t="s">
        <v>82</v>
      </c>
      <c r="D312" s="34" t="s">
        <v>186</v>
      </c>
      <c r="E312" s="34" t="e">
        <f>IF(B312="","",VLOOKUP($B312,#REF!,4,FALSE))</f>
        <v>#REF!</v>
      </c>
      <c r="F312" s="34" t="e">
        <f>IF(E312="","",VLOOKUP($B312,#REF!,5,FALSE))</f>
        <v>#REF!</v>
      </c>
      <c r="G312" s="34" t="e">
        <f>IF(F312="","",VLOOKUP($B312,#REF!,6,FALSE))</f>
        <v>#REF!</v>
      </c>
      <c r="H312" s="34" t="e">
        <f>IF(G312="","",VLOOKUP($B312,#REF!,7,FALSE))</f>
        <v>#REF!</v>
      </c>
      <c r="I312" s="25"/>
      <c r="J312" s="25"/>
      <c r="K312" s="25"/>
      <c r="L312" s="25"/>
      <c r="M312" s="25"/>
      <c r="N312" s="25"/>
      <c r="O312" s="33">
        <f t="shared" si="9"/>
        <v>0</v>
      </c>
      <c r="P312" s="25"/>
      <c r="Q312" s="25">
        <v>0</v>
      </c>
      <c r="R312" s="25"/>
      <c r="S312" s="25"/>
      <c r="T312" s="25"/>
      <c r="U312" s="25"/>
      <c r="V312" s="39">
        <v>24</v>
      </c>
      <c r="W312" s="25"/>
      <c r="X312" s="33">
        <f t="shared" si="8"/>
        <v>24</v>
      </c>
      <c r="Y312" s="39">
        <v>100300</v>
      </c>
      <c r="Z312" s="25">
        <v>2407200</v>
      </c>
      <c r="AA312" s="45"/>
      <c r="AB312" s="45"/>
      <c r="AC312" s="45"/>
      <c r="AD312" s="45"/>
      <c r="AE312" s="45"/>
    </row>
    <row r="313" spans="1:31" s="12" customFormat="1" ht="12">
      <c r="A313" s="27">
        <v>45607</v>
      </c>
      <c r="B313" s="53" t="s">
        <v>24</v>
      </c>
      <c r="C313" s="37" t="s">
        <v>82</v>
      </c>
      <c r="D313" s="34" t="s">
        <v>186</v>
      </c>
      <c r="E313" s="34" t="e">
        <f>IF(B313="","",VLOOKUP($B313,#REF!,4,FALSE))</f>
        <v>#REF!</v>
      </c>
      <c r="F313" s="34" t="e">
        <f>IF(E313="","",VLOOKUP($B313,#REF!,5,FALSE))</f>
        <v>#REF!</v>
      </c>
      <c r="G313" s="34" t="e">
        <f>IF(F313="","",VLOOKUP($B313,#REF!,6,FALSE))</f>
        <v>#REF!</v>
      </c>
      <c r="H313" s="34" t="e">
        <f>IF(G313="","",VLOOKUP($B313,#REF!,7,FALSE))</f>
        <v>#REF!</v>
      </c>
      <c r="I313" s="25"/>
      <c r="J313" s="25"/>
      <c r="K313" s="25"/>
      <c r="L313" s="25"/>
      <c r="M313" s="25"/>
      <c r="N313" s="25"/>
      <c r="O313" s="33">
        <f t="shared" si="9"/>
        <v>0</v>
      </c>
      <c r="P313" s="25"/>
      <c r="Q313" s="25">
        <v>0</v>
      </c>
      <c r="R313" s="25"/>
      <c r="S313" s="25"/>
      <c r="T313" s="25"/>
      <c r="U313" s="25"/>
      <c r="V313" s="39">
        <v>192</v>
      </c>
      <c r="W313" s="25"/>
      <c r="X313" s="33">
        <f t="shared" si="8"/>
        <v>192</v>
      </c>
      <c r="Y313" s="39">
        <v>124920</v>
      </c>
      <c r="Z313" s="25">
        <v>23984640</v>
      </c>
      <c r="AA313" s="45"/>
      <c r="AB313" s="45"/>
      <c r="AC313" s="45"/>
      <c r="AD313" s="45"/>
      <c r="AE313" s="45"/>
    </row>
    <row r="314" spans="1:31" s="12" customFormat="1" ht="12">
      <c r="A314" s="27">
        <v>45607</v>
      </c>
      <c r="B314" s="53" t="s">
        <v>160</v>
      </c>
      <c r="C314" s="37" t="s">
        <v>82</v>
      </c>
      <c r="D314" s="34" t="s">
        <v>186</v>
      </c>
      <c r="E314" s="34" t="e">
        <f>IF(B314="","",VLOOKUP($B314,#REF!,4,FALSE))</f>
        <v>#REF!</v>
      </c>
      <c r="F314" s="34" t="e">
        <f>IF(E314="","",VLOOKUP($B314,#REF!,5,FALSE))</f>
        <v>#REF!</v>
      </c>
      <c r="G314" s="34" t="e">
        <f>IF(F314="","",VLOOKUP($B314,#REF!,6,FALSE))</f>
        <v>#REF!</v>
      </c>
      <c r="H314" s="34" t="e">
        <f>IF(G314="","",VLOOKUP($B314,#REF!,7,FALSE))</f>
        <v>#REF!</v>
      </c>
      <c r="I314" s="25"/>
      <c r="J314" s="25"/>
      <c r="K314" s="25"/>
      <c r="L314" s="25"/>
      <c r="M314" s="25"/>
      <c r="N314" s="25"/>
      <c r="O314" s="33">
        <f t="shared" si="9"/>
        <v>0</v>
      </c>
      <c r="P314" s="25"/>
      <c r="Q314" s="25">
        <v>0</v>
      </c>
      <c r="R314" s="25"/>
      <c r="S314" s="25"/>
      <c r="T314" s="25"/>
      <c r="U314" s="25"/>
      <c r="V314" s="39">
        <v>192</v>
      </c>
      <c r="W314" s="25"/>
      <c r="X314" s="33">
        <f t="shared" si="8"/>
        <v>192</v>
      </c>
      <c r="Y314" s="39">
        <v>100300</v>
      </c>
      <c r="Z314" s="25">
        <v>19257600</v>
      </c>
      <c r="AA314" s="45"/>
      <c r="AB314" s="45"/>
      <c r="AC314" s="45"/>
      <c r="AD314" s="45"/>
      <c r="AE314" s="45"/>
    </row>
    <row r="315" spans="1:31" s="12" customFormat="1" ht="12">
      <c r="A315" s="27">
        <v>45607</v>
      </c>
      <c r="B315" s="47" t="s">
        <v>211</v>
      </c>
      <c r="C315" s="37" t="s">
        <v>82</v>
      </c>
      <c r="D315" s="34" t="s">
        <v>186</v>
      </c>
      <c r="E315" s="34" t="e">
        <f>IF(B315="","",VLOOKUP($B315,#REF!,4,FALSE))</f>
        <v>#REF!</v>
      </c>
      <c r="F315" s="34" t="e">
        <f>IF(E315="","",VLOOKUP($B315,#REF!,5,FALSE))</f>
        <v>#REF!</v>
      </c>
      <c r="G315" s="34" t="e">
        <f>IF(F315="","",VLOOKUP($B315,#REF!,6,FALSE))</f>
        <v>#REF!</v>
      </c>
      <c r="H315" s="34" t="e">
        <f>IF(G315="","",VLOOKUP($B315,#REF!,7,FALSE))</f>
        <v>#REF!</v>
      </c>
      <c r="I315" s="25"/>
      <c r="J315" s="25"/>
      <c r="K315" s="25"/>
      <c r="L315" s="25"/>
      <c r="M315" s="25"/>
      <c r="N315" s="25"/>
      <c r="O315" s="33">
        <f t="shared" si="9"/>
        <v>0</v>
      </c>
      <c r="P315" s="25"/>
      <c r="Q315" s="25">
        <v>0</v>
      </c>
      <c r="R315" s="25"/>
      <c r="S315" s="25"/>
      <c r="T315" s="25"/>
      <c r="U315" s="25"/>
      <c r="V315" s="39">
        <v>192</v>
      </c>
      <c r="W315" s="25"/>
      <c r="X315" s="33">
        <f t="shared" si="8"/>
        <v>192</v>
      </c>
      <c r="Y315" s="39">
        <v>46020</v>
      </c>
      <c r="Z315" s="25">
        <v>8835840</v>
      </c>
      <c r="AA315" s="45"/>
      <c r="AB315" s="45"/>
      <c r="AC315" s="45"/>
      <c r="AD315" s="45"/>
      <c r="AE315" s="45"/>
    </row>
    <row r="316" spans="1:31" s="12" customFormat="1" ht="12">
      <c r="A316" s="27">
        <v>45607</v>
      </c>
      <c r="B316" s="54" t="s">
        <v>211</v>
      </c>
      <c r="C316" s="37" t="s">
        <v>82</v>
      </c>
      <c r="D316" s="34" t="s">
        <v>186</v>
      </c>
      <c r="E316" s="34" t="e">
        <f>IF(B316="","",VLOOKUP($B316,#REF!,4,FALSE))</f>
        <v>#REF!</v>
      </c>
      <c r="F316" s="34" t="e">
        <f>IF(E316="","",VLOOKUP($B316,#REF!,5,FALSE))</f>
        <v>#REF!</v>
      </c>
      <c r="G316" s="34" t="e">
        <f>IF(F316="","",VLOOKUP($B316,#REF!,6,FALSE))</f>
        <v>#REF!</v>
      </c>
      <c r="H316" s="34" t="e">
        <f>IF(G316="","",VLOOKUP($B316,#REF!,7,FALSE))</f>
        <v>#REF!</v>
      </c>
      <c r="I316" s="25"/>
      <c r="J316" s="25"/>
      <c r="K316" s="25"/>
      <c r="L316" s="25"/>
      <c r="M316" s="25"/>
      <c r="N316" s="25"/>
      <c r="O316" s="33">
        <f t="shared" si="9"/>
        <v>0</v>
      </c>
      <c r="P316" s="25"/>
      <c r="Q316" s="25">
        <v>0</v>
      </c>
      <c r="R316" s="25"/>
      <c r="S316" s="25"/>
      <c r="T316" s="25"/>
      <c r="U316" s="25"/>
      <c r="V316" s="39">
        <v>180</v>
      </c>
      <c r="W316" s="25"/>
      <c r="X316" s="33">
        <f t="shared" si="8"/>
        <v>180</v>
      </c>
      <c r="Y316" s="39">
        <v>46020</v>
      </c>
      <c r="Z316" s="25">
        <v>8283600</v>
      </c>
      <c r="AA316" s="45"/>
      <c r="AB316" s="45"/>
      <c r="AC316" s="45"/>
      <c r="AD316" s="45"/>
      <c r="AE316" s="45"/>
    </row>
    <row r="317" spans="1:31" s="12" customFormat="1" ht="12">
      <c r="A317" s="27">
        <v>45607</v>
      </c>
      <c r="B317" s="53" t="s">
        <v>211</v>
      </c>
      <c r="C317" s="37" t="s">
        <v>82</v>
      </c>
      <c r="D317" s="34" t="s">
        <v>186</v>
      </c>
      <c r="E317" s="34" t="e">
        <f>IF(B317="","",VLOOKUP($B317,#REF!,4,FALSE))</f>
        <v>#REF!</v>
      </c>
      <c r="F317" s="34" t="e">
        <f>IF(E317="","",VLOOKUP($B317,#REF!,5,FALSE))</f>
        <v>#REF!</v>
      </c>
      <c r="G317" s="34" t="e">
        <f>IF(F317="","",VLOOKUP($B317,#REF!,6,FALSE))</f>
        <v>#REF!</v>
      </c>
      <c r="H317" s="34" t="e">
        <f>IF(G317="","",VLOOKUP($B317,#REF!,7,FALSE))</f>
        <v>#REF!</v>
      </c>
      <c r="I317" s="25"/>
      <c r="J317" s="25"/>
      <c r="K317" s="25"/>
      <c r="L317" s="25"/>
      <c r="M317" s="25"/>
      <c r="N317" s="25"/>
      <c r="O317" s="33">
        <f t="shared" si="9"/>
        <v>0</v>
      </c>
      <c r="P317" s="25"/>
      <c r="Q317" s="25">
        <v>0</v>
      </c>
      <c r="R317" s="25"/>
      <c r="S317" s="25"/>
      <c r="T317" s="25"/>
      <c r="U317" s="25"/>
      <c r="V317" s="39">
        <v>180</v>
      </c>
      <c r="W317" s="25"/>
      <c r="X317" s="33">
        <f t="shared" si="8"/>
        <v>180</v>
      </c>
      <c r="Y317" s="39">
        <v>46020</v>
      </c>
      <c r="Z317" s="25">
        <v>8283600</v>
      </c>
      <c r="AA317" s="45"/>
      <c r="AB317" s="45"/>
      <c r="AC317" s="45"/>
      <c r="AD317" s="45"/>
      <c r="AE317" s="45"/>
    </row>
    <row r="318" spans="1:31" s="12" customFormat="1" ht="12">
      <c r="A318" s="27">
        <v>45607</v>
      </c>
      <c r="B318" s="53" t="s">
        <v>211</v>
      </c>
      <c r="C318" s="37" t="s">
        <v>82</v>
      </c>
      <c r="D318" s="34" t="s">
        <v>186</v>
      </c>
      <c r="E318" s="34" t="e">
        <f>IF(B318="","",VLOOKUP($B318,#REF!,4,FALSE))</f>
        <v>#REF!</v>
      </c>
      <c r="F318" s="34" t="e">
        <f>IF(E318="","",VLOOKUP($B318,#REF!,5,FALSE))</f>
        <v>#REF!</v>
      </c>
      <c r="G318" s="34" t="e">
        <f>IF(F318="","",VLOOKUP($B318,#REF!,6,FALSE))</f>
        <v>#REF!</v>
      </c>
      <c r="H318" s="34" t="e">
        <f>IF(G318="","",VLOOKUP($B318,#REF!,7,FALSE))</f>
        <v>#REF!</v>
      </c>
      <c r="I318" s="25"/>
      <c r="J318" s="25"/>
      <c r="K318" s="25"/>
      <c r="L318" s="25"/>
      <c r="M318" s="25"/>
      <c r="N318" s="25"/>
      <c r="O318" s="33">
        <f t="shared" si="9"/>
        <v>0</v>
      </c>
      <c r="P318" s="25"/>
      <c r="Q318" s="25">
        <v>0</v>
      </c>
      <c r="R318" s="25"/>
      <c r="S318" s="25"/>
      <c r="T318" s="25"/>
      <c r="U318" s="25"/>
      <c r="V318" s="39">
        <v>144</v>
      </c>
      <c r="W318" s="25"/>
      <c r="X318" s="33">
        <f t="shared" si="8"/>
        <v>144</v>
      </c>
      <c r="Y318" s="39">
        <v>46020</v>
      </c>
      <c r="Z318" s="25">
        <v>6626880</v>
      </c>
      <c r="AA318" s="45"/>
      <c r="AB318" s="45"/>
      <c r="AC318" s="45"/>
      <c r="AD318" s="45"/>
      <c r="AE318" s="45"/>
    </row>
    <row r="319" spans="1:31" s="12" customFormat="1" ht="12">
      <c r="A319" s="27">
        <v>45607</v>
      </c>
      <c r="B319" s="53" t="s">
        <v>58</v>
      </c>
      <c r="C319" s="37" t="s">
        <v>82</v>
      </c>
      <c r="D319" s="34" t="s">
        <v>186</v>
      </c>
      <c r="E319" s="34" t="e">
        <f>IF(B319="","",VLOOKUP($B319,#REF!,4,FALSE))</f>
        <v>#REF!</v>
      </c>
      <c r="F319" s="34" t="e">
        <f>IF(E319="","",VLOOKUP($B319,#REF!,5,FALSE))</f>
        <v>#REF!</v>
      </c>
      <c r="G319" s="34" t="e">
        <f>IF(F319="","",VLOOKUP($B319,#REF!,6,FALSE))</f>
        <v>#REF!</v>
      </c>
      <c r="H319" s="34" t="e">
        <f>IF(G319="","",VLOOKUP($B319,#REF!,7,FALSE))</f>
        <v>#REF!</v>
      </c>
      <c r="I319" s="25"/>
      <c r="J319" s="25"/>
      <c r="K319" s="25"/>
      <c r="L319" s="25"/>
      <c r="M319" s="25"/>
      <c r="N319" s="25"/>
      <c r="O319" s="33">
        <f t="shared" si="9"/>
        <v>0</v>
      </c>
      <c r="P319" s="25"/>
      <c r="Q319" s="25">
        <v>0</v>
      </c>
      <c r="R319" s="25"/>
      <c r="S319" s="25"/>
      <c r="T319" s="25"/>
      <c r="U319" s="25"/>
      <c r="V319" s="39">
        <v>36</v>
      </c>
      <c r="W319" s="25"/>
      <c r="X319" s="33">
        <f t="shared" si="8"/>
        <v>36</v>
      </c>
      <c r="Y319" s="39">
        <v>170880</v>
      </c>
      <c r="Z319" s="25">
        <v>6151680</v>
      </c>
      <c r="AA319" s="45"/>
      <c r="AB319" s="45"/>
      <c r="AC319" s="45"/>
      <c r="AD319" s="45"/>
      <c r="AE319" s="45"/>
    </row>
    <row r="320" spans="1:31" s="12" customFormat="1" ht="12">
      <c r="A320" s="27">
        <v>45607</v>
      </c>
      <c r="B320" s="53" t="s">
        <v>47</v>
      </c>
      <c r="C320" s="37" t="s">
        <v>82</v>
      </c>
      <c r="D320" s="34" t="s">
        <v>186</v>
      </c>
      <c r="E320" s="34" t="e">
        <f>IF(B320="","",VLOOKUP($B320,#REF!,4,FALSE))</f>
        <v>#REF!</v>
      </c>
      <c r="F320" s="34" t="e">
        <f>IF(E320="","",VLOOKUP($B320,#REF!,5,FALSE))</f>
        <v>#REF!</v>
      </c>
      <c r="G320" s="34" t="e">
        <f>IF(F320="","",VLOOKUP($B320,#REF!,6,FALSE))</f>
        <v>#REF!</v>
      </c>
      <c r="H320" s="34" t="e">
        <f>IF(G320="","",VLOOKUP($B320,#REF!,7,FALSE))</f>
        <v>#REF!</v>
      </c>
      <c r="I320" s="26"/>
      <c r="J320" s="25"/>
      <c r="K320" s="25"/>
      <c r="L320" s="25"/>
      <c r="M320" s="25"/>
      <c r="N320" s="25"/>
      <c r="O320" s="33">
        <f t="shared" si="9"/>
        <v>0</v>
      </c>
      <c r="P320" s="25"/>
      <c r="Q320" s="25">
        <v>0</v>
      </c>
      <c r="R320" s="25"/>
      <c r="S320" s="25"/>
      <c r="T320" s="25"/>
      <c r="U320" s="25"/>
      <c r="V320" s="39">
        <v>112</v>
      </c>
      <c r="W320" s="25"/>
      <c r="X320" s="33">
        <f t="shared" si="8"/>
        <v>112</v>
      </c>
      <c r="Y320" s="39">
        <v>18860</v>
      </c>
      <c r="Z320" s="25">
        <v>2112320</v>
      </c>
      <c r="AA320" s="45"/>
      <c r="AB320" s="45"/>
      <c r="AC320" s="45"/>
      <c r="AD320" s="45"/>
      <c r="AE320" s="45"/>
    </row>
    <row r="321" spans="1:31" s="12" customFormat="1" ht="12">
      <c r="A321" s="27">
        <v>45607</v>
      </c>
      <c r="B321" s="47" t="s">
        <v>15</v>
      </c>
      <c r="C321" s="37" t="s">
        <v>83</v>
      </c>
      <c r="D321" s="34" t="s">
        <v>185</v>
      </c>
      <c r="E321" s="34" t="e">
        <f>IF(B321="","",VLOOKUP($B321,#REF!,4,FALSE))</f>
        <v>#REF!</v>
      </c>
      <c r="F321" s="34" t="e">
        <f>IF(E321="","",VLOOKUP($B321,#REF!,5,FALSE))</f>
        <v>#REF!</v>
      </c>
      <c r="G321" s="34" t="e">
        <f>IF(F321="","",VLOOKUP($B321,#REF!,6,FALSE))</f>
        <v>#REF!</v>
      </c>
      <c r="H321" s="34" t="e">
        <f>IF(G321="","",VLOOKUP($B321,#REF!,7,FALSE))</f>
        <v>#REF!</v>
      </c>
      <c r="I321" s="25"/>
      <c r="J321" s="25"/>
      <c r="K321" s="25"/>
      <c r="L321" s="25"/>
      <c r="M321" s="25"/>
      <c r="N321" s="25"/>
      <c r="O321" s="33">
        <f t="shared" si="9"/>
        <v>0</v>
      </c>
      <c r="P321" s="25"/>
      <c r="Q321" s="25">
        <v>0</v>
      </c>
      <c r="R321" s="25"/>
      <c r="S321" s="25"/>
      <c r="T321" s="25">
        <v>7</v>
      </c>
      <c r="U321" s="25"/>
      <c r="V321" s="39"/>
      <c r="W321" s="25"/>
      <c r="X321" s="33">
        <f t="shared" si="8"/>
        <v>7</v>
      </c>
      <c r="Y321" s="39">
        <v>69600</v>
      </c>
      <c r="Z321" s="25">
        <v>487200</v>
      </c>
      <c r="AA321" s="45"/>
      <c r="AB321" s="45"/>
      <c r="AC321" s="45"/>
      <c r="AD321" s="45"/>
      <c r="AE321" s="45"/>
    </row>
    <row r="322" spans="1:31" s="12" customFormat="1" ht="12">
      <c r="A322" s="27">
        <v>45607</v>
      </c>
      <c r="B322" s="53" t="s">
        <v>25</v>
      </c>
      <c r="C322" s="37" t="s">
        <v>83</v>
      </c>
      <c r="D322" s="34" t="s">
        <v>185</v>
      </c>
      <c r="E322" s="34" t="e">
        <f>IF(B322="","",VLOOKUP($B322,#REF!,4,FALSE))</f>
        <v>#REF!</v>
      </c>
      <c r="F322" s="34" t="e">
        <f>IF(E322="","",VLOOKUP($B322,#REF!,5,FALSE))</f>
        <v>#REF!</v>
      </c>
      <c r="G322" s="34" t="e">
        <f>IF(F322="","",VLOOKUP($B322,#REF!,6,FALSE))</f>
        <v>#REF!</v>
      </c>
      <c r="H322" s="34" t="e">
        <f>IF(G322="","",VLOOKUP($B322,#REF!,7,FALSE))</f>
        <v>#REF!</v>
      </c>
      <c r="I322" s="25"/>
      <c r="J322" s="25"/>
      <c r="K322" s="25"/>
      <c r="L322" s="25"/>
      <c r="M322" s="25"/>
      <c r="N322" s="25"/>
      <c r="O322" s="33">
        <f t="shared" si="9"/>
        <v>0</v>
      </c>
      <c r="P322" s="25"/>
      <c r="Q322" s="25">
        <v>0</v>
      </c>
      <c r="R322" s="25"/>
      <c r="S322" s="25"/>
      <c r="T322" s="25">
        <v>3</v>
      </c>
      <c r="U322" s="25"/>
      <c r="V322" s="39"/>
      <c r="W322" s="25"/>
      <c r="X322" s="33">
        <f t="shared" si="8"/>
        <v>3</v>
      </c>
      <c r="Y322" s="39">
        <v>57000</v>
      </c>
      <c r="Z322" s="25">
        <v>171000</v>
      </c>
      <c r="AA322" s="45"/>
      <c r="AB322" s="45"/>
      <c r="AC322" s="45"/>
      <c r="AD322" s="45"/>
      <c r="AE322" s="45"/>
    </row>
    <row r="323" spans="1:31" s="12" customFormat="1" ht="12">
      <c r="A323" s="27">
        <v>45607</v>
      </c>
      <c r="B323" s="53" t="s">
        <v>38</v>
      </c>
      <c r="C323" s="37" t="s">
        <v>83</v>
      </c>
      <c r="D323" s="34" t="s">
        <v>185</v>
      </c>
      <c r="E323" s="34" t="e">
        <f>IF(B323="","",VLOOKUP($B323,#REF!,4,FALSE))</f>
        <v>#REF!</v>
      </c>
      <c r="F323" s="34" t="e">
        <f>IF(E323="","",VLOOKUP($B323,#REF!,5,FALSE))</f>
        <v>#REF!</v>
      </c>
      <c r="G323" s="34" t="e">
        <f>IF(F323="","",VLOOKUP($B323,#REF!,6,FALSE))</f>
        <v>#REF!</v>
      </c>
      <c r="H323" s="34" t="e">
        <f>IF(G323="","",VLOOKUP($B323,#REF!,7,FALSE))</f>
        <v>#REF!</v>
      </c>
      <c r="I323" s="25"/>
      <c r="J323" s="25"/>
      <c r="K323" s="25"/>
      <c r="L323" s="25"/>
      <c r="M323" s="25"/>
      <c r="N323" s="25"/>
      <c r="O323" s="33">
        <f t="shared" si="9"/>
        <v>0</v>
      </c>
      <c r="P323" s="25"/>
      <c r="Q323" s="25">
        <v>0</v>
      </c>
      <c r="R323" s="25"/>
      <c r="S323" s="25"/>
      <c r="T323" s="25">
        <v>17</v>
      </c>
      <c r="U323" s="25"/>
      <c r="V323" s="39"/>
      <c r="W323" s="25"/>
      <c r="X323" s="33">
        <f t="shared" si="8"/>
        <v>17</v>
      </c>
      <c r="Y323" s="39">
        <v>54600</v>
      </c>
      <c r="Z323" s="25">
        <v>928200</v>
      </c>
      <c r="AA323" s="45"/>
      <c r="AB323" s="45"/>
      <c r="AC323" s="45"/>
      <c r="AD323" s="45"/>
      <c r="AE323" s="45"/>
    </row>
    <row r="324" spans="1:31" s="12" customFormat="1" ht="12">
      <c r="A324" s="27">
        <v>45607</v>
      </c>
      <c r="B324" s="53" t="s">
        <v>23</v>
      </c>
      <c r="C324" s="37" t="s">
        <v>83</v>
      </c>
      <c r="D324" s="34" t="s">
        <v>185</v>
      </c>
      <c r="E324" s="34" t="e">
        <f>IF(B324="","",VLOOKUP($B324,#REF!,4,FALSE))</f>
        <v>#REF!</v>
      </c>
      <c r="F324" s="34" t="e">
        <f>IF(E324="","",VLOOKUP($B324,#REF!,5,FALSE))</f>
        <v>#REF!</v>
      </c>
      <c r="G324" s="34" t="e">
        <f>IF(F324="","",VLOOKUP($B324,#REF!,6,FALSE))</f>
        <v>#REF!</v>
      </c>
      <c r="H324" s="34" t="e">
        <f>IF(G324="","",VLOOKUP($B324,#REF!,7,FALSE))</f>
        <v>#REF!</v>
      </c>
      <c r="I324" s="25"/>
      <c r="J324" s="25"/>
      <c r="K324" s="25"/>
      <c r="L324" s="25"/>
      <c r="M324" s="25"/>
      <c r="N324" s="25"/>
      <c r="O324" s="33">
        <f t="shared" si="9"/>
        <v>0</v>
      </c>
      <c r="P324" s="25"/>
      <c r="Q324" s="25">
        <v>0</v>
      </c>
      <c r="R324" s="25"/>
      <c r="S324" s="25"/>
      <c r="T324" s="25">
        <v>25</v>
      </c>
      <c r="U324" s="25"/>
      <c r="V324" s="39"/>
      <c r="W324" s="25"/>
      <c r="X324" s="33">
        <f t="shared" ref="X324:X387" si="10">SUM(R324:W324)</f>
        <v>25</v>
      </c>
      <c r="Y324" s="39">
        <v>46080</v>
      </c>
      <c r="Z324" s="25">
        <v>1152000</v>
      </c>
      <c r="AA324" s="45"/>
      <c r="AB324" s="45"/>
      <c r="AC324" s="45"/>
      <c r="AD324" s="45"/>
      <c r="AE324" s="45"/>
    </row>
    <row r="325" spans="1:31" s="12" customFormat="1" ht="12">
      <c r="A325" s="27">
        <v>45607</v>
      </c>
      <c r="B325" s="53" t="s">
        <v>26</v>
      </c>
      <c r="C325" s="37" t="s">
        <v>83</v>
      </c>
      <c r="D325" s="34" t="s">
        <v>185</v>
      </c>
      <c r="E325" s="34" t="e">
        <f>IF(B325="","",VLOOKUP($B325,#REF!,4,FALSE))</f>
        <v>#REF!</v>
      </c>
      <c r="F325" s="34" t="e">
        <f>IF(E325="","",VLOOKUP($B325,#REF!,5,FALSE))</f>
        <v>#REF!</v>
      </c>
      <c r="G325" s="34" t="e">
        <f>IF(F325="","",VLOOKUP($B325,#REF!,6,FALSE))</f>
        <v>#REF!</v>
      </c>
      <c r="H325" s="34" t="e">
        <f>IF(G325="","",VLOOKUP($B325,#REF!,7,FALSE))</f>
        <v>#REF!</v>
      </c>
      <c r="I325" s="25"/>
      <c r="J325" s="25"/>
      <c r="K325" s="25"/>
      <c r="L325" s="25"/>
      <c r="M325" s="25"/>
      <c r="N325" s="25"/>
      <c r="O325" s="33">
        <f t="shared" ref="O325:O388" si="11">SUM(I325:N325)</f>
        <v>0</v>
      </c>
      <c r="P325" s="25"/>
      <c r="Q325" s="25">
        <v>0</v>
      </c>
      <c r="R325" s="25"/>
      <c r="S325" s="25"/>
      <c r="T325" s="25">
        <v>6</v>
      </c>
      <c r="U325" s="25"/>
      <c r="V325" s="39"/>
      <c r="W325" s="25"/>
      <c r="X325" s="33">
        <f t="shared" si="10"/>
        <v>6</v>
      </c>
      <c r="Y325" s="39">
        <v>23200</v>
      </c>
      <c r="Z325" s="25">
        <v>139200</v>
      </c>
      <c r="AA325" s="45"/>
      <c r="AB325" s="45"/>
      <c r="AC325" s="45"/>
      <c r="AD325" s="45"/>
      <c r="AE325" s="45"/>
    </row>
    <row r="326" spans="1:31" s="12" customFormat="1" ht="12">
      <c r="A326" s="27">
        <v>45607</v>
      </c>
      <c r="B326" s="73" t="s">
        <v>10</v>
      </c>
      <c r="C326" s="37" t="s">
        <v>83</v>
      </c>
      <c r="D326" s="34" t="s">
        <v>185</v>
      </c>
      <c r="E326" s="34" t="e">
        <f>IF(B326="","",VLOOKUP($B326,#REF!,4,FALSE))</f>
        <v>#REF!</v>
      </c>
      <c r="F326" s="34" t="e">
        <f>IF(E326="","",VLOOKUP($B326,#REF!,5,FALSE))</f>
        <v>#REF!</v>
      </c>
      <c r="G326" s="34" t="e">
        <f>IF(F326="","",VLOOKUP($B326,#REF!,6,FALSE))</f>
        <v>#REF!</v>
      </c>
      <c r="H326" s="34" t="e">
        <f>IF(G326="","",VLOOKUP($B326,#REF!,7,FALSE))</f>
        <v>#REF!</v>
      </c>
      <c r="I326" s="25"/>
      <c r="J326" s="25"/>
      <c r="K326" s="25"/>
      <c r="L326" s="25"/>
      <c r="M326" s="25"/>
      <c r="N326" s="25"/>
      <c r="O326" s="33">
        <f t="shared" si="11"/>
        <v>0</v>
      </c>
      <c r="P326" s="25"/>
      <c r="Q326" s="25">
        <v>0</v>
      </c>
      <c r="R326" s="25"/>
      <c r="S326" s="25"/>
      <c r="T326" s="25">
        <v>7</v>
      </c>
      <c r="U326" s="25"/>
      <c r="V326" s="39"/>
      <c r="W326" s="25"/>
      <c r="X326" s="33">
        <f t="shared" si="10"/>
        <v>7</v>
      </c>
      <c r="Y326" s="39"/>
      <c r="Z326" s="25">
        <v>0</v>
      </c>
      <c r="AA326" s="45"/>
      <c r="AB326" s="45"/>
      <c r="AC326" s="45"/>
      <c r="AD326" s="45"/>
      <c r="AE326" s="45"/>
    </row>
    <row r="327" spans="1:31" s="12" customFormat="1" ht="12">
      <c r="A327" s="27">
        <v>45607</v>
      </c>
      <c r="B327" s="53" t="s">
        <v>161</v>
      </c>
      <c r="C327" s="37" t="s">
        <v>83</v>
      </c>
      <c r="D327" s="34" t="s">
        <v>185</v>
      </c>
      <c r="E327" s="34" t="e">
        <f>IF(B327="","",VLOOKUP($B327,#REF!,4,FALSE))</f>
        <v>#REF!</v>
      </c>
      <c r="F327" s="34" t="e">
        <f>IF(E327="","",VLOOKUP($B327,#REF!,5,FALSE))</f>
        <v>#REF!</v>
      </c>
      <c r="G327" s="34" t="e">
        <f>IF(F327="","",VLOOKUP($B327,#REF!,6,FALSE))</f>
        <v>#REF!</v>
      </c>
      <c r="H327" s="34" t="e">
        <f>IF(G327="","",VLOOKUP($B327,#REF!,7,FALSE))</f>
        <v>#REF!</v>
      </c>
      <c r="I327" s="25"/>
      <c r="J327" s="25"/>
      <c r="K327" s="25">
        <v>7</v>
      </c>
      <c r="L327" s="25"/>
      <c r="M327" s="25"/>
      <c r="N327" s="25"/>
      <c r="O327" s="33">
        <f t="shared" si="11"/>
        <v>7</v>
      </c>
      <c r="P327" s="25"/>
      <c r="Q327" s="25">
        <v>0</v>
      </c>
      <c r="R327" s="25"/>
      <c r="S327" s="25"/>
      <c r="T327" s="25">
        <v>7</v>
      </c>
      <c r="U327" s="25"/>
      <c r="V327" s="39"/>
      <c r="W327" s="25"/>
      <c r="X327" s="33">
        <f t="shared" si="10"/>
        <v>7</v>
      </c>
      <c r="Y327" s="39">
        <v>44280</v>
      </c>
      <c r="Z327" s="25">
        <v>309960</v>
      </c>
      <c r="AA327" s="45"/>
      <c r="AB327" s="45"/>
      <c r="AC327" s="45"/>
      <c r="AD327" s="45"/>
      <c r="AE327" s="45"/>
    </row>
    <row r="328" spans="1:31" s="12" customFormat="1" ht="12">
      <c r="A328" s="27">
        <v>45607</v>
      </c>
      <c r="B328" s="28" t="s">
        <v>203</v>
      </c>
      <c r="C328" s="37" t="s">
        <v>82</v>
      </c>
      <c r="D328" s="34" t="s">
        <v>186</v>
      </c>
      <c r="E328" s="34" t="e">
        <f>IF(B328="","",VLOOKUP($B328,#REF!,4,FALSE))</f>
        <v>#REF!</v>
      </c>
      <c r="F328" s="34" t="e">
        <f>IF(E328="","",VLOOKUP($B328,#REF!,5,FALSE))</f>
        <v>#REF!</v>
      </c>
      <c r="G328" s="34" t="e">
        <f>IF(F328="","",VLOOKUP($B328,#REF!,6,FALSE))</f>
        <v>#REF!</v>
      </c>
      <c r="H328" s="34" t="e">
        <f>IF(G328="","",VLOOKUP($B328,#REF!,7,FALSE))</f>
        <v>#REF!</v>
      </c>
      <c r="I328" s="25"/>
      <c r="J328" s="25"/>
      <c r="K328" s="25"/>
      <c r="L328" s="25"/>
      <c r="M328" s="25"/>
      <c r="N328" s="25"/>
      <c r="O328" s="33">
        <f t="shared" si="11"/>
        <v>0</v>
      </c>
      <c r="P328" s="25"/>
      <c r="Q328" s="25">
        <v>0</v>
      </c>
      <c r="R328" s="25"/>
      <c r="S328" s="25"/>
      <c r="T328" s="25">
        <v>1</v>
      </c>
      <c r="U328" s="25"/>
      <c r="V328" s="39"/>
      <c r="W328" s="25"/>
      <c r="X328" s="33">
        <f t="shared" si="10"/>
        <v>1</v>
      </c>
      <c r="Y328" s="39"/>
      <c r="Z328" s="25">
        <v>0</v>
      </c>
      <c r="AA328" s="45"/>
      <c r="AB328" s="45"/>
      <c r="AC328" s="45"/>
      <c r="AD328" s="45"/>
      <c r="AE328" s="45"/>
    </row>
    <row r="329" spans="1:31" s="12" customFormat="1" ht="12">
      <c r="A329" s="27">
        <v>45607</v>
      </c>
      <c r="B329" s="73" t="s">
        <v>68</v>
      </c>
      <c r="C329" s="37" t="s">
        <v>86</v>
      </c>
      <c r="D329" s="34" t="s">
        <v>51</v>
      </c>
      <c r="E329" s="34" t="e">
        <f>IF(B329="","",VLOOKUP($B329,#REF!,4,FALSE))</f>
        <v>#REF!</v>
      </c>
      <c r="F329" s="34" t="e">
        <f>IF(E329="","",VLOOKUP($B329,#REF!,5,FALSE))</f>
        <v>#REF!</v>
      </c>
      <c r="G329" s="34" t="e">
        <f>IF(F329="","",VLOOKUP($B329,#REF!,6,FALSE))</f>
        <v>#REF!</v>
      </c>
      <c r="H329" s="34" t="e">
        <f>IF(G329="","",VLOOKUP($B329,#REF!,7,FALSE))</f>
        <v>#REF!</v>
      </c>
      <c r="I329" s="25"/>
      <c r="J329" s="25"/>
      <c r="K329" s="25">
        <v>1</v>
      </c>
      <c r="L329" s="25"/>
      <c r="M329" s="25"/>
      <c r="N329" s="25"/>
      <c r="O329" s="33">
        <f t="shared" si="11"/>
        <v>1</v>
      </c>
      <c r="P329" s="25"/>
      <c r="Q329" s="25">
        <v>0</v>
      </c>
      <c r="R329" s="25"/>
      <c r="S329" s="25"/>
      <c r="T329" s="25">
        <v>1</v>
      </c>
      <c r="U329" s="25"/>
      <c r="V329" s="39"/>
      <c r="W329" s="25"/>
      <c r="X329" s="33">
        <f t="shared" si="10"/>
        <v>1</v>
      </c>
      <c r="Y329" s="39">
        <v>280000</v>
      </c>
      <c r="Z329" s="25">
        <v>280000</v>
      </c>
      <c r="AA329" s="45"/>
      <c r="AB329" s="45"/>
      <c r="AC329" s="45"/>
      <c r="AD329" s="45"/>
      <c r="AE329" s="45"/>
    </row>
    <row r="330" spans="1:31" s="12" customFormat="1" ht="12">
      <c r="A330" s="27">
        <v>45607</v>
      </c>
      <c r="B330" s="28" t="s">
        <v>10</v>
      </c>
      <c r="C330" s="37" t="s">
        <v>83</v>
      </c>
      <c r="D330" s="34" t="s">
        <v>185</v>
      </c>
      <c r="E330" s="34" t="e">
        <f>IF(B330="","",VLOOKUP($B330,#REF!,4,FALSE))</f>
        <v>#REF!</v>
      </c>
      <c r="F330" s="34" t="e">
        <f>IF(E330="","",VLOOKUP($B330,#REF!,5,FALSE))</f>
        <v>#REF!</v>
      </c>
      <c r="G330" s="34" t="e">
        <f>IF(F330="","",VLOOKUP($B330,#REF!,6,FALSE))</f>
        <v>#REF!</v>
      </c>
      <c r="H330" s="34" t="e">
        <f>IF(G330="","",VLOOKUP($B330,#REF!,7,FALSE))</f>
        <v>#REF!</v>
      </c>
      <c r="I330" s="25"/>
      <c r="J330" s="25"/>
      <c r="K330" s="25"/>
      <c r="L330" s="25"/>
      <c r="M330" s="25"/>
      <c r="N330" s="25"/>
      <c r="O330" s="33">
        <f t="shared" si="11"/>
        <v>0</v>
      </c>
      <c r="P330" s="25"/>
      <c r="Q330" s="25">
        <v>0</v>
      </c>
      <c r="R330" s="25"/>
      <c r="S330" s="25"/>
      <c r="T330" s="25">
        <v>1</v>
      </c>
      <c r="U330" s="25"/>
      <c r="V330" s="39"/>
      <c r="W330" s="25"/>
      <c r="X330" s="33">
        <f t="shared" si="10"/>
        <v>1</v>
      </c>
      <c r="Y330" s="39"/>
      <c r="Z330" s="25">
        <v>0</v>
      </c>
      <c r="AA330" s="45"/>
      <c r="AB330" s="45"/>
      <c r="AC330" s="45"/>
      <c r="AD330" s="45"/>
      <c r="AE330" s="45"/>
    </row>
    <row r="331" spans="1:31" s="12" customFormat="1" ht="12">
      <c r="A331" s="27">
        <v>45607</v>
      </c>
      <c r="B331" s="28" t="s">
        <v>165</v>
      </c>
      <c r="C331" s="37" t="s">
        <v>86</v>
      </c>
      <c r="D331" s="34" t="s">
        <v>51</v>
      </c>
      <c r="E331" s="34" t="e">
        <f>IF(B331="","",VLOOKUP($B331,#REF!,4,FALSE))</f>
        <v>#REF!</v>
      </c>
      <c r="F331" s="34" t="e">
        <f>IF(E331="","",VLOOKUP($B331,#REF!,5,FALSE))</f>
        <v>#REF!</v>
      </c>
      <c r="G331" s="34" t="e">
        <f>IF(F331="","",VLOOKUP($B331,#REF!,6,FALSE))</f>
        <v>#REF!</v>
      </c>
      <c r="H331" s="34" t="e">
        <f>IF(G331="","",VLOOKUP($B331,#REF!,7,FALSE))</f>
        <v>#REF!</v>
      </c>
      <c r="I331" s="25"/>
      <c r="J331" s="25"/>
      <c r="K331" s="25">
        <v>1</v>
      </c>
      <c r="L331" s="25"/>
      <c r="M331" s="25"/>
      <c r="N331" s="25"/>
      <c r="O331" s="33">
        <f t="shared" si="11"/>
        <v>1</v>
      </c>
      <c r="P331" s="25"/>
      <c r="Q331" s="25">
        <v>0</v>
      </c>
      <c r="R331" s="25"/>
      <c r="S331" s="25"/>
      <c r="T331" s="25">
        <v>1</v>
      </c>
      <c r="U331" s="25"/>
      <c r="V331" s="39"/>
      <c r="W331" s="25"/>
      <c r="X331" s="33">
        <f t="shared" si="10"/>
        <v>1</v>
      </c>
      <c r="Y331" s="39">
        <v>67200</v>
      </c>
      <c r="Z331" s="25">
        <v>67200</v>
      </c>
      <c r="AA331" s="45"/>
      <c r="AB331" s="45"/>
      <c r="AC331" s="45"/>
      <c r="AD331" s="45"/>
      <c r="AE331" s="45"/>
    </row>
    <row r="332" spans="1:31" s="12" customFormat="1" ht="12">
      <c r="A332" s="27">
        <v>45607</v>
      </c>
      <c r="B332" s="28" t="s">
        <v>32</v>
      </c>
      <c r="C332" s="37" t="s">
        <v>84</v>
      </c>
      <c r="D332" s="34" t="s">
        <v>184</v>
      </c>
      <c r="E332" s="34" t="e">
        <f>IF(B332="","",VLOOKUP($B332,#REF!,4,FALSE))</f>
        <v>#REF!</v>
      </c>
      <c r="F332" s="34" t="e">
        <f>IF(E332="","",VLOOKUP($B332,#REF!,5,FALSE))</f>
        <v>#REF!</v>
      </c>
      <c r="G332" s="34" t="e">
        <f>IF(F332="","",VLOOKUP($B332,#REF!,6,FALSE))</f>
        <v>#REF!</v>
      </c>
      <c r="H332" s="34" t="e">
        <f>IF(G332="","",VLOOKUP($B332,#REF!,7,FALSE))</f>
        <v>#REF!</v>
      </c>
      <c r="I332" s="25"/>
      <c r="J332" s="25"/>
      <c r="K332" s="25"/>
      <c r="L332" s="25"/>
      <c r="M332" s="25"/>
      <c r="N332" s="25"/>
      <c r="O332" s="33">
        <f t="shared" si="11"/>
        <v>0</v>
      </c>
      <c r="P332" s="25"/>
      <c r="Q332" s="25">
        <v>0</v>
      </c>
      <c r="R332" s="25"/>
      <c r="S332" s="25"/>
      <c r="T332" s="25">
        <v>1</v>
      </c>
      <c r="U332" s="25"/>
      <c r="V332" s="39"/>
      <c r="W332" s="25"/>
      <c r="X332" s="33">
        <f t="shared" si="10"/>
        <v>1</v>
      </c>
      <c r="Y332" s="39"/>
      <c r="Z332" s="25">
        <v>0</v>
      </c>
      <c r="AA332" s="45"/>
      <c r="AB332" s="45"/>
      <c r="AC332" s="45"/>
      <c r="AD332" s="45"/>
      <c r="AE332" s="45"/>
    </row>
    <row r="333" spans="1:31" s="12" customFormat="1" ht="12">
      <c r="A333" s="27">
        <v>45607</v>
      </c>
      <c r="B333" s="29" t="s">
        <v>172</v>
      </c>
      <c r="C333" s="37" t="s">
        <v>86</v>
      </c>
      <c r="D333" s="34" t="s">
        <v>51</v>
      </c>
      <c r="E333" s="34" t="e">
        <f>IF(B333="","",VLOOKUP($B333,#REF!,4,FALSE))</f>
        <v>#REF!</v>
      </c>
      <c r="F333" s="34" t="e">
        <f>IF(E333="","",VLOOKUP($B333,#REF!,5,FALSE))</f>
        <v>#REF!</v>
      </c>
      <c r="G333" s="34" t="e">
        <f>IF(F333="","",VLOOKUP($B333,#REF!,6,FALSE))</f>
        <v>#REF!</v>
      </c>
      <c r="H333" s="34" t="e">
        <f>IF(G333="","",VLOOKUP($B333,#REF!,7,FALSE))</f>
        <v>#REF!</v>
      </c>
      <c r="I333" s="25"/>
      <c r="J333" s="25"/>
      <c r="K333" s="25">
        <v>1</v>
      </c>
      <c r="L333" s="25"/>
      <c r="M333" s="25"/>
      <c r="N333" s="25"/>
      <c r="O333" s="33">
        <f t="shared" si="11"/>
        <v>1</v>
      </c>
      <c r="P333" s="25"/>
      <c r="Q333" s="25">
        <v>0</v>
      </c>
      <c r="R333" s="25"/>
      <c r="S333" s="25"/>
      <c r="T333" s="25">
        <v>1</v>
      </c>
      <c r="U333" s="25"/>
      <c r="V333" s="39"/>
      <c r="W333" s="25"/>
      <c r="X333" s="33">
        <f t="shared" si="10"/>
        <v>1</v>
      </c>
      <c r="Y333" s="39">
        <v>72000</v>
      </c>
      <c r="Z333" s="25">
        <v>72000</v>
      </c>
      <c r="AA333" s="45"/>
      <c r="AB333" s="45"/>
      <c r="AC333" s="45"/>
      <c r="AD333" s="45"/>
      <c r="AE333" s="45"/>
    </row>
    <row r="334" spans="1:31" s="12" customFormat="1" ht="12">
      <c r="A334" s="27">
        <v>45607</v>
      </c>
      <c r="B334" s="53" t="s">
        <v>198</v>
      </c>
      <c r="C334" s="37" t="s">
        <v>84</v>
      </c>
      <c r="D334" s="34" t="s">
        <v>184</v>
      </c>
      <c r="E334" s="34" t="e">
        <f>IF(B334="","",VLOOKUP($B334,#REF!,4,FALSE))</f>
        <v>#REF!</v>
      </c>
      <c r="F334" s="34" t="e">
        <f>IF(E334="","",VLOOKUP($B334,#REF!,5,FALSE))</f>
        <v>#REF!</v>
      </c>
      <c r="G334" s="34" t="e">
        <f>IF(F334="","",VLOOKUP($B334,#REF!,6,FALSE))</f>
        <v>#REF!</v>
      </c>
      <c r="H334" s="34" t="e">
        <f>IF(G334="","",VLOOKUP($B334,#REF!,7,FALSE))</f>
        <v>#REF!</v>
      </c>
      <c r="I334" s="25"/>
      <c r="J334" s="25"/>
      <c r="K334" s="25"/>
      <c r="L334" s="25"/>
      <c r="M334" s="25"/>
      <c r="N334" s="25"/>
      <c r="O334" s="33">
        <f t="shared" si="11"/>
        <v>0</v>
      </c>
      <c r="P334" s="25"/>
      <c r="Q334" s="25">
        <v>0</v>
      </c>
      <c r="R334" s="25"/>
      <c r="S334" s="25"/>
      <c r="T334" s="25">
        <v>1</v>
      </c>
      <c r="U334" s="25"/>
      <c r="V334" s="39"/>
      <c r="W334" s="25"/>
      <c r="X334" s="33">
        <f t="shared" si="10"/>
        <v>1</v>
      </c>
      <c r="Y334" s="39"/>
      <c r="Z334" s="25">
        <v>0</v>
      </c>
      <c r="AA334" s="45"/>
      <c r="AB334" s="45"/>
      <c r="AC334" s="45"/>
      <c r="AD334" s="45"/>
      <c r="AE334" s="45"/>
    </row>
    <row r="335" spans="1:31" s="12" customFormat="1" ht="12">
      <c r="A335" s="27">
        <v>45607</v>
      </c>
      <c r="B335" s="53" t="s">
        <v>76</v>
      </c>
      <c r="C335" s="37" t="s">
        <v>86</v>
      </c>
      <c r="D335" s="34" t="s">
        <v>51</v>
      </c>
      <c r="E335" s="34" t="e">
        <f>IF(B335="","",VLOOKUP($B335,#REF!,4,FALSE))</f>
        <v>#REF!</v>
      </c>
      <c r="F335" s="34" t="e">
        <f>IF(E335="","",VLOOKUP($B335,#REF!,5,FALSE))</f>
        <v>#REF!</v>
      </c>
      <c r="G335" s="34" t="e">
        <f>IF(F335="","",VLOOKUP($B335,#REF!,6,FALSE))</f>
        <v>#REF!</v>
      </c>
      <c r="H335" s="34" t="e">
        <f>IF(G335="","",VLOOKUP($B335,#REF!,7,FALSE))</f>
        <v>#REF!</v>
      </c>
      <c r="I335" s="25"/>
      <c r="J335" s="25"/>
      <c r="K335" s="25">
        <v>1</v>
      </c>
      <c r="L335" s="25"/>
      <c r="M335" s="25"/>
      <c r="N335" s="25"/>
      <c r="O335" s="33">
        <f t="shared" si="11"/>
        <v>1</v>
      </c>
      <c r="P335" s="25"/>
      <c r="Q335" s="25">
        <v>0</v>
      </c>
      <c r="R335" s="25"/>
      <c r="S335" s="25"/>
      <c r="T335" s="25">
        <v>1</v>
      </c>
      <c r="U335" s="25"/>
      <c r="V335" s="39"/>
      <c r="W335" s="25"/>
      <c r="X335" s="33">
        <f t="shared" si="10"/>
        <v>1</v>
      </c>
      <c r="Y335" s="39">
        <v>80000</v>
      </c>
      <c r="Z335" s="25">
        <v>80000</v>
      </c>
      <c r="AA335" s="45"/>
      <c r="AB335" s="45"/>
      <c r="AC335" s="45"/>
      <c r="AD335" s="45"/>
      <c r="AE335" s="45"/>
    </row>
    <row r="336" spans="1:31" s="12" customFormat="1" ht="12">
      <c r="A336" s="27">
        <v>45607</v>
      </c>
      <c r="B336" s="53" t="s">
        <v>57</v>
      </c>
      <c r="C336" s="37" t="s">
        <v>82</v>
      </c>
      <c r="D336" s="34" t="s">
        <v>186</v>
      </c>
      <c r="E336" s="34" t="e">
        <f>IF(B336="","",VLOOKUP($B336,#REF!,4,FALSE))</f>
        <v>#REF!</v>
      </c>
      <c r="F336" s="34" t="e">
        <f>IF(E336="","",VLOOKUP($B336,#REF!,5,FALSE))</f>
        <v>#REF!</v>
      </c>
      <c r="G336" s="34" t="e">
        <f>IF(F336="","",VLOOKUP($B336,#REF!,6,FALSE))</f>
        <v>#REF!</v>
      </c>
      <c r="H336" s="34" t="e">
        <f>IF(G336="","",VLOOKUP($B336,#REF!,7,FALSE))</f>
        <v>#REF!</v>
      </c>
      <c r="I336" s="25"/>
      <c r="J336" s="25"/>
      <c r="K336" s="25"/>
      <c r="L336" s="25"/>
      <c r="M336" s="25"/>
      <c r="N336" s="25"/>
      <c r="O336" s="33">
        <f t="shared" si="11"/>
        <v>0</v>
      </c>
      <c r="P336" s="25"/>
      <c r="Q336" s="25">
        <v>0</v>
      </c>
      <c r="R336" s="25"/>
      <c r="S336" s="25"/>
      <c r="T336" s="25">
        <v>1</v>
      </c>
      <c r="U336" s="25"/>
      <c r="V336" s="39"/>
      <c r="W336" s="25"/>
      <c r="X336" s="33">
        <f t="shared" si="10"/>
        <v>1</v>
      </c>
      <c r="Y336" s="39"/>
      <c r="Z336" s="25">
        <v>0</v>
      </c>
      <c r="AA336" s="45"/>
      <c r="AB336" s="45"/>
      <c r="AC336" s="45"/>
      <c r="AD336" s="45"/>
      <c r="AE336" s="45"/>
    </row>
    <row r="337" spans="1:31" s="12" customFormat="1" ht="12">
      <c r="A337" s="27">
        <v>45607</v>
      </c>
      <c r="B337" s="53" t="s">
        <v>70</v>
      </c>
      <c r="C337" s="37" t="s">
        <v>86</v>
      </c>
      <c r="D337" s="34" t="s">
        <v>51</v>
      </c>
      <c r="E337" s="34" t="e">
        <f>IF(B337="","",VLOOKUP($B337,#REF!,4,FALSE))</f>
        <v>#REF!</v>
      </c>
      <c r="F337" s="34" t="e">
        <f>IF(E337="","",VLOOKUP($B337,#REF!,5,FALSE))</f>
        <v>#REF!</v>
      </c>
      <c r="G337" s="34" t="e">
        <f>IF(F337="","",VLOOKUP($B337,#REF!,6,FALSE))</f>
        <v>#REF!</v>
      </c>
      <c r="H337" s="34" t="e">
        <f>IF(G337="","",VLOOKUP($B337,#REF!,7,FALSE))</f>
        <v>#REF!</v>
      </c>
      <c r="I337" s="25"/>
      <c r="J337" s="25"/>
      <c r="K337" s="25">
        <v>1</v>
      </c>
      <c r="L337" s="25"/>
      <c r="M337" s="25"/>
      <c r="N337" s="25"/>
      <c r="O337" s="33">
        <f t="shared" si="11"/>
        <v>1</v>
      </c>
      <c r="P337" s="25"/>
      <c r="Q337" s="25">
        <v>0</v>
      </c>
      <c r="R337" s="25"/>
      <c r="S337" s="25"/>
      <c r="T337" s="25">
        <v>1</v>
      </c>
      <c r="U337" s="25"/>
      <c r="V337" s="39"/>
      <c r="W337" s="25"/>
      <c r="X337" s="33">
        <f t="shared" si="10"/>
        <v>1</v>
      </c>
      <c r="Y337" s="39">
        <v>154000</v>
      </c>
      <c r="Z337" s="25">
        <v>154000</v>
      </c>
      <c r="AA337" s="45"/>
      <c r="AB337" s="45"/>
      <c r="AC337" s="45"/>
      <c r="AD337" s="45"/>
      <c r="AE337" s="45"/>
    </row>
    <row r="338" spans="1:31" s="12" customFormat="1" ht="12">
      <c r="A338" s="27">
        <v>45607</v>
      </c>
      <c r="B338" s="53" t="s">
        <v>163</v>
      </c>
      <c r="C338" s="37">
        <v>0</v>
      </c>
      <c r="D338" s="34" t="s">
        <v>183</v>
      </c>
      <c r="E338" s="34" t="e">
        <f>IF(B338="","",VLOOKUP($B338,#REF!,4,FALSE))</f>
        <v>#REF!</v>
      </c>
      <c r="F338" s="34" t="e">
        <f>IF(E338="","",VLOOKUP($B338,#REF!,5,FALSE))</f>
        <v>#REF!</v>
      </c>
      <c r="G338" s="34" t="e">
        <f>IF(F338="","",VLOOKUP($B338,#REF!,6,FALSE))</f>
        <v>#REF!</v>
      </c>
      <c r="H338" s="34" t="e">
        <f>IF(G338="","",VLOOKUP($B338,#REF!,7,FALSE))</f>
        <v>#REF!</v>
      </c>
      <c r="I338" s="25"/>
      <c r="J338" s="25"/>
      <c r="K338" s="25"/>
      <c r="L338" s="25"/>
      <c r="M338" s="25"/>
      <c r="N338" s="25"/>
      <c r="O338" s="33">
        <f t="shared" si="11"/>
        <v>0</v>
      </c>
      <c r="P338" s="25"/>
      <c r="Q338" s="25">
        <v>0</v>
      </c>
      <c r="R338" s="25"/>
      <c r="S338" s="25"/>
      <c r="T338" s="25">
        <v>2</v>
      </c>
      <c r="U338" s="25"/>
      <c r="V338" s="39"/>
      <c r="W338" s="25"/>
      <c r="X338" s="33">
        <f t="shared" si="10"/>
        <v>2</v>
      </c>
      <c r="Y338" s="39"/>
      <c r="Z338" s="25">
        <v>0</v>
      </c>
      <c r="AA338" s="45" t="s">
        <v>266</v>
      </c>
      <c r="AB338" s="45"/>
      <c r="AC338" s="45"/>
      <c r="AD338" s="45"/>
      <c r="AE338" s="45"/>
    </row>
    <row r="339" spans="1:31" s="12" customFormat="1" ht="12">
      <c r="A339" s="27">
        <v>45607</v>
      </c>
      <c r="B339" s="53" t="s">
        <v>193</v>
      </c>
      <c r="C339" s="37" t="s">
        <v>150</v>
      </c>
      <c r="D339" s="34" t="s">
        <v>194</v>
      </c>
      <c r="E339" s="34" t="e">
        <f>IF(B339="","",VLOOKUP($B339,#REF!,4,FALSE))</f>
        <v>#REF!</v>
      </c>
      <c r="F339" s="34" t="e">
        <f>IF(E339="","",VLOOKUP($B339,#REF!,5,FALSE))</f>
        <v>#REF!</v>
      </c>
      <c r="G339" s="34" t="e">
        <f>IF(F339="","",VLOOKUP($B339,#REF!,6,FALSE))</f>
        <v>#REF!</v>
      </c>
      <c r="H339" s="34" t="e">
        <f>IF(G339="","",VLOOKUP($B339,#REF!,7,FALSE))</f>
        <v>#REF!</v>
      </c>
      <c r="I339" s="25"/>
      <c r="J339" s="25"/>
      <c r="K339" s="25">
        <v>5</v>
      </c>
      <c r="L339" s="25"/>
      <c r="M339" s="25"/>
      <c r="N339" s="25"/>
      <c r="O339" s="33">
        <f t="shared" si="11"/>
        <v>5</v>
      </c>
      <c r="P339" s="25"/>
      <c r="Q339" s="25">
        <v>0</v>
      </c>
      <c r="R339" s="25"/>
      <c r="S339" s="25"/>
      <c r="T339" s="25"/>
      <c r="U339" s="25"/>
      <c r="V339" s="39"/>
      <c r="W339" s="25"/>
      <c r="X339" s="33">
        <f t="shared" si="10"/>
        <v>0</v>
      </c>
      <c r="Y339" s="39"/>
      <c r="Z339" s="25">
        <v>0</v>
      </c>
      <c r="AA339" s="45"/>
      <c r="AB339" s="45"/>
      <c r="AC339" s="45"/>
      <c r="AD339" s="45"/>
      <c r="AE339" s="45"/>
    </row>
    <row r="340" spans="1:31" s="12" customFormat="1" ht="12">
      <c r="A340" s="27">
        <v>45607</v>
      </c>
      <c r="B340" s="53" t="s">
        <v>193</v>
      </c>
      <c r="C340" s="37" t="s">
        <v>150</v>
      </c>
      <c r="D340" s="34" t="s">
        <v>194</v>
      </c>
      <c r="E340" s="34" t="e">
        <f>IF(B340="","",VLOOKUP($B340,#REF!,4,FALSE))</f>
        <v>#REF!</v>
      </c>
      <c r="F340" s="34" t="e">
        <f>IF(E340="","",VLOOKUP($B340,#REF!,5,FALSE))</f>
        <v>#REF!</v>
      </c>
      <c r="G340" s="34" t="e">
        <f>IF(F340="","",VLOOKUP($B340,#REF!,6,FALSE))</f>
        <v>#REF!</v>
      </c>
      <c r="H340" s="34" t="e">
        <f>IF(G340="","",VLOOKUP($B340,#REF!,7,FALSE))</f>
        <v>#REF!</v>
      </c>
      <c r="I340" s="25"/>
      <c r="J340" s="25"/>
      <c r="K340" s="25"/>
      <c r="L340" s="25"/>
      <c r="M340" s="25"/>
      <c r="N340" s="25"/>
      <c r="O340" s="33">
        <f t="shared" si="11"/>
        <v>0</v>
      </c>
      <c r="P340" s="25"/>
      <c r="Q340" s="25">
        <v>0</v>
      </c>
      <c r="R340" s="25"/>
      <c r="S340" s="25"/>
      <c r="T340" s="25">
        <v>3</v>
      </c>
      <c r="U340" s="25"/>
      <c r="V340" s="39"/>
      <c r="W340" s="25"/>
      <c r="X340" s="33">
        <f t="shared" si="10"/>
        <v>3</v>
      </c>
      <c r="Y340" s="39">
        <v>16000</v>
      </c>
      <c r="Z340" s="25">
        <v>48000</v>
      </c>
      <c r="AA340" s="45"/>
      <c r="AB340" s="45"/>
      <c r="AC340" s="45"/>
      <c r="AD340" s="45"/>
      <c r="AE340" s="45"/>
    </row>
    <row r="341" spans="1:31" s="12" customFormat="1" ht="12">
      <c r="A341" s="27">
        <v>45607</v>
      </c>
      <c r="B341" s="47" t="s">
        <v>31</v>
      </c>
      <c r="C341" s="37" t="s">
        <v>143</v>
      </c>
      <c r="D341" s="34" t="s">
        <v>207</v>
      </c>
      <c r="E341" s="34" t="e">
        <f>IF(B341="","",VLOOKUP($B341,#REF!,4,FALSE))</f>
        <v>#REF!</v>
      </c>
      <c r="F341" s="34" t="e">
        <f>IF(E341="","",VLOOKUP($B341,#REF!,5,FALSE))</f>
        <v>#REF!</v>
      </c>
      <c r="G341" s="34" t="e">
        <f>IF(F341="","",VLOOKUP($B341,#REF!,6,FALSE))</f>
        <v>#REF!</v>
      </c>
      <c r="H341" s="34" t="e">
        <f>IF(G341="","",VLOOKUP($B341,#REF!,7,FALSE))</f>
        <v>#REF!</v>
      </c>
      <c r="I341" s="25"/>
      <c r="J341" s="25"/>
      <c r="K341" s="25"/>
      <c r="L341" s="25"/>
      <c r="M341" s="25"/>
      <c r="N341" s="25"/>
      <c r="O341" s="33">
        <f t="shared" si="11"/>
        <v>0</v>
      </c>
      <c r="P341" s="25"/>
      <c r="Q341" s="25">
        <v>0</v>
      </c>
      <c r="R341" s="25">
        <v>96</v>
      </c>
      <c r="S341" s="25"/>
      <c r="T341" s="25"/>
      <c r="U341" s="25"/>
      <c r="V341" s="39"/>
      <c r="W341" s="25"/>
      <c r="X341" s="33">
        <f t="shared" si="10"/>
        <v>96</v>
      </c>
      <c r="Y341" s="39">
        <f>Z341/X341</f>
        <v>104214.23958333333</v>
      </c>
      <c r="Z341" s="39">
        <v>10004567</v>
      </c>
      <c r="AA341" s="45" t="s">
        <v>155</v>
      </c>
      <c r="AB341" s="45" t="s">
        <v>143</v>
      </c>
      <c r="AC341" s="45" t="s">
        <v>207</v>
      </c>
      <c r="AD341" s="45"/>
      <c r="AE341" s="45"/>
    </row>
    <row r="342" spans="1:31" s="12" customFormat="1" ht="12">
      <c r="A342" s="27">
        <v>45607</v>
      </c>
      <c r="B342" s="53" t="s">
        <v>42</v>
      </c>
      <c r="C342" s="37" t="s">
        <v>143</v>
      </c>
      <c r="D342" s="34" t="s">
        <v>207</v>
      </c>
      <c r="E342" s="34" t="e">
        <f>IF(B342="","",VLOOKUP($B342,#REF!,4,FALSE))</f>
        <v>#REF!</v>
      </c>
      <c r="F342" s="34" t="e">
        <f>IF(E342="","",VLOOKUP($B342,#REF!,5,FALSE))</f>
        <v>#REF!</v>
      </c>
      <c r="G342" s="34" t="e">
        <f>IF(F342="","",VLOOKUP($B342,#REF!,6,FALSE))</f>
        <v>#REF!</v>
      </c>
      <c r="H342" s="34" t="e">
        <f>IF(G342="","",VLOOKUP($B342,#REF!,7,FALSE))</f>
        <v>#REF!</v>
      </c>
      <c r="I342" s="25"/>
      <c r="J342" s="25"/>
      <c r="K342" s="25"/>
      <c r="L342" s="25"/>
      <c r="M342" s="25"/>
      <c r="N342" s="25"/>
      <c r="O342" s="33">
        <f t="shared" si="11"/>
        <v>0</v>
      </c>
      <c r="P342" s="25"/>
      <c r="Q342" s="25">
        <v>0</v>
      </c>
      <c r="R342" s="25"/>
      <c r="S342" s="25">
        <v>456</v>
      </c>
      <c r="T342" s="25"/>
      <c r="U342" s="25"/>
      <c r="V342" s="39"/>
      <c r="W342" s="25"/>
      <c r="X342" s="33">
        <f t="shared" si="10"/>
        <v>456</v>
      </c>
      <c r="Y342" s="39">
        <f>Z342/X342</f>
        <v>136364.54385964913</v>
      </c>
      <c r="Z342" s="39">
        <v>62182232</v>
      </c>
      <c r="AA342" s="45" t="s">
        <v>155</v>
      </c>
      <c r="AB342" s="45" t="s">
        <v>143</v>
      </c>
      <c r="AC342" s="45" t="s">
        <v>207</v>
      </c>
      <c r="AD342" s="45"/>
      <c r="AE342" s="45"/>
    </row>
    <row r="343" spans="1:31" s="12" customFormat="1" ht="12">
      <c r="A343" s="27">
        <v>45607</v>
      </c>
      <c r="B343" s="53" t="s">
        <v>57</v>
      </c>
      <c r="C343" s="37" t="s">
        <v>82</v>
      </c>
      <c r="D343" s="34" t="s">
        <v>186</v>
      </c>
      <c r="E343" s="34" t="e">
        <f>IF(B343="","",VLOOKUP($B343,#REF!,4,FALSE))</f>
        <v>#REF!</v>
      </c>
      <c r="F343" s="34" t="e">
        <f>IF(E343="","",VLOOKUP($B343,#REF!,5,FALSE))</f>
        <v>#REF!</v>
      </c>
      <c r="G343" s="34" t="e">
        <f>IF(F343="","",VLOOKUP($B343,#REF!,6,FALSE))</f>
        <v>#REF!</v>
      </c>
      <c r="H343" s="34" t="e">
        <f>IF(G343="","",VLOOKUP($B343,#REF!,7,FALSE))</f>
        <v>#REF!</v>
      </c>
      <c r="I343" s="25"/>
      <c r="J343" s="25"/>
      <c r="K343" s="25"/>
      <c r="L343" s="25"/>
      <c r="M343" s="25"/>
      <c r="N343" s="25"/>
      <c r="O343" s="33">
        <f t="shared" si="11"/>
        <v>0</v>
      </c>
      <c r="P343" s="25"/>
      <c r="Q343" s="25">
        <v>0</v>
      </c>
      <c r="R343" s="25"/>
      <c r="S343" s="25"/>
      <c r="T343" s="25"/>
      <c r="U343" s="25">
        <v>11</v>
      </c>
      <c r="V343" s="39"/>
      <c r="W343" s="25"/>
      <c r="X343" s="33">
        <f t="shared" si="10"/>
        <v>11</v>
      </c>
      <c r="Y343" s="39"/>
      <c r="Z343" s="25">
        <v>0</v>
      </c>
      <c r="AA343" s="45"/>
      <c r="AB343" s="45"/>
      <c r="AC343" s="45"/>
      <c r="AD343" s="45"/>
      <c r="AE343" s="45"/>
    </row>
    <row r="344" spans="1:31" s="12" customFormat="1" ht="12">
      <c r="A344" s="27">
        <v>45607</v>
      </c>
      <c r="B344" s="53" t="s">
        <v>7</v>
      </c>
      <c r="C344" s="37" t="s">
        <v>84</v>
      </c>
      <c r="D344" s="34" t="s">
        <v>184</v>
      </c>
      <c r="E344" s="34" t="e">
        <f>IF(B344="","",VLOOKUP($B344,#REF!,4,FALSE))</f>
        <v>#REF!</v>
      </c>
      <c r="F344" s="34" t="e">
        <f>IF(E344="","",VLOOKUP($B344,#REF!,5,FALSE))</f>
        <v>#REF!</v>
      </c>
      <c r="G344" s="34" t="e">
        <f>IF(F344="","",VLOOKUP($B344,#REF!,6,FALSE))</f>
        <v>#REF!</v>
      </c>
      <c r="H344" s="34" t="e">
        <f>IF(G344="","",VLOOKUP($B344,#REF!,7,FALSE))</f>
        <v>#REF!</v>
      </c>
      <c r="I344" s="25"/>
      <c r="J344" s="25"/>
      <c r="K344" s="25">
        <v>8</v>
      </c>
      <c r="L344" s="25"/>
      <c r="M344" s="25"/>
      <c r="N344" s="25"/>
      <c r="O344" s="33">
        <f t="shared" si="11"/>
        <v>8</v>
      </c>
      <c r="P344" s="25"/>
      <c r="Q344" s="25">
        <v>0</v>
      </c>
      <c r="R344" s="25"/>
      <c r="S344" s="25"/>
      <c r="T344" s="25">
        <v>8</v>
      </c>
      <c r="U344" s="25"/>
      <c r="V344" s="39"/>
      <c r="W344" s="25"/>
      <c r="X344" s="33">
        <f t="shared" si="10"/>
        <v>8</v>
      </c>
      <c r="Y344" s="39">
        <v>116452</v>
      </c>
      <c r="Z344" s="25">
        <v>931636</v>
      </c>
      <c r="AA344" s="45" t="s">
        <v>267</v>
      </c>
      <c r="AB344" s="45"/>
      <c r="AC344" s="45"/>
      <c r="AD344" s="45"/>
      <c r="AE344" s="45"/>
    </row>
    <row r="345" spans="1:31" s="12" customFormat="1" ht="12">
      <c r="A345" s="27">
        <v>45607</v>
      </c>
      <c r="B345" s="76" t="s">
        <v>7</v>
      </c>
      <c r="C345" s="37" t="s">
        <v>84</v>
      </c>
      <c r="D345" s="34" t="s">
        <v>184</v>
      </c>
      <c r="E345" s="34" t="e">
        <f>IF(B345="","",VLOOKUP($B345,#REF!,4,FALSE))</f>
        <v>#REF!</v>
      </c>
      <c r="F345" s="34" t="e">
        <f>IF(E345="","",VLOOKUP($B345,#REF!,5,FALSE))</f>
        <v>#REF!</v>
      </c>
      <c r="G345" s="34" t="e">
        <f>IF(F345="","",VLOOKUP($B345,#REF!,6,FALSE))</f>
        <v>#REF!</v>
      </c>
      <c r="H345" s="34" t="e">
        <f>IF(G345="","",VLOOKUP($B345,#REF!,7,FALSE))</f>
        <v>#REF!</v>
      </c>
      <c r="I345" s="25"/>
      <c r="J345" s="25"/>
      <c r="K345" s="25">
        <v>1</v>
      </c>
      <c r="L345" s="25"/>
      <c r="M345" s="25"/>
      <c r="N345" s="25"/>
      <c r="O345" s="33">
        <f t="shared" si="11"/>
        <v>1</v>
      </c>
      <c r="P345" s="25"/>
      <c r="Q345" s="25">
        <v>0</v>
      </c>
      <c r="R345" s="25"/>
      <c r="S345" s="25"/>
      <c r="T345" s="25">
        <v>1</v>
      </c>
      <c r="U345" s="25"/>
      <c r="V345" s="39"/>
      <c r="W345" s="25"/>
      <c r="X345" s="33">
        <f t="shared" si="10"/>
        <v>1</v>
      </c>
      <c r="Y345" s="39">
        <v>116452</v>
      </c>
      <c r="Z345" s="25">
        <v>116455</v>
      </c>
      <c r="AA345" s="45" t="s">
        <v>268</v>
      </c>
      <c r="AB345" s="45"/>
      <c r="AC345" s="45"/>
      <c r="AD345" s="45"/>
      <c r="AE345" s="45"/>
    </row>
    <row r="346" spans="1:31" s="12" customFormat="1" ht="12">
      <c r="A346" s="27">
        <v>45607</v>
      </c>
      <c r="B346" s="53" t="s">
        <v>7</v>
      </c>
      <c r="C346" s="37" t="s">
        <v>84</v>
      </c>
      <c r="D346" s="34" t="s">
        <v>184</v>
      </c>
      <c r="E346" s="34" t="e">
        <f>IF(B346="","",VLOOKUP($B346,#REF!,4,FALSE))</f>
        <v>#REF!</v>
      </c>
      <c r="F346" s="34" t="e">
        <f>IF(E346="","",VLOOKUP($B346,#REF!,5,FALSE))</f>
        <v>#REF!</v>
      </c>
      <c r="G346" s="34" t="e">
        <f>IF(F346="","",VLOOKUP($B346,#REF!,6,FALSE))</f>
        <v>#REF!</v>
      </c>
      <c r="H346" s="34" t="e">
        <f>IF(G346="","",VLOOKUP($B346,#REF!,7,FALSE))</f>
        <v>#REF!</v>
      </c>
      <c r="I346" s="25"/>
      <c r="J346" s="25"/>
      <c r="K346" s="25">
        <v>2</v>
      </c>
      <c r="L346" s="25"/>
      <c r="M346" s="25"/>
      <c r="N346" s="25"/>
      <c r="O346" s="33">
        <f t="shared" si="11"/>
        <v>2</v>
      </c>
      <c r="P346" s="25"/>
      <c r="Q346" s="25">
        <v>0</v>
      </c>
      <c r="R346" s="25"/>
      <c r="S346" s="25"/>
      <c r="T346" s="25">
        <v>2</v>
      </c>
      <c r="U346" s="25"/>
      <c r="V346" s="39"/>
      <c r="W346" s="25"/>
      <c r="X346" s="33">
        <f t="shared" si="10"/>
        <v>2</v>
      </c>
      <c r="Y346" s="39">
        <v>116452</v>
      </c>
      <c r="Z346" s="25">
        <v>232909</v>
      </c>
      <c r="AA346" s="45" t="s">
        <v>268</v>
      </c>
      <c r="AB346" s="45"/>
      <c r="AC346" s="45"/>
      <c r="AD346" s="45"/>
      <c r="AE346" s="45"/>
    </row>
    <row r="347" spans="1:31" s="12" customFormat="1" ht="12">
      <c r="A347" s="27">
        <v>45607</v>
      </c>
      <c r="B347" s="28" t="s">
        <v>15</v>
      </c>
      <c r="C347" s="37" t="s">
        <v>83</v>
      </c>
      <c r="D347" s="34" t="s">
        <v>185</v>
      </c>
      <c r="E347" s="34" t="e">
        <f>IF(B347="","",VLOOKUP($B347,#REF!,4,FALSE))</f>
        <v>#REF!</v>
      </c>
      <c r="F347" s="34" t="e">
        <f>IF(E347="","",VLOOKUP($B347,#REF!,5,FALSE))</f>
        <v>#REF!</v>
      </c>
      <c r="G347" s="34" t="e">
        <f>IF(F347="","",VLOOKUP($B347,#REF!,6,FALSE))</f>
        <v>#REF!</v>
      </c>
      <c r="H347" s="34" t="e">
        <f>IF(G347="","",VLOOKUP($B347,#REF!,7,FALSE))</f>
        <v>#REF!</v>
      </c>
      <c r="I347" s="25"/>
      <c r="J347" s="25"/>
      <c r="K347" s="25"/>
      <c r="L347" s="25"/>
      <c r="M347" s="25"/>
      <c r="N347" s="25"/>
      <c r="O347" s="33">
        <f t="shared" si="11"/>
        <v>0</v>
      </c>
      <c r="P347" s="25"/>
      <c r="Q347" s="25">
        <v>0</v>
      </c>
      <c r="R347" s="25"/>
      <c r="S347" s="25"/>
      <c r="T347" s="25">
        <v>1</v>
      </c>
      <c r="U347" s="25"/>
      <c r="V347" s="39"/>
      <c r="W347" s="25"/>
      <c r="X347" s="33">
        <f t="shared" si="10"/>
        <v>1</v>
      </c>
      <c r="Y347" s="39"/>
      <c r="Z347" s="25">
        <v>0</v>
      </c>
      <c r="AA347" s="45"/>
      <c r="AB347" s="45"/>
      <c r="AC347" s="45"/>
      <c r="AD347" s="45"/>
      <c r="AE347" s="45"/>
    </row>
    <row r="348" spans="1:31" s="12" customFormat="1" ht="12">
      <c r="A348" s="27">
        <v>45607</v>
      </c>
      <c r="B348" s="53" t="s">
        <v>159</v>
      </c>
      <c r="C348" s="37" t="s">
        <v>84</v>
      </c>
      <c r="D348" s="34" t="s">
        <v>184</v>
      </c>
      <c r="E348" s="34" t="e">
        <f>IF(B348="","",VLOOKUP($B348,#REF!,4,FALSE))</f>
        <v>#REF!</v>
      </c>
      <c r="F348" s="34" t="e">
        <f>IF(E348="","",VLOOKUP($B348,#REF!,5,FALSE))</f>
        <v>#REF!</v>
      </c>
      <c r="G348" s="34" t="e">
        <f>IF(F348="","",VLOOKUP($B348,#REF!,6,FALSE))</f>
        <v>#REF!</v>
      </c>
      <c r="H348" s="34" t="e">
        <f>IF(G348="","",VLOOKUP($B348,#REF!,7,FALSE))</f>
        <v>#REF!</v>
      </c>
      <c r="I348" s="25"/>
      <c r="J348" s="25"/>
      <c r="K348" s="25">
        <v>1</v>
      </c>
      <c r="L348" s="25"/>
      <c r="M348" s="25"/>
      <c r="N348" s="25"/>
      <c r="O348" s="33">
        <f t="shared" si="11"/>
        <v>1</v>
      </c>
      <c r="P348" s="25"/>
      <c r="Q348" s="25">
        <v>0</v>
      </c>
      <c r="R348" s="25"/>
      <c r="S348" s="25"/>
      <c r="T348" s="25">
        <v>1</v>
      </c>
      <c r="U348" s="25"/>
      <c r="V348" s="39"/>
      <c r="W348" s="25"/>
      <c r="X348" s="33">
        <f t="shared" si="10"/>
        <v>1</v>
      </c>
      <c r="Y348" s="39">
        <v>69600</v>
      </c>
      <c r="Z348" s="25">
        <v>69600</v>
      </c>
      <c r="AA348" s="45" t="s">
        <v>268</v>
      </c>
      <c r="AB348" s="45"/>
      <c r="AC348" s="45"/>
      <c r="AD348" s="45"/>
      <c r="AE348" s="45"/>
    </row>
    <row r="349" spans="1:31" s="12" customFormat="1" ht="12">
      <c r="A349" s="27">
        <v>45607</v>
      </c>
      <c r="B349" s="53" t="s">
        <v>163</v>
      </c>
      <c r="C349" s="37">
        <v>0</v>
      </c>
      <c r="D349" s="34" t="s">
        <v>183</v>
      </c>
      <c r="E349" s="34" t="e">
        <f>IF(B349="","",VLOOKUP($B349,#REF!,4,FALSE))</f>
        <v>#REF!</v>
      </c>
      <c r="F349" s="34" t="e">
        <f>IF(E349="","",VLOOKUP($B349,#REF!,5,FALSE))</f>
        <v>#REF!</v>
      </c>
      <c r="G349" s="34" t="e">
        <f>IF(F349="","",VLOOKUP($B349,#REF!,6,FALSE))</f>
        <v>#REF!</v>
      </c>
      <c r="H349" s="34" t="e">
        <f>IF(G349="","",VLOOKUP($B349,#REF!,7,FALSE))</f>
        <v>#REF!</v>
      </c>
      <c r="I349" s="25"/>
      <c r="J349" s="25"/>
      <c r="K349" s="25"/>
      <c r="L349" s="25"/>
      <c r="M349" s="25"/>
      <c r="N349" s="25"/>
      <c r="O349" s="33">
        <f t="shared" si="11"/>
        <v>0</v>
      </c>
      <c r="P349" s="25"/>
      <c r="Q349" s="25">
        <v>0</v>
      </c>
      <c r="R349" s="25"/>
      <c r="S349" s="25"/>
      <c r="T349" s="25">
        <v>1</v>
      </c>
      <c r="U349" s="25"/>
      <c r="V349" s="39"/>
      <c r="W349" s="25"/>
      <c r="X349" s="33">
        <f t="shared" si="10"/>
        <v>1</v>
      </c>
      <c r="Y349" s="39"/>
      <c r="Z349" s="25">
        <v>0</v>
      </c>
      <c r="AA349" s="45"/>
      <c r="AB349" s="45"/>
      <c r="AC349" s="45"/>
      <c r="AD349" s="45"/>
      <c r="AE349" s="45"/>
    </row>
    <row r="350" spans="1:31" s="12" customFormat="1" ht="12">
      <c r="A350" s="27">
        <v>45607</v>
      </c>
      <c r="B350" s="47" t="s">
        <v>33</v>
      </c>
      <c r="C350" s="37" t="s">
        <v>84</v>
      </c>
      <c r="D350" s="34" t="s">
        <v>184</v>
      </c>
      <c r="E350" s="34" t="e">
        <f>IF(B350="","",VLOOKUP($B350,#REF!,4,FALSE))</f>
        <v>#REF!</v>
      </c>
      <c r="F350" s="34" t="e">
        <f>IF(E350="","",VLOOKUP($B350,#REF!,5,FALSE))</f>
        <v>#REF!</v>
      </c>
      <c r="G350" s="34" t="e">
        <f>IF(F350="","",VLOOKUP($B350,#REF!,6,FALSE))</f>
        <v>#REF!</v>
      </c>
      <c r="H350" s="34" t="e">
        <f>IF(G350="","",VLOOKUP($B350,#REF!,7,FALSE))</f>
        <v>#REF!</v>
      </c>
      <c r="I350" s="25"/>
      <c r="J350" s="25"/>
      <c r="K350" s="25">
        <v>1</v>
      </c>
      <c r="L350" s="25"/>
      <c r="M350" s="25"/>
      <c r="N350" s="25"/>
      <c r="O350" s="33">
        <f t="shared" si="11"/>
        <v>1</v>
      </c>
      <c r="P350" s="25"/>
      <c r="Q350" s="25">
        <v>0</v>
      </c>
      <c r="R350" s="25"/>
      <c r="S350" s="25"/>
      <c r="T350" s="25">
        <v>1</v>
      </c>
      <c r="U350" s="25"/>
      <c r="V350" s="39"/>
      <c r="W350" s="25"/>
      <c r="X350" s="33">
        <f t="shared" si="10"/>
        <v>1</v>
      </c>
      <c r="Y350" s="39">
        <v>51360</v>
      </c>
      <c r="Z350" s="25">
        <v>51364</v>
      </c>
      <c r="AA350" s="45" t="s">
        <v>268</v>
      </c>
      <c r="AB350" s="45"/>
      <c r="AC350" s="45"/>
      <c r="AD350" s="45"/>
      <c r="AE350" s="45"/>
    </row>
    <row r="351" spans="1:31" s="12" customFormat="1" ht="12">
      <c r="A351" s="27">
        <v>45607</v>
      </c>
      <c r="B351" s="53" t="s">
        <v>163</v>
      </c>
      <c r="C351" s="37" t="s">
        <v>136</v>
      </c>
      <c r="D351" s="34" t="s">
        <v>177</v>
      </c>
      <c r="E351" s="34" t="e">
        <f>IF(B351="","",VLOOKUP($B351,#REF!,4,FALSE))</f>
        <v>#REF!</v>
      </c>
      <c r="F351" s="34" t="e">
        <f>IF(E351="","",VLOOKUP($B351,#REF!,5,FALSE))</f>
        <v>#REF!</v>
      </c>
      <c r="G351" s="34" t="e">
        <f>IF(F351="","",VLOOKUP($B351,#REF!,6,FALSE))</f>
        <v>#REF!</v>
      </c>
      <c r="H351" s="34" t="e">
        <f>IF(G351="","",VLOOKUP($B351,#REF!,7,FALSE))</f>
        <v>#REF!</v>
      </c>
      <c r="I351" s="25"/>
      <c r="J351" s="25"/>
      <c r="K351" s="25"/>
      <c r="L351" s="25"/>
      <c r="M351" s="25"/>
      <c r="N351" s="25"/>
      <c r="O351" s="33">
        <f t="shared" si="11"/>
        <v>0</v>
      </c>
      <c r="P351" s="25"/>
      <c r="Q351" s="25">
        <v>0</v>
      </c>
      <c r="R351" s="25"/>
      <c r="S351" s="25"/>
      <c r="T351" s="25">
        <v>3</v>
      </c>
      <c r="U351" s="25"/>
      <c r="V351" s="39"/>
      <c r="W351" s="25"/>
      <c r="X351" s="33">
        <f t="shared" si="10"/>
        <v>3</v>
      </c>
      <c r="Y351" s="39">
        <v>46400</v>
      </c>
      <c r="Z351" s="25">
        <v>139200</v>
      </c>
      <c r="AA351" s="45" t="s">
        <v>136</v>
      </c>
      <c r="AB351" s="45" t="s">
        <v>177</v>
      </c>
      <c r="AC351" s="45"/>
      <c r="AD351" s="45"/>
      <c r="AE351" s="45"/>
    </row>
    <row r="352" spans="1:31" s="12" customFormat="1" ht="12">
      <c r="A352" s="27">
        <v>45607</v>
      </c>
      <c r="B352" s="73" t="s">
        <v>11</v>
      </c>
      <c r="C352" s="37" t="s">
        <v>136</v>
      </c>
      <c r="D352" s="34" t="s">
        <v>177</v>
      </c>
      <c r="E352" s="34" t="e">
        <f>IF(B352="","",VLOOKUP($B352,#REF!,4,FALSE))</f>
        <v>#REF!</v>
      </c>
      <c r="F352" s="34" t="e">
        <f>IF(E352="","",VLOOKUP($B352,#REF!,5,FALSE))</f>
        <v>#REF!</v>
      </c>
      <c r="G352" s="34" t="e">
        <f>IF(F352="","",VLOOKUP($B352,#REF!,6,FALSE))</f>
        <v>#REF!</v>
      </c>
      <c r="H352" s="34" t="e">
        <f>IF(G352="","",VLOOKUP($B352,#REF!,7,FALSE))</f>
        <v>#REF!</v>
      </c>
      <c r="I352" s="25"/>
      <c r="J352" s="25"/>
      <c r="K352" s="25"/>
      <c r="L352" s="25"/>
      <c r="M352" s="25"/>
      <c r="N352" s="25"/>
      <c r="O352" s="33">
        <f t="shared" si="11"/>
        <v>0</v>
      </c>
      <c r="P352" s="25"/>
      <c r="Q352" s="25">
        <v>0</v>
      </c>
      <c r="R352" s="25"/>
      <c r="S352" s="25"/>
      <c r="T352" s="25">
        <v>1</v>
      </c>
      <c r="U352" s="25"/>
      <c r="V352" s="39"/>
      <c r="W352" s="25"/>
      <c r="X352" s="33">
        <f t="shared" si="10"/>
        <v>1</v>
      </c>
      <c r="Y352" s="39">
        <v>44000</v>
      </c>
      <c r="Z352" s="25">
        <v>44000</v>
      </c>
      <c r="AA352" s="45" t="s">
        <v>136</v>
      </c>
      <c r="AB352" s="45" t="s">
        <v>177</v>
      </c>
      <c r="AC352" s="45"/>
      <c r="AD352" s="45"/>
      <c r="AE352" s="45"/>
    </row>
    <row r="353" spans="1:31" s="12" customFormat="1" ht="12">
      <c r="A353" s="27">
        <v>45607</v>
      </c>
      <c r="B353" s="53" t="s">
        <v>11</v>
      </c>
      <c r="C353" s="37" t="s">
        <v>136</v>
      </c>
      <c r="D353" s="34" t="s">
        <v>178</v>
      </c>
      <c r="E353" s="34" t="e">
        <f>IF(B353="","",VLOOKUP($B353,#REF!,4,FALSE))</f>
        <v>#REF!</v>
      </c>
      <c r="F353" s="34" t="e">
        <f>IF(E353="","",VLOOKUP($B353,#REF!,5,FALSE))</f>
        <v>#REF!</v>
      </c>
      <c r="G353" s="34" t="e">
        <f>IF(F353="","",VLOOKUP($B353,#REF!,6,FALSE))</f>
        <v>#REF!</v>
      </c>
      <c r="H353" s="34" t="e">
        <f>IF(G353="","",VLOOKUP($B353,#REF!,7,FALSE))</f>
        <v>#REF!</v>
      </c>
      <c r="I353" s="25"/>
      <c r="J353" s="25"/>
      <c r="K353" s="25"/>
      <c r="L353" s="25"/>
      <c r="M353" s="25"/>
      <c r="N353" s="25"/>
      <c r="O353" s="33">
        <f t="shared" si="11"/>
        <v>0</v>
      </c>
      <c r="P353" s="25"/>
      <c r="Q353" s="25">
        <v>0</v>
      </c>
      <c r="R353" s="25"/>
      <c r="S353" s="25"/>
      <c r="T353" s="25">
        <v>1</v>
      </c>
      <c r="U353" s="25"/>
      <c r="V353" s="39"/>
      <c r="W353" s="25"/>
      <c r="X353" s="33">
        <f t="shared" si="10"/>
        <v>1</v>
      </c>
      <c r="Y353" s="39">
        <v>44000</v>
      </c>
      <c r="Z353" s="25">
        <v>44000</v>
      </c>
      <c r="AA353" s="45" t="s">
        <v>136</v>
      </c>
      <c r="AB353" s="45" t="s">
        <v>178</v>
      </c>
      <c r="AC353" s="45"/>
      <c r="AD353" s="45"/>
      <c r="AE353" s="45"/>
    </row>
    <row r="354" spans="1:31" s="12" customFormat="1" ht="12">
      <c r="A354" s="27">
        <v>45607</v>
      </c>
      <c r="B354" s="28" t="s">
        <v>28</v>
      </c>
      <c r="C354" s="37" t="s">
        <v>137</v>
      </c>
      <c r="D354" s="34" t="s">
        <v>182</v>
      </c>
      <c r="E354" s="34" t="e">
        <f>IF(B354="","",VLOOKUP($B354,#REF!,4,FALSE))</f>
        <v>#REF!</v>
      </c>
      <c r="F354" s="34" t="e">
        <f>IF(E354="","",VLOOKUP($B354,#REF!,5,FALSE))</f>
        <v>#REF!</v>
      </c>
      <c r="G354" s="34" t="e">
        <f>IF(F354="","",VLOOKUP($B354,#REF!,6,FALSE))</f>
        <v>#REF!</v>
      </c>
      <c r="H354" s="34" t="e">
        <f>IF(G354="","",VLOOKUP($B354,#REF!,7,FALSE))</f>
        <v>#REF!</v>
      </c>
      <c r="I354" s="25"/>
      <c r="J354" s="25"/>
      <c r="K354" s="25"/>
      <c r="L354" s="25"/>
      <c r="M354" s="25">
        <v>336</v>
      </c>
      <c r="N354" s="25"/>
      <c r="O354" s="33">
        <f t="shared" si="11"/>
        <v>336</v>
      </c>
      <c r="P354" s="25">
        <v>137250</v>
      </c>
      <c r="Q354" s="25">
        <v>46116000</v>
      </c>
      <c r="R354" s="25"/>
      <c r="S354" s="25"/>
      <c r="T354" s="25"/>
      <c r="U354" s="25"/>
      <c r="V354" s="39"/>
      <c r="W354" s="25"/>
      <c r="X354" s="33">
        <f t="shared" si="10"/>
        <v>0</v>
      </c>
      <c r="Y354" s="39"/>
      <c r="Z354" s="25">
        <v>0</v>
      </c>
      <c r="AA354" s="45" t="s">
        <v>137</v>
      </c>
      <c r="AB354" s="45" t="s">
        <v>269</v>
      </c>
      <c r="AC354" s="45"/>
      <c r="AD354" s="45"/>
      <c r="AE354" s="45"/>
    </row>
    <row r="355" spans="1:31" s="12" customFormat="1" ht="12">
      <c r="A355" s="27">
        <v>45607</v>
      </c>
      <c r="B355" s="73" t="s">
        <v>219</v>
      </c>
      <c r="C355" s="37" t="s">
        <v>224</v>
      </c>
      <c r="D355" s="34" t="s">
        <v>212</v>
      </c>
      <c r="E355" s="34" t="e">
        <f>IF(B355="","",VLOOKUP($B355,#REF!,4,FALSE))</f>
        <v>#REF!</v>
      </c>
      <c r="F355" s="34" t="e">
        <f>IF(E355="","",VLOOKUP($B355,#REF!,5,FALSE))</f>
        <v>#REF!</v>
      </c>
      <c r="G355" s="34" t="e">
        <f>IF(F355="","",VLOOKUP($B355,#REF!,6,FALSE))</f>
        <v>#REF!</v>
      </c>
      <c r="H355" s="34" t="e">
        <f>IF(G355="","",VLOOKUP($B355,#REF!,7,FALSE))</f>
        <v>#REF!</v>
      </c>
      <c r="I355" s="25"/>
      <c r="J355" s="25"/>
      <c r="K355" s="25"/>
      <c r="L355" s="25"/>
      <c r="M355" s="25">
        <v>408</v>
      </c>
      <c r="N355" s="25"/>
      <c r="O355" s="33">
        <f t="shared" si="11"/>
        <v>408</v>
      </c>
      <c r="P355" s="51">
        <v>30450</v>
      </c>
      <c r="Q355" s="51">
        <f>M355*P355</f>
        <v>12423600</v>
      </c>
      <c r="R355" s="25"/>
      <c r="S355" s="25"/>
      <c r="T355" s="25"/>
      <c r="U355" s="25"/>
      <c r="V355" s="39"/>
      <c r="W355" s="25"/>
      <c r="X355" s="33">
        <f t="shared" si="10"/>
        <v>0</v>
      </c>
      <c r="Y355" s="39"/>
      <c r="Z355" s="25">
        <v>0</v>
      </c>
      <c r="AA355" s="45" t="s">
        <v>213</v>
      </c>
      <c r="AB355" s="45"/>
      <c r="AC355" s="45"/>
      <c r="AD355" s="45"/>
      <c r="AE355" s="45"/>
    </row>
    <row r="356" spans="1:31" s="12" customFormat="1" ht="12">
      <c r="A356" s="27">
        <v>45607</v>
      </c>
      <c r="B356" s="28" t="s">
        <v>230</v>
      </c>
      <c r="C356" s="37">
        <v>0</v>
      </c>
      <c r="D356" s="34" t="s">
        <v>187</v>
      </c>
      <c r="E356" s="34" t="e">
        <f>IF(B356="","",VLOOKUP($B356,#REF!,4,FALSE))</f>
        <v>#REF!</v>
      </c>
      <c r="F356" s="34" t="e">
        <f>IF(E356="","",VLOOKUP($B356,#REF!,5,FALSE))</f>
        <v>#REF!</v>
      </c>
      <c r="G356" s="34" t="e">
        <f>IF(F356="","",VLOOKUP($B356,#REF!,6,FALSE))</f>
        <v>#REF!</v>
      </c>
      <c r="H356" s="34" t="e">
        <f>IF(G356="","",VLOOKUP($B356,#REF!,7,FALSE))</f>
        <v>#REF!</v>
      </c>
      <c r="I356" s="25">
        <v>386</v>
      </c>
      <c r="J356" s="25"/>
      <c r="K356" s="25"/>
      <c r="L356" s="25"/>
      <c r="M356" s="25"/>
      <c r="N356" s="25"/>
      <c r="O356" s="33">
        <f t="shared" si="11"/>
        <v>386</v>
      </c>
      <c r="P356" s="25"/>
      <c r="Q356" s="25">
        <v>0</v>
      </c>
      <c r="R356" s="25"/>
      <c r="S356" s="25"/>
      <c r="T356" s="25"/>
      <c r="U356" s="25"/>
      <c r="V356" s="39"/>
      <c r="W356" s="25"/>
      <c r="X356" s="33">
        <f t="shared" si="10"/>
        <v>0</v>
      </c>
      <c r="Y356" s="39"/>
      <c r="Z356" s="25">
        <v>0</v>
      </c>
      <c r="AA356" s="45"/>
      <c r="AB356" s="45"/>
      <c r="AC356" s="45"/>
      <c r="AD356" s="45"/>
      <c r="AE356" s="45"/>
    </row>
    <row r="357" spans="1:31" s="12" customFormat="1" ht="12">
      <c r="A357" s="27">
        <v>45607</v>
      </c>
      <c r="B357" s="28" t="s">
        <v>211</v>
      </c>
      <c r="C357" s="37">
        <v>0</v>
      </c>
      <c r="D357" s="34" t="s">
        <v>187</v>
      </c>
      <c r="E357" s="34" t="e">
        <f>IF(B357="","",VLOOKUP($B357,#REF!,4,FALSE))</f>
        <v>#REF!</v>
      </c>
      <c r="F357" s="34" t="e">
        <f>IF(E357="","",VLOOKUP($B357,#REF!,5,FALSE))</f>
        <v>#REF!</v>
      </c>
      <c r="G357" s="34" t="e">
        <f>IF(F357="","",VLOOKUP($B357,#REF!,6,FALSE))</f>
        <v>#REF!</v>
      </c>
      <c r="H357" s="34" t="e">
        <f>IF(G357="","",VLOOKUP($B357,#REF!,7,FALSE))</f>
        <v>#REF!</v>
      </c>
      <c r="I357" s="25"/>
      <c r="J357" s="25"/>
      <c r="K357" s="25"/>
      <c r="L357" s="25">
        <v>814</v>
      </c>
      <c r="M357" s="25"/>
      <c r="N357" s="25"/>
      <c r="O357" s="33">
        <f t="shared" si="11"/>
        <v>814</v>
      </c>
      <c r="P357" s="25"/>
      <c r="Q357" s="25">
        <v>0</v>
      </c>
      <c r="R357" s="25"/>
      <c r="S357" s="25"/>
      <c r="T357" s="25"/>
      <c r="U357" s="25"/>
      <c r="V357" s="39"/>
      <c r="W357" s="25"/>
      <c r="X357" s="33">
        <f t="shared" si="10"/>
        <v>0</v>
      </c>
      <c r="Y357" s="39"/>
      <c r="Z357" s="25">
        <v>0</v>
      </c>
      <c r="AA357" s="45"/>
      <c r="AB357" s="45"/>
      <c r="AC357" s="45"/>
      <c r="AD357" s="45"/>
      <c r="AE357" s="45"/>
    </row>
    <row r="358" spans="1:31" s="12" customFormat="1" ht="12">
      <c r="A358" s="27">
        <v>45607</v>
      </c>
      <c r="B358" s="28" t="s">
        <v>57</v>
      </c>
      <c r="C358" s="37">
        <v>0</v>
      </c>
      <c r="D358" s="34" t="s">
        <v>187</v>
      </c>
      <c r="E358" s="34" t="e">
        <f>IF(B358="","",VLOOKUP($B358,#REF!,4,FALSE))</f>
        <v>#REF!</v>
      </c>
      <c r="F358" s="34" t="e">
        <f>IF(E358="","",VLOOKUP($B358,#REF!,5,FALSE))</f>
        <v>#REF!</v>
      </c>
      <c r="G358" s="34" t="e">
        <f>IF(F358="","",VLOOKUP($B358,#REF!,6,FALSE))</f>
        <v>#REF!</v>
      </c>
      <c r="H358" s="34" t="e">
        <f>IF(G358="","",VLOOKUP($B358,#REF!,7,FALSE))</f>
        <v>#REF!</v>
      </c>
      <c r="I358" s="25"/>
      <c r="J358" s="25"/>
      <c r="K358" s="25"/>
      <c r="L358" s="25">
        <v>112</v>
      </c>
      <c r="M358" s="25"/>
      <c r="N358" s="25"/>
      <c r="O358" s="33">
        <f t="shared" si="11"/>
        <v>112</v>
      </c>
      <c r="P358" s="25"/>
      <c r="Q358" s="25">
        <v>0</v>
      </c>
      <c r="R358" s="25"/>
      <c r="S358" s="25"/>
      <c r="T358" s="25"/>
      <c r="U358" s="25"/>
      <c r="V358" s="39"/>
      <c r="W358" s="25"/>
      <c r="X358" s="33">
        <f t="shared" si="10"/>
        <v>0</v>
      </c>
      <c r="Y358" s="39"/>
      <c r="Z358" s="25">
        <v>0</v>
      </c>
      <c r="AA358" s="45"/>
      <c r="AB358" s="45"/>
      <c r="AC358" s="45"/>
      <c r="AD358" s="45"/>
      <c r="AE358" s="45"/>
    </row>
    <row r="359" spans="1:31" s="12" customFormat="1" ht="12">
      <c r="A359" s="27">
        <v>45607</v>
      </c>
      <c r="B359" s="29" t="s">
        <v>229</v>
      </c>
      <c r="C359" s="37">
        <v>0</v>
      </c>
      <c r="D359" s="34" t="s">
        <v>187</v>
      </c>
      <c r="E359" s="34" t="e">
        <f>IF(B359="","",VLOOKUP($B359,#REF!,4,FALSE))</f>
        <v>#REF!</v>
      </c>
      <c r="F359" s="34" t="e">
        <f>IF(E359="","",VLOOKUP($B359,#REF!,5,FALSE))</f>
        <v>#REF!</v>
      </c>
      <c r="G359" s="34" t="e">
        <f>IF(F359="","",VLOOKUP($B359,#REF!,6,FALSE))</f>
        <v>#REF!</v>
      </c>
      <c r="H359" s="34" t="e">
        <f>IF(G359="","",VLOOKUP($B359,#REF!,7,FALSE))</f>
        <v>#REF!</v>
      </c>
      <c r="I359" s="25"/>
      <c r="J359" s="25"/>
      <c r="K359" s="25"/>
      <c r="L359" s="25">
        <v>2029</v>
      </c>
      <c r="M359" s="25"/>
      <c r="N359" s="25"/>
      <c r="O359" s="33">
        <f t="shared" si="11"/>
        <v>2029</v>
      </c>
      <c r="P359" s="25"/>
      <c r="Q359" s="25">
        <v>0</v>
      </c>
      <c r="R359" s="25"/>
      <c r="S359" s="25"/>
      <c r="T359" s="25"/>
      <c r="U359" s="25"/>
      <c r="V359" s="39"/>
      <c r="W359" s="25"/>
      <c r="X359" s="33">
        <f t="shared" si="10"/>
        <v>0</v>
      </c>
      <c r="Y359" s="39"/>
      <c r="Z359" s="25">
        <v>0</v>
      </c>
      <c r="AA359" s="45"/>
      <c r="AB359" s="45"/>
      <c r="AC359" s="45"/>
      <c r="AD359" s="45"/>
      <c r="AE359" s="45"/>
    </row>
    <row r="360" spans="1:31" s="12" customFormat="1" ht="12">
      <c r="A360" s="27">
        <v>45607</v>
      </c>
      <c r="B360" s="53" t="s">
        <v>164</v>
      </c>
      <c r="C360" s="37">
        <v>0</v>
      </c>
      <c r="D360" s="34" t="s">
        <v>187</v>
      </c>
      <c r="E360" s="34" t="e">
        <f>IF(B360="","",VLOOKUP($B360,#REF!,4,FALSE))</f>
        <v>#REF!</v>
      </c>
      <c r="F360" s="34" t="e">
        <f>IF(E360="","",VLOOKUP($B360,#REF!,5,FALSE))</f>
        <v>#REF!</v>
      </c>
      <c r="G360" s="34" t="e">
        <f>IF(F360="","",VLOOKUP($B360,#REF!,6,FALSE))</f>
        <v>#REF!</v>
      </c>
      <c r="H360" s="34" t="e">
        <f>IF(G360="","",VLOOKUP($B360,#REF!,7,FALSE))</f>
        <v>#REF!</v>
      </c>
      <c r="I360" s="25"/>
      <c r="J360" s="25"/>
      <c r="K360" s="25"/>
      <c r="L360" s="25">
        <v>291</v>
      </c>
      <c r="M360" s="25"/>
      <c r="N360" s="25"/>
      <c r="O360" s="33">
        <f t="shared" si="11"/>
        <v>291</v>
      </c>
      <c r="P360" s="25"/>
      <c r="Q360" s="25">
        <v>0</v>
      </c>
      <c r="R360" s="25"/>
      <c r="S360" s="25"/>
      <c r="T360" s="25"/>
      <c r="U360" s="25"/>
      <c r="V360" s="39"/>
      <c r="W360" s="25"/>
      <c r="X360" s="33">
        <f t="shared" si="10"/>
        <v>0</v>
      </c>
      <c r="Y360" s="39"/>
      <c r="Z360" s="25">
        <v>0</v>
      </c>
      <c r="AA360" s="45"/>
      <c r="AB360" s="45"/>
      <c r="AC360" s="45"/>
      <c r="AD360" s="45"/>
      <c r="AE360" s="45"/>
    </row>
    <row r="361" spans="1:31" s="12" customFormat="1" ht="12">
      <c r="A361" s="27">
        <v>45608</v>
      </c>
      <c r="B361" s="53" t="s">
        <v>24</v>
      </c>
      <c r="C361" s="37" t="s">
        <v>82</v>
      </c>
      <c r="D361" s="34" t="s">
        <v>186</v>
      </c>
      <c r="E361" s="34" t="e">
        <f>IF(B361="","",VLOOKUP($B361,#REF!,4,FALSE))</f>
        <v>#REF!</v>
      </c>
      <c r="F361" s="34" t="e">
        <f>IF(E361="","",VLOOKUP($B361,#REF!,5,FALSE))</f>
        <v>#REF!</v>
      </c>
      <c r="G361" s="34" t="e">
        <f>IF(F361="","",VLOOKUP($B361,#REF!,6,FALSE))</f>
        <v>#REF!</v>
      </c>
      <c r="H361" s="34" t="e">
        <f>IF(G361="","",VLOOKUP($B361,#REF!,7,FALSE))</f>
        <v>#REF!</v>
      </c>
      <c r="I361" s="25"/>
      <c r="J361" s="25"/>
      <c r="K361" s="25"/>
      <c r="L361" s="25"/>
      <c r="M361" s="25"/>
      <c r="N361" s="25"/>
      <c r="O361" s="33">
        <f t="shared" si="11"/>
        <v>0</v>
      </c>
      <c r="P361" s="25"/>
      <c r="Q361" s="25">
        <v>0</v>
      </c>
      <c r="R361" s="25"/>
      <c r="S361" s="25"/>
      <c r="T361" s="25"/>
      <c r="U361" s="25"/>
      <c r="V361" s="39">
        <v>156</v>
      </c>
      <c r="W361" s="25"/>
      <c r="X361" s="33">
        <f t="shared" si="10"/>
        <v>156</v>
      </c>
      <c r="Y361" s="39">
        <v>124920</v>
      </c>
      <c r="Z361" s="25">
        <v>19487520</v>
      </c>
      <c r="AA361" s="45"/>
      <c r="AB361" s="45"/>
      <c r="AC361" s="45"/>
      <c r="AD361" s="45"/>
      <c r="AE361" s="45"/>
    </row>
    <row r="362" spans="1:31" s="12" customFormat="1" ht="12">
      <c r="A362" s="27">
        <v>45608</v>
      </c>
      <c r="B362" s="53" t="s">
        <v>160</v>
      </c>
      <c r="C362" s="37" t="s">
        <v>82</v>
      </c>
      <c r="D362" s="34" t="s">
        <v>186</v>
      </c>
      <c r="E362" s="34" t="e">
        <f>IF(B362="","",VLOOKUP($B362,#REF!,4,FALSE))</f>
        <v>#REF!</v>
      </c>
      <c r="F362" s="34" t="e">
        <f>IF(E362="","",VLOOKUP($B362,#REF!,5,FALSE))</f>
        <v>#REF!</v>
      </c>
      <c r="G362" s="34" t="e">
        <f>IF(F362="","",VLOOKUP($B362,#REF!,6,FALSE))</f>
        <v>#REF!</v>
      </c>
      <c r="H362" s="34" t="e">
        <f>IF(G362="","",VLOOKUP($B362,#REF!,7,FALSE))</f>
        <v>#REF!</v>
      </c>
      <c r="I362" s="25"/>
      <c r="J362" s="25"/>
      <c r="K362" s="25"/>
      <c r="L362" s="25"/>
      <c r="M362" s="25"/>
      <c r="N362" s="25"/>
      <c r="O362" s="33">
        <f t="shared" si="11"/>
        <v>0</v>
      </c>
      <c r="P362" s="25"/>
      <c r="Q362" s="25">
        <v>0</v>
      </c>
      <c r="R362" s="25"/>
      <c r="S362" s="25"/>
      <c r="T362" s="25"/>
      <c r="U362" s="25"/>
      <c r="V362" s="39">
        <v>96</v>
      </c>
      <c r="W362" s="25"/>
      <c r="X362" s="33">
        <f t="shared" si="10"/>
        <v>96</v>
      </c>
      <c r="Y362" s="39">
        <v>100300</v>
      </c>
      <c r="Z362" s="25">
        <v>9628800</v>
      </c>
      <c r="AA362" s="45"/>
      <c r="AB362" s="45"/>
      <c r="AC362" s="45"/>
      <c r="AD362" s="45"/>
      <c r="AE362" s="45"/>
    </row>
    <row r="363" spans="1:31" s="12" customFormat="1" ht="12">
      <c r="A363" s="27">
        <v>45608</v>
      </c>
      <c r="B363" s="53" t="s">
        <v>21</v>
      </c>
      <c r="C363" s="37" t="s">
        <v>82</v>
      </c>
      <c r="D363" s="34" t="s">
        <v>186</v>
      </c>
      <c r="E363" s="34" t="e">
        <f>IF(B363="","",VLOOKUP($B363,#REF!,4,FALSE))</f>
        <v>#REF!</v>
      </c>
      <c r="F363" s="34" t="e">
        <f>IF(E363="","",VLOOKUP($B363,#REF!,5,FALSE))</f>
        <v>#REF!</v>
      </c>
      <c r="G363" s="34" t="e">
        <f>IF(F363="","",VLOOKUP($B363,#REF!,6,FALSE))</f>
        <v>#REF!</v>
      </c>
      <c r="H363" s="34" t="e">
        <f>IF(G363="","",VLOOKUP($B363,#REF!,7,FALSE))</f>
        <v>#REF!</v>
      </c>
      <c r="I363" s="25"/>
      <c r="J363" s="25"/>
      <c r="K363" s="25"/>
      <c r="L363" s="25"/>
      <c r="M363" s="25"/>
      <c r="N363" s="25"/>
      <c r="O363" s="33">
        <f t="shared" si="11"/>
        <v>0</v>
      </c>
      <c r="P363" s="25"/>
      <c r="Q363" s="25">
        <v>0</v>
      </c>
      <c r="R363" s="25"/>
      <c r="S363" s="25"/>
      <c r="T363" s="25"/>
      <c r="U363" s="25"/>
      <c r="V363" s="39">
        <v>12</v>
      </c>
      <c r="W363" s="25"/>
      <c r="X363" s="33">
        <f t="shared" si="10"/>
        <v>12</v>
      </c>
      <c r="Y363" s="39">
        <v>81800</v>
      </c>
      <c r="Z363" s="25">
        <v>981600</v>
      </c>
      <c r="AA363" s="45"/>
      <c r="AB363" s="45"/>
      <c r="AC363" s="45"/>
      <c r="AD363" s="45"/>
      <c r="AE363" s="45"/>
    </row>
    <row r="364" spans="1:31" s="12" customFormat="1" ht="12">
      <c r="A364" s="27">
        <v>45608</v>
      </c>
      <c r="B364" s="53" t="s">
        <v>211</v>
      </c>
      <c r="C364" s="37" t="s">
        <v>82</v>
      </c>
      <c r="D364" s="34" t="s">
        <v>186</v>
      </c>
      <c r="E364" s="34" t="e">
        <f>IF(B364="","",VLOOKUP($B364,#REF!,4,FALSE))</f>
        <v>#REF!</v>
      </c>
      <c r="F364" s="34" t="e">
        <f>IF(E364="","",VLOOKUP($B364,#REF!,5,FALSE))</f>
        <v>#REF!</v>
      </c>
      <c r="G364" s="34" t="e">
        <f>IF(F364="","",VLOOKUP($B364,#REF!,6,FALSE))</f>
        <v>#REF!</v>
      </c>
      <c r="H364" s="34" t="e">
        <f>IF(G364="","",VLOOKUP($B364,#REF!,7,FALSE))</f>
        <v>#REF!</v>
      </c>
      <c r="I364" s="25"/>
      <c r="J364" s="25"/>
      <c r="K364" s="25"/>
      <c r="L364" s="25"/>
      <c r="M364" s="25"/>
      <c r="N364" s="25"/>
      <c r="O364" s="33">
        <f t="shared" si="11"/>
        <v>0</v>
      </c>
      <c r="P364" s="25"/>
      <c r="Q364" s="25">
        <v>0</v>
      </c>
      <c r="R364" s="25"/>
      <c r="S364" s="25"/>
      <c r="T364" s="25"/>
      <c r="U364" s="25"/>
      <c r="V364" s="39">
        <v>168</v>
      </c>
      <c r="W364" s="25"/>
      <c r="X364" s="33">
        <f t="shared" si="10"/>
        <v>168</v>
      </c>
      <c r="Y364" s="39">
        <v>46020</v>
      </c>
      <c r="Z364" s="25">
        <v>7731360</v>
      </c>
      <c r="AA364" s="45"/>
      <c r="AB364" s="45"/>
      <c r="AC364" s="45"/>
      <c r="AD364" s="45"/>
      <c r="AE364" s="45"/>
    </row>
    <row r="365" spans="1:31" s="12" customFormat="1" ht="12">
      <c r="A365" s="27">
        <v>45608</v>
      </c>
      <c r="B365" s="53" t="s">
        <v>211</v>
      </c>
      <c r="C365" s="37" t="s">
        <v>82</v>
      </c>
      <c r="D365" s="34" t="s">
        <v>186</v>
      </c>
      <c r="E365" s="34" t="e">
        <f>IF(B365="","",VLOOKUP($B365,#REF!,4,FALSE))</f>
        <v>#REF!</v>
      </c>
      <c r="F365" s="34" t="e">
        <f>IF(E365="","",VLOOKUP($B365,#REF!,5,FALSE))</f>
        <v>#REF!</v>
      </c>
      <c r="G365" s="34" t="e">
        <f>IF(F365="","",VLOOKUP($B365,#REF!,6,FALSE))</f>
        <v>#REF!</v>
      </c>
      <c r="H365" s="34" t="e">
        <f>IF(G365="","",VLOOKUP($B365,#REF!,7,FALSE))</f>
        <v>#REF!</v>
      </c>
      <c r="I365" s="25"/>
      <c r="J365" s="25"/>
      <c r="K365" s="25"/>
      <c r="L365" s="25"/>
      <c r="M365" s="25"/>
      <c r="N365" s="25"/>
      <c r="O365" s="33">
        <f t="shared" si="11"/>
        <v>0</v>
      </c>
      <c r="P365" s="25"/>
      <c r="Q365" s="25">
        <v>0</v>
      </c>
      <c r="R365" s="25"/>
      <c r="S365" s="25"/>
      <c r="T365" s="25"/>
      <c r="U365" s="25"/>
      <c r="V365" s="39">
        <v>168</v>
      </c>
      <c r="W365" s="25"/>
      <c r="X365" s="33">
        <f t="shared" si="10"/>
        <v>168</v>
      </c>
      <c r="Y365" s="39">
        <v>46020</v>
      </c>
      <c r="Z365" s="25">
        <v>7731360</v>
      </c>
      <c r="AA365" s="45"/>
      <c r="AB365" s="45"/>
      <c r="AC365" s="45"/>
      <c r="AD365" s="45"/>
      <c r="AE365" s="45"/>
    </row>
    <row r="366" spans="1:31" s="12" customFormat="1" ht="12">
      <c r="A366" s="27">
        <v>45608</v>
      </c>
      <c r="B366" s="53" t="s">
        <v>211</v>
      </c>
      <c r="C366" s="37" t="s">
        <v>82</v>
      </c>
      <c r="D366" s="34" t="s">
        <v>186</v>
      </c>
      <c r="E366" s="34" t="e">
        <f>IF(B366="","",VLOOKUP($B366,#REF!,4,FALSE))</f>
        <v>#REF!</v>
      </c>
      <c r="F366" s="34" t="e">
        <f>IF(E366="","",VLOOKUP($B366,#REF!,5,FALSE))</f>
        <v>#REF!</v>
      </c>
      <c r="G366" s="34" t="e">
        <f>IF(F366="","",VLOOKUP($B366,#REF!,6,FALSE))</f>
        <v>#REF!</v>
      </c>
      <c r="H366" s="34" t="e">
        <f>IF(G366="","",VLOOKUP($B366,#REF!,7,FALSE))</f>
        <v>#REF!</v>
      </c>
      <c r="I366" s="25"/>
      <c r="J366" s="25"/>
      <c r="K366" s="25"/>
      <c r="L366" s="25"/>
      <c r="M366" s="25"/>
      <c r="N366" s="25"/>
      <c r="O366" s="33">
        <f t="shared" si="11"/>
        <v>0</v>
      </c>
      <c r="P366" s="25"/>
      <c r="Q366" s="25">
        <v>0</v>
      </c>
      <c r="R366" s="25"/>
      <c r="S366" s="25"/>
      <c r="T366" s="25"/>
      <c r="U366" s="25"/>
      <c r="V366" s="39">
        <v>180</v>
      </c>
      <c r="W366" s="25"/>
      <c r="X366" s="33">
        <f t="shared" si="10"/>
        <v>180</v>
      </c>
      <c r="Y366" s="39">
        <v>46020</v>
      </c>
      <c r="Z366" s="25">
        <v>8283600</v>
      </c>
      <c r="AA366" s="45"/>
      <c r="AB366" s="45"/>
      <c r="AC366" s="45"/>
      <c r="AD366" s="45"/>
      <c r="AE366" s="45"/>
    </row>
    <row r="367" spans="1:31" s="12" customFormat="1" ht="12">
      <c r="A367" s="27">
        <v>45608</v>
      </c>
      <c r="B367" s="29" t="s">
        <v>211</v>
      </c>
      <c r="C367" s="37" t="s">
        <v>82</v>
      </c>
      <c r="D367" s="34" t="s">
        <v>186</v>
      </c>
      <c r="E367" s="34" t="e">
        <f>IF(B367="","",VLOOKUP($B367,#REF!,4,FALSE))</f>
        <v>#REF!</v>
      </c>
      <c r="F367" s="34" t="e">
        <f>IF(E367="","",VLOOKUP($B367,#REF!,5,FALSE))</f>
        <v>#REF!</v>
      </c>
      <c r="G367" s="34" t="e">
        <f>IF(F367="","",VLOOKUP($B367,#REF!,6,FALSE))</f>
        <v>#REF!</v>
      </c>
      <c r="H367" s="34" t="e">
        <f>IF(G367="","",VLOOKUP($B367,#REF!,7,FALSE))</f>
        <v>#REF!</v>
      </c>
      <c r="I367" s="25"/>
      <c r="J367" s="25"/>
      <c r="K367" s="25"/>
      <c r="L367" s="25"/>
      <c r="M367" s="25"/>
      <c r="N367" s="25"/>
      <c r="O367" s="33">
        <f t="shared" si="11"/>
        <v>0</v>
      </c>
      <c r="P367" s="25"/>
      <c r="Q367" s="25">
        <v>0</v>
      </c>
      <c r="R367" s="25"/>
      <c r="S367" s="25"/>
      <c r="T367" s="25"/>
      <c r="U367" s="25"/>
      <c r="V367" s="39">
        <v>156</v>
      </c>
      <c r="W367" s="25"/>
      <c r="X367" s="33">
        <f t="shared" si="10"/>
        <v>156</v>
      </c>
      <c r="Y367" s="39">
        <v>46020</v>
      </c>
      <c r="Z367" s="25">
        <v>7179120</v>
      </c>
      <c r="AA367" s="45"/>
      <c r="AB367" s="45"/>
      <c r="AC367" s="45"/>
      <c r="AD367" s="45"/>
      <c r="AE367" s="45"/>
    </row>
    <row r="368" spans="1:31" s="12" customFormat="1" ht="12">
      <c r="A368" s="27">
        <v>45608</v>
      </c>
      <c r="B368" s="73" t="s">
        <v>211</v>
      </c>
      <c r="C368" s="37" t="s">
        <v>82</v>
      </c>
      <c r="D368" s="34" t="s">
        <v>186</v>
      </c>
      <c r="E368" s="34" t="e">
        <f>IF(B368="","",VLOOKUP($B368,#REF!,4,FALSE))</f>
        <v>#REF!</v>
      </c>
      <c r="F368" s="34" t="e">
        <f>IF(E368="","",VLOOKUP($B368,#REF!,5,FALSE))</f>
        <v>#REF!</v>
      </c>
      <c r="G368" s="34" t="e">
        <f>IF(F368="","",VLOOKUP($B368,#REF!,6,FALSE))</f>
        <v>#REF!</v>
      </c>
      <c r="H368" s="34" t="e">
        <f>IF(G368="","",VLOOKUP($B368,#REF!,7,FALSE))</f>
        <v>#REF!</v>
      </c>
      <c r="I368" s="25"/>
      <c r="J368" s="25"/>
      <c r="K368" s="25"/>
      <c r="L368" s="25"/>
      <c r="M368" s="25"/>
      <c r="N368" s="25"/>
      <c r="O368" s="33">
        <f t="shared" si="11"/>
        <v>0</v>
      </c>
      <c r="P368" s="25"/>
      <c r="Q368" s="25">
        <v>0</v>
      </c>
      <c r="R368" s="25"/>
      <c r="S368" s="25"/>
      <c r="T368" s="25"/>
      <c r="U368" s="25"/>
      <c r="V368" s="39">
        <v>192</v>
      </c>
      <c r="W368" s="25"/>
      <c r="X368" s="33">
        <f t="shared" si="10"/>
        <v>192</v>
      </c>
      <c r="Y368" s="39">
        <v>46020</v>
      </c>
      <c r="Z368" s="25">
        <v>8835840</v>
      </c>
      <c r="AA368" s="45"/>
      <c r="AB368" s="45"/>
      <c r="AC368" s="45"/>
      <c r="AD368" s="45"/>
      <c r="AE368" s="45"/>
    </row>
    <row r="369" spans="1:31" s="12" customFormat="1" ht="12">
      <c r="A369" s="27">
        <v>45608</v>
      </c>
      <c r="B369" s="53" t="s">
        <v>58</v>
      </c>
      <c r="C369" s="37" t="s">
        <v>82</v>
      </c>
      <c r="D369" s="34" t="s">
        <v>186</v>
      </c>
      <c r="E369" s="34" t="e">
        <f>IF(B369="","",VLOOKUP($B369,#REF!,4,FALSE))</f>
        <v>#REF!</v>
      </c>
      <c r="F369" s="34" t="e">
        <f>IF(E369="","",VLOOKUP($B369,#REF!,5,FALSE))</f>
        <v>#REF!</v>
      </c>
      <c r="G369" s="34" t="e">
        <f>IF(F369="","",VLOOKUP($B369,#REF!,6,FALSE))</f>
        <v>#REF!</v>
      </c>
      <c r="H369" s="34" t="e">
        <f>IF(G369="","",VLOOKUP($B369,#REF!,7,FALSE))</f>
        <v>#REF!</v>
      </c>
      <c r="I369" s="25"/>
      <c r="J369" s="25"/>
      <c r="K369" s="25"/>
      <c r="L369" s="25"/>
      <c r="M369" s="25"/>
      <c r="N369" s="25"/>
      <c r="O369" s="33">
        <f t="shared" si="11"/>
        <v>0</v>
      </c>
      <c r="P369" s="25"/>
      <c r="Q369" s="25">
        <v>0</v>
      </c>
      <c r="R369" s="25"/>
      <c r="S369" s="25"/>
      <c r="T369" s="25"/>
      <c r="U369" s="25"/>
      <c r="V369" s="39">
        <v>72</v>
      </c>
      <c r="W369" s="25"/>
      <c r="X369" s="33">
        <f t="shared" si="10"/>
        <v>72</v>
      </c>
      <c r="Y369" s="39">
        <v>170880</v>
      </c>
      <c r="Z369" s="25">
        <v>12303360</v>
      </c>
      <c r="AA369" s="45"/>
      <c r="AB369" s="45"/>
      <c r="AC369" s="45"/>
      <c r="AD369" s="45"/>
      <c r="AE369" s="45"/>
    </row>
    <row r="370" spans="1:31" s="12" customFormat="1" ht="12">
      <c r="A370" s="27">
        <v>45608</v>
      </c>
      <c r="B370" s="53" t="s">
        <v>219</v>
      </c>
      <c r="C370" s="37" t="s">
        <v>82</v>
      </c>
      <c r="D370" s="34" t="s">
        <v>186</v>
      </c>
      <c r="E370" s="34" t="e">
        <f>IF(B370="","",VLOOKUP($B370,#REF!,4,FALSE))</f>
        <v>#REF!</v>
      </c>
      <c r="F370" s="34" t="e">
        <f>IF(E370="","",VLOOKUP($B370,#REF!,5,FALSE))</f>
        <v>#REF!</v>
      </c>
      <c r="G370" s="34" t="e">
        <f>IF(F370="","",VLOOKUP($B370,#REF!,6,FALSE))</f>
        <v>#REF!</v>
      </c>
      <c r="H370" s="34" t="e">
        <f>IF(G370="","",VLOOKUP($B370,#REF!,7,FALSE))</f>
        <v>#REF!</v>
      </c>
      <c r="I370" s="25"/>
      <c r="J370" s="25"/>
      <c r="K370" s="25"/>
      <c r="L370" s="25"/>
      <c r="M370" s="25"/>
      <c r="N370" s="25"/>
      <c r="O370" s="33">
        <f t="shared" si="11"/>
        <v>0</v>
      </c>
      <c r="P370" s="25"/>
      <c r="Q370" s="25">
        <v>0</v>
      </c>
      <c r="R370" s="25"/>
      <c r="S370" s="25"/>
      <c r="T370" s="25"/>
      <c r="U370" s="25"/>
      <c r="V370" s="39">
        <v>72</v>
      </c>
      <c r="W370" s="25"/>
      <c r="X370" s="33">
        <f t="shared" si="10"/>
        <v>72</v>
      </c>
      <c r="Y370" s="39">
        <v>235000</v>
      </c>
      <c r="Z370" s="25">
        <v>16920000</v>
      </c>
      <c r="AA370" s="45"/>
      <c r="AB370" s="45"/>
      <c r="AC370" s="45"/>
      <c r="AD370" s="45"/>
      <c r="AE370" s="45"/>
    </row>
    <row r="371" spans="1:31" s="12" customFormat="1" ht="12">
      <c r="A371" s="27">
        <v>45608</v>
      </c>
      <c r="B371" s="53" t="s">
        <v>47</v>
      </c>
      <c r="C371" s="37" t="s">
        <v>82</v>
      </c>
      <c r="D371" s="34" t="s">
        <v>186</v>
      </c>
      <c r="E371" s="34" t="e">
        <f>IF(B371="","",VLOOKUP($B371,#REF!,4,FALSE))</f>
        <v>#REF!</v>
      </c>
      <c r="F371" s="34" t="e">
        <f>IF(E371="","",VLOOKUP($B371,#REF!,5,FALSE))</f>
        <v>#REF!</v>
      </c>
      <c r="G371" s="34" t="e">
        <f>IF(F371="","",VLOOKUP($B371,#REF!,6,FALSE))</f>
        <v>#REF!</v>
      </c>
      <c r="H371" s="34" t="e">
        <f>IF(G371="","",VLOOKUP($B371,#REF!,7,FALSE))</f>
        <v>#REF!</v>
      </c>
      <c r="I371" s="25"/>
      <c r="J371" s="25"/>
      <c r="K371" s="25"/>
      <c r="L371" s="25"/>
      <c r="M371" s="25"/>
      <c r="N371" s="25"/>
      <c r="O371" s="33">
        <f t="shared" si="11"/>
        <v>0</v>
      </c>
      <c r="P371" s="25"/>
      <c r="Q371" s="25">
        <v>0</v>
      </c>
      <c r="R371" s="25"/>
      <c r="S371" s="25"/>
      <c r="T371" s="25"/>
      <c r="U371" s="25"/>
      <c r="V371" s="39">
        <v>112</v>
      </c>
      <c r="W371" s="25"/>
      <c r="X371" s="33">
        <f t="shared" si="10"/>
        <v>112</v>
      </c>
      <c r="Y371" s="39">
        <v>18860</v>
      </c>
      <c r="Z371" s="25">
        <v>2112320</v>
      </c>
      <c r="AA371" s="45"/>
      <c r="AB371" s="45"/>
      <c r="AC371" s="45"/>
      <c r="AD371" s="45"/>
      <c r="AE371" s="45"/>
    </row>
    <row r="372" spans="1:31" s="12" customFormat="1" ht="12">
      <c r="A372" s="27">
        <v>45608</v>
      </c>
      <c r="B372" s="53" t="s">
        <v>160</v>
      </c>
      <c r="C372" s="37" t="s">
        <v>82</v>
      </c>
      <c r="D372" s="34" t="s">
        <v>186</v>
      </c>
      <c r="E372" s="34" t="e">
        <f>IF(B372="","",VLOOKUP($B372,#REF!,4,FALSE))</f>
        <v>#REF!</v>
      </c>
      <c r="F372" s="34" t="e">
        <f>IF(E372="","",VLOOKUP($B372,#REF!,5,FALSE))</f>
        <v>#REF!</v>
      </c>
      <c r="G372" s="34" t="e">
        <f>IF(F372="","",VLOOKUP($B372,#REF!,6,FALSE))</f>
        <v>#REF!</v>
      </c>
      <c r="H372" s="34" t="e">
        <f>IF(G372="","",VLOOKUP($B372,#REF!,7,FALSE))</f>
        <v>#REF!</v>
      </c>
      <c r="I372" s="25"/>
      <c r="J372" s="25"/>
      <c r="K372" s="25"/>
      <c r="L372" s="25"/>
      <c r="M372" s="25"/>
      <c r="N372" s="25"/>
      <c r="O372" s="33">
        <f t="shared" si="11"/>
        <v>0</v>
      </c>
      <c r="P372" s="25"/>
      <c r="Q372" s="25">
        <v>0</v>
      </c>
      <c r="R372" s="25"/>
      <c r="S372" s="25"/>
      <c r="T372" s="25"/>
      <c r="U372" s="25"/>
      <c r="V372" s="39">
        <v>12</v>
      </c>
      <c r="W372" s="25"/>
      <c r="X372" s="33">
        <f t="shared" si="10"/>
        <v>12</v>
      </c>
      <c r="Y372" s="39">
        <v>97900</v>
      </c>
      <c r="Z372" s="25">
        <v>1174800</v>
      </c>
      <c r="AA372" s="45"/>
      <c r="AB372" s="45"/>
      <c r="AC372" s="45"/>
      <c r="AD372" s="45"/>
      <c r="AE372" s="45"/>
    </row>
    <row r="373" spans="1:31" s="12" customFormat="1" ht="12">
      <c r="A373" s="27">
        <v>45608</v>
      </c>
      <c r="B373" s="53" t="s">
        <v>21</v>
      </c>
      <c r="C373" s="37" t="s">
        <v>82</v>
      </c>
      <c r="D373" s="34" t="s">
        <v>186</v>
      </c>
      <c r="E373" s="34" t="e">
        <f>IF(B373="","",VLOOKUP($B373,#REF!,4,FALSE))</f>
        <v>#REF!</v>
      </c>
      <c r="F373" s="34" t="e">
        <f>IF(E373="","",VLOOKUP($B373,#REF!,5,FALSE))</f>
        <v>#REF!</v>
      </c>
      <c r="G373" s="34" t="e">
        <f>IF(F373="","",VLOOKUP($B373,#REF!,6,FALSE))</f>
        <v>#REF!</v>
      </c>
      <c r="H373" s="34" t="e">
        <f>IF(G373="","",VLOOKUP($B373,#REF!,7,FALSE))</f>
        <v>#REF!</v>
      </c>
      <c r="I373" s="25"/>
      <c r="J373" s="25"/>
      <c r="K373" s="25"/>
      <c r="L373" s="25"/>
      <c r="M373" s="25"/>
      <c r="N373" s="25"/>
      <c r="O373" s="33">
        <f t="shared" si="11"/>
        <v>0</v>
      </c>
      <c r="P373" s="25"/>
      <c r="Q373" s="25">
        <v>0</v>
      </c>
      <c r="R373" s="25"/>
      <c r="S373" s="25"/>
      <c r="T373" s="25"/>
      <c r="U373" s="25"/>
      <c r="V373" s="39">
        <v>12</v>
      </c>
      <c r="W373" s="25"/>
      <c r="X373" s="33">
        <f t="shared" si="10"/>
        <v>12</v>
      </c>
      <c r="Y373" s="39">
        <v>80400</v>
      </c>
      <c r="Z373" s="25">
        <v>964800</v>
      </c>
      <c r="AA373" s="45"/>
      <c r="AB373" s="45"/>
      <c r="AC373" s="45"/>
      <c r="AD373" s="45"/>
      <c r="AE373" s="45"/>
    </row>
    <row r="374" spans="1:31" s="12" customFormat="1" ht="12">
      <c r="A374" s="27">
        <v>45608</v>
      </c>
      <c r="B374" s="53" t="s">
        <v>211</v>
      </c>
      <c r="C374" s="37" t="s">
        <v>82</v>
      </c>
      <c r="D374" s="34" t="s">
        <v>186</v>
      </c>
      <c r="E374" s="34" t="e">
        <f>IF(B374="","",VLOOKUP($B374,#REF!,4,FALSE))</f>
        <v>#REF!</v>
      </c>
      <c r="F374" s="34" t="e">
        <f>IF(E374="","",VLOOKUP($B374,#REF!,5,FALSE))</f>
        <v>#REF!</v>
      </c>
      <c r="G374" s="34" t="e">
        <f>IF(F374="","",VLOOKUP($B374,#REF!,6,FALSE))</f>
        <v>#REF!</v>
      </c>
      <c r="H374" s="34" t="e">
        <f>IF(G374="","",VLOOKUP($B374,#REF!,7,FALSE))</f>
        <v>#REF!</v>
      </c>
      <c r="I374" s="25"/>
      <c r="J374" s="25"/>
      <c r="K374" s="25"/>
      <c r="L374" s="25"/>
      <c r="M374" s="25"/>
      <c r="N374" s="25"/>
      <c r="O374" s="33">
        <f t="shared" si="11"/>
        <v>0</v>
      </c>
      <c r="P374" s="25"/>
      <c r="Q374" s="25">
        <v>0</v>
      </c>
      <c r="R374" s="25"/>
      <c r="S374" s="25"/>
      <c r="T374" s="25"/>
      <c r="U374" s="25"/>
      <c r="V374" s="39">
        <v>12</v>
      </c>
      <c r="W374" s="25"/>
      <c r="X374" s="33">
        <f t="shared" si="10"/>
        <v>12</v>
      </c>
      <c r="Y374" s="39">
        <v>44502</v>
      </c>
      <c r="Z374" s="25">
        <v>534024</v>
      </c>
      <c r="AA374" s="45"/>
      <c r="AB374" s="45"/>
      <c r="AC374" s="45"/>
      <c r="AD374" s="45"/>
      <c r="AE374" s="45"/>
    </row>
    <row r="375" spans="1:31" s="12" customFormat="1" ht="12">
      <c r="A375" s="27">
        <v>45608</v>
      </c>
      <c r="B375" s="53" t="s">
        <v>58</v>
      </c>
      <c r="C375" s="37" t="s">
        <v>82</v>
      </c>
      <c r="D375" s="34" t="s">
        <v>186</v>
      </c>
      <c r="E375" s="34" t="e">
        <f>IF(B375="","",VLOOKUP($B375,#REF!,4,FALSE))</f>
        <v>#REF!</v>
      </c>
      <c r="F375" s="34" t="e">
        <f>IF(E375="","",VLOOKUP($B375,#REF!,5,FALSE))</f>
        <v>#REF!</v>
      </c>
      <c r="G375" s="34" t="e">
        <f>IF(F375="","",VLOOKUP($B375,#REF!,6,FALSE))</f>
        <v>#REF!</v>
      </c>
      <c r="H375" s="34" t="e">
        <f>IF(G375="","",VLOOKUP($B375,#REF!,7,FALSE))</f>
        <v>#REF!</v>
      </c>
      <c r="I375" s="25"/>
      <c r="J375" s="25"/>
      <c r="K375" s="25"/>
      <c r="L375" s="25"/>
      <c r="M375" s="25"/>
      <c r="N375" s="25"/>
      <c r="O375" s="33">
        <f t="shared" si="11"/>
        <v>0</v>
      </c>
      <c r="P375" s="25"/>
      <c r="Q375" s="25">
        <v>0</v>
      </c>
      <c r="R375" s="25"/>
      <c r="S375" s="25"/>
      <c r="T375" s="25"/>
      <c r="U375" s="25"/>
      <c r="V375" s="39">
        <v>12</v>
      </c>
      <c r="W375" s="25"/>
      <c r="X375" s="33">
        <f t="shared" si="10"/>
        <v>12</v>
      </c>
      <c r="Y375" s="39">
        <v>170560</v>
      </c>
      <c r="Z375" s="25">
        <v>2046720</v>
      </c>
      <c r="AA375" s="45"/>
      <c r="AB375" s="45"/>
      <c r="AC375" s="45"/>
      <c r="AD375" s="45"/>
      <c r="AE375" s="45"/>
    </row>
    <row r="376" spans="1:31" s="12" customFormat="1" ht="12">
      <c r="A376" s="27">
        <v>45608</v>
      </c>
      <c r="B376" s="53" t="s">
        <v>62</v>
      </c>
      <c r="C376" s="37">
        <v>0</v>
      </c>
      <c r="D376" s="34" t="s">
        <v>183</v>
      </c>
      <c r="E376" s="34" t="e">
        <f>IF(B376="","",VLOOKUP($B376,#REF!,4,FALSE))</f>
        <v>#REF!</v>
      </c>
      <c r="F376" s="34" t="e">
        <f>IF(E376="","",VLOOKUP($B376,#REF!,5,FALSE))</f>
        <v>#REF!</v>
      </c>
      <c r="G376" s="34" t="e">
        <f>IF(F376="","",VLOOKUP($B376,#REF!,6,FALSE))</f>
        <v>#REF!</v>
      </c>
      <c r="H376" s="34" t="e">
        <f>IF(G376="","",VLOOKUP($B376,#REF!,7,FALSE))</f>
        <v>#REF!</v>
      </c>
      <c r="I376" s="25"/>
      <c r="J376" s="25"/>
      <c r="K376" s="25"/>
      <c r="L376" s="25"/>
      <c r="M376" s="25"/>
      <c r="N376" s="25"/>
      <c r="O376" s="33">
        <f t="shared" si="11"/>
        <v>0</v>
      </c>
      <c r="P376" s="25"/>
      <c r="Q376" s="25">
        <v>0</v>
      </c>
      <c r="R376" s="25"/>
      <c r="S376" s="25"/>
      <c r="T376" s="25">
        <v>21</v>
      </c>
      <c r="U376" s="25"/>
      <c r="V376" s="39"/>
      <c r="W376" s="25"/>
      <c r="X376" s="33">
        <f t="shared" si="10"/>
        <v>21</v>
      </c>
      <c r="Y376" s="39"/>
      <c r="Z376" s="25">
        <v>0</v>
      </c>
      <c r="AA376" s="45" t="s">
        <v>245</v>
      </c>
      <c r="AB376" s="45"/>
      <c r="AC376" s="45"/>
      <c r="AD376" s="45"/>
      <c r="AE376" s="45"/>
    </row>
    <row r="377" spans="1:31" s="12" customFormat="1" ht="12">
      <c r="A377" s="27">
        <v>45608</v>
      </c>
      <c r="B377" s="74" t="s">
        <v>10</v>
      </c>
      <c r="C377" s="37" t="s">
        <v>83</v>
      </c>
      <c r="D377" s="34" t="s">
        <v>185</v>
      </c>
      <c r="E377" s="34" t="e">
        <f>IF(B377="","",VLOOKUP($B377,#REF!,4,FALSE))</f>
        <v>#REF!</v>
      </c>
      <c r="F377" s="34" t="e">
        <f>IF(E377="","",VLOOKUP($B377,#REF!,5,FALSE))</f>
        <v>#REF!</v>
      </c>
      <c r="G377" s="34" t="e">
        <f>IF(F377="","",VLOOKUP($B377,#REF!,6,FALSE))</f>
        <v>#REF!</v>
      </c>
      <c r="H377" s="34" t="e">
        <f>IF(G377="","",VLOOKUP($B377,#REF!,7,FALSE))</f>
        <v>#REF!</v>
      </c>
      <c r="I377" s="25"/>
      <c r="J377" s="25"/>
      <c r="K377" s="25"/>
      <c r="L377" s="25"/>
      <c r="M377" s="25"/>
      <c r="N377" s="25"/>
      <c r="O377" s="33">
        <f t="shared" si="11"/>
        <v>0</v>
      </c>
      <c r="P377" s="25"/>
      <c r="Q377" s="25">
        <v>0</v>
      </c>
      <c r="R377" s="25"/>
      <c r="S377" s="25"/>
      <c r="T377" s="25">
        <v>39</v>
      </c>
      <c r="U377" s="25"/>
      <c r="V377" s="39"/>
      <c r="W377" s="25"/>
      <c r="X377" s="33">
        <f t="shared" si="10"/>
        <v>39</v>
      </c>
      <c r="Y377" s="44"/>
      <c r="Z377" s="25">
        <v>0</v>
      </c>
      <c r="AA377" s="45" t="s">
        <v>245</v>
      </c>
      <c r="AB377" s="45"/>
      <c r="AC377" s="45"/>
      <c r="AD377" s="45"/>
      <c r="AE377" s="45"/>
    </row>
    <row r="378" spans="1:31" s="12" customFormat="1" ht="12">
      <c r="A378" s="27">
        <v>45608</v>
      </c>
      <c r="B378" s="74" t="s">
        <v>171</v>
      </c>
      <c r="C378" s="37" t="s">
        <v>85</v>
      </c>
      <c r="D378" s="34" t="s">
        <v>192</v>
      </c>
      <c r="E378" s="34" t="e">
        <f>IF(B378="","",VLOOKUP($B378,#REF!,4,FALSE))</f>
        <v>#REF!</v>
      </c>
      <c r="F378" s="34" t="e">
        <f>IF(E378="","",VLOOKUP($B378,#REF!,5,FALSE))</f>
        <v>#REF!</v>
      </c>
      <c r="G378" s="34" t="e">
        <f>IF(F378="","",VLOOKUP($B378,#REF!,6,FALSE))</f>
        <v>#REF!</v>
      </c>
      <c r="H378" s="34" t="e">
        <f>IF(G378="","",VLOOKUP($B378,#REF!,7,FALSE))</f>
        <v>#REF!</v>
      </c>
      <c r="I378" s="25"/>
      <c r="J378" s="25"/>
      <c r="K378" s="25">
        <v>13</v>
      </c>
      <c r="L378" s="25"/>
      <c r="M378" s="25"/>
      <c r="N378" s="25"/>
      <c r="O378" s="33">
        <f t="shared" si="11"/>
        <v>13</v>
      </c>
      <c r="P378" s="25"/>
      <c r="Q378" s="25">
        <v>0</v>
      </c>
      <c r="R378" s="25"/>
      <c r="S378" s="25"/>
      <c r="T378" s="25">
        <v>13</v>
      </c>
      <c r="U378" s="25"/>
      <c r="V378" s="39"/>
      <c r="W378" s="25"/>
      <c r="X378" s="33">
        <f t="shared" si="10"/>
        <v>13</v>
      </c>
      <c r="Y378" s="39">
        <v>53400</v>
      </c>
      <c r="Z378" s="25">
        <v>694200</v>
      </c>
      <c r="AA378" s="45" t="s">
        <v>218</v>
      </c>
      <c r="AB378" s="45"/>
      <c r="AC378" s="45"/>
      <c r="AD378" s="45"/>
      <c r="AE378" s="45"/>
    </row>
    <row r="379" spans="1:31" s="12" customFormat="1" ht="12">
      <c r="A379" s="27">
        <v>45608</v>
      </c>
      <c r="B379" s="74" t="s">
        <v>67</v>
      </c>
      <c r="C379" s="37" t="s">
        <v>85</v>
      </c>
      <c r="D379" s="34" t="s">
        <v>192</v>
      </c>
      <c r="E379" s="34" t="e">
        <f>IF(B379="","",VLOOKUP($B379,#REF!,4,FALSE))</f>
        <v>#REF!</v>
      </c>
      <c r="F379" s="34" t="e">
        <f>IF(E379="","",VLOOKUP($B379,#REF!,5,FALSE))</f>
        <v>#REF!</v>
      </c>
      <c r="G379" s="34" t="e">
        <f>IF(F379="","",VLOOKUP($B379,#REF!,6,FALSE))</f>
        <v>#REF!</v>
      </c>
      <c r="H379" s="34" t="e">
        <f>IF(G379="","",VLOOKUP($B379,#REF!,7,FALSE))</f>
        <v>#REF!</v>
      </c>
      <c r="I379" s="25"/>
      <c r="J379" s="25"/>
      <c r="K379" s="25">
        <v>12</v>
      </c>
      <c r="L379" s="25"/>
      <c r="M379" s="25"/>
      <c r="N379" s="25"/>
      <c r="O379" s="33">
        <f t="shared" si="11"/>
        <v>12</v>
      </c>
      <c r="P379" s="25"/>
      <c r="Q379" s="25">
        <v>0</v>
      </c>
      <c r="R379" s="25"/>
      <c r="S379" s="25"/>
      <c r="T379" s="25">
        <v>12</v>
      </c>
      <c r="U379" s="25"/>
      <c r="V379" s="39"/>
      <c r="W379" s="25"/>
      <c r="X379" s="33">
        <f t="shared" si="10"/>
        <v>12</v>
      </c>
      <c r="Y379" s="44">
        <v>110000</v>
      </c>
      <c r="Z379" s="25">
        <v>1320000</v>
      </c>
      <c r="AA379" s="45" t="s">
        <v>218</v>
      </c>
      <c r="AB379" s="45"/>
      <c r="AC379" s="45"/>
      <c r="AD379" s="45"/>
      <c r="AE379" s="45"/>
    </row>
    <row r="380" spans="1:31" s="12" customFormat="1" ht="12">
      <c r="A380" s="27">
        <v>45608</v>
      </c>
      <c r="B380" s="74" t="s">
        <v>15</v>
      </c>
      <c r="C380" s="37" t="s">
        <v>83</v>
      </c>
      <c r="D380" s="34" t="s">
        <v>185</v>
      </c>
      <c r="E380" s="34" t="e">
        <f>IF(B380="","",VLOOKUP($B380,#REF!,4,FALSE))</f>
        <v>#REF!</v>
      </c>
      <c r="F380" s="34" t="e">
        <f>IF(E380="","",VLOOKUP($B380,#REF!,5,FALSE))</f>
        <v>#REF!</v>
      </c>
      <c r="G380" s="34" t="e">
        <f>IF(F380="","",VLOOKUP($B380,#REF!,6,FALSE))</f>
        <v>#REF!</v>
      </c>
      <c r="H380" s="34" t="e">
        <f>IF(G380="","",VLOOKUP($B380,#REF!,7,FALSE))</f>
        <v>#REF!</v>
      </c>
      <c r="I380" s="25"/>
      <c r="J380" s="25"/>
      <c r="K380" s="25"/>
      <c r="L380" s="25"/>
      <c r="M380" s="25"/>
      <c r="N380" s="25"/>
      <c r="O380" s="33">
        <f t="shared" si="11"/>
        <v>0</v>
      </c>
      <c r="P380" s="25"/>
      <c r="Q380" s="25">
        <v>0</v>
      </c>
      <c r="R380" s="25"/>
      <c r="S380" s="25"/>
      <c r="T380" s="25">
        <v>5</v>
      </c>
      <c r="U380" s="25"/>
      <c r="V380" s="39"/>
      <c r="W380" s="25"/>
      <c r="X380" s="33">
        <f t="shared" si="10"/>
        <v>5</v>
      </c>
      <c r="Y380" s="39"/>
      <c r="Z380" s="25">
        <v>0</v>
      </c>
      <c r="AA380" s="45"/>
      <c r="AB380" s="45"/>
      <c r="AC380" s="45"/>
      <c r="AD380" s="45"/>
      <c r="AE380" s="45"/>
    </row>
    <row r="381" spans="1:31" s="12" customFormat="1" ht="12">
      <c r="A381" s="27">
        <v>45608</v>
      </c>
      <c r="B381" s="74" t="s">
        <v>197</v>
      </c>
      <c r="C381" s="37" t="s">
        <v>85</v>
      </c>
      <c r="D381" s="34" t="s">
        <v>192</v>
      </c>
      <c r="E381" s="34" t="e">
        <f>IF(B381="","",VLOOKUP($B381,#REF!,4,FALSE))</f>
        <v>#REF!</v>
      </c>
      <c r="F381" s="34" t="e">
        <f>IF(E381="","",VLOOKUP($B381,#REF!,5,FALSE))</f>
        <v>#REF!</v>
      </c>
      <c r="G381" s="34" t="e">
        <f>IF(F381="","",VLOOKUP($B381,#REF!,6,FALSE))</f>
        <v>#REF!</v>
      </c>
      <c r="H381" s="34" t="e">
        <f>IF(G381="","",VLOOKUP($B381,#REF!,7,FALSE))</f>
        <v>#REF!</v>
      </c>
      <c r="I381" s="25"/>
      <c r="J381" s="25"/>
      <c r="K381" s="25">
        <v>5</v>
      </c>
      <c r="L381" s="25"/>
      <c r="M381" s="25"/>
      <c r="N381" s="25"/>
      <c r="O381" s="33">
        <f t="shared" si="11"/>
        <v>5</v>
      </c>
      <c r="P381" s="25"/>
      <c r="Q381" s="25">
        <v>0</v>
      </c>
      <c r="R381" s="25"/>
      <c r="S381" s="25"/>
      <c r="T381" s="25">
        <v>5</v>
      </c>
      <c r="U381" s="25"/>
      <c r="V381" s="39"/>
      <c r="W381" s="25"/>
      <c r="X381" s="33">
        <f t="shared" si="10"/>
        <v>5</v>
      </c>
      <c r="Y381" s="39">
        <v>69600</v>
      </c>
      <c r="Z381" s="25">
        <v>348000</v>
      </c>
      <c r="AA381" s="45" t="s">
        <v>218</v>
      </c>
      <c r="AB381" s="45"/>
      <c r="AC381" s="45"/>
      <c r="AD381" s="45"/>
      <c r="AE381" s="45"/>
    </row>
    <row r="382" spans="1:31" s="12" customFormat="1" ht="12">
      <c r="A382" s="27">
        <v>45608</v>
      </c>
      <c r="B382" s="74" t="s">
        <v>171</v>
      </c>
      <c r="C382" s="37" t="s">
        <v>85</v>
      </c>
      <c r="D382" s="34" t="s">
        <v>192</v>
      </c>
      <c r="E382" s="34" t="e">
        <f>IF(B382="","",VLOOKUP($B382,#REF!,4,FALSE))</f>
        <v>#REF!</v>
      </c>
      <c r="F382" s="34" t="e">
        <f>IF(E382="","",VLOOKUP($B382,#REF!,5,FALSE))</f>
        <v>#REF!</v>
      </c>
      <c r="G382" s="34" t="e">
        <f>IF(F382="","",VLOOKUP($B382,#REF!,6,FALSE))</f>
        <v>#REF!</v>
      </c>
      <c r="H382" s="34" t="e">
        <f>IF(G382="","",VLOOKUP($B382,#REF!,7,FALSE))</f>
        <v>#REF!</v>
      </c>
      <c r="I382" s="25"/>
      <c r="J382" s="25"/>
      <c r="K382" s="25">
        <v>19</v>
      </c>
      <c r="L382" s="25"/>
      <c r="M382" s="25"/>
      <c r="N382" s="25"/>
      <c r="O382" s="33">
        <f t="shared" si="11"/>
        <v>19</v>
      </c>
      <c r="P382" s="25"/>
      <c r="Q382" s="25">
        <v>0</v>
      </c>
      <c r="R382" s="25"/>
      <c r="S382" s="25"/>
      <c r="T382" s="25">
        <v>19</v>
      </c>
      <c r="U382" s="25"/>
      <c r="V382" s="39"/>
      <c r="W382" s="25"/>
      <c r="X382" s="33">
        <f t="shared" si="10"/>
        <v>19</v>
      </c>
      <c r="Y382" s="39">
        <v>53400</v>
      </c>
      <c r="Z382" s="25">
        <v>1014600</v>
      </c>
      <c r="AA382" s="45" t="s">
        <v>216</v>
      </c>
      <c r="AB382" s="45"/>
      <c r="AC382" s="45"/>
      <c r="AD382" s="45"/>
      <c r="AE382" s="45"/>
    </row>
    <row r="383" spans="1:31" s="12" customFormat="1" ht="12">
      <c r="A383" s="27">
        <v>45608</v>
      </c>
      <c r="B383" s="53" t="s">
        <v>67</v>
      </c>
      <c r="C383" s="37" t="s">
        <v>85</v>
      </c>
      <c r="D383" s="34" t="s">
        <v>192</v>
      </c>
      <c r="E383" s="34" t="e">
        <f>IF(B383="","",VLOOKUP($B383,#REF!,4,FALSE))</f>
        <v>#REF!</v>
      </c>
      <c r="F383" s="34" t="e">
        <f>IF(E383="","",VLOOKUP($B383,#REF!,5,FALSE))</f>
        <v>#REF!</v>
      </c>
      <c r="G383" s="34" t="e">
        <f>IF(F383="","",VLOOKUP($B383,#REF!,6,FALSE))</f>
        <v>#REF!</v>
      </c>
      <c r="H383" s="34" t="e">
        <f>IF(G383="","",VLOOKUP($B383,#REF!,7,FALSE))</f>
        <v>#REF!</v>
      </c>
      <c r="I383" s="25"/>
      <c r="J383" s="25"/>
      <c r="K383" s="25">
        <v>6</v>
      </c>
      <c r="L383" s="25"/>
      <c r="M383" s="25"/>
      <c r="N383" s="25"/>
      <c r="O383" s="33">
        <f t="shared" si="11"/>
        <v>6</v>
      </c>
      <c r="P383" s="25"/>
      <c r="Q383" s="25">
        <v>0</v>
      </c>
      <c r="R383" s="25"/>
      <c r="S383" s="25"/>
      <c r="T383" s="25">
        <v>6</v>
      </c>
      <c r="U383" s="25"/>
      <c r="V383" s="39"/>
      <c r="W383" s="25"/>
      <c r="X383" s="33">
        <f t="shared" si="10"/>
        <v>6</v>
      </c>
      <c r="Y383" s="39">
        <v>110000</v>
      </c>
      <c r="Z383" s="25">
        <v>660000</v>
      </c>
      <c r="AA383" s="45" t="s">
        <v>216</v>
      </c>
      <c r="AB383" s="45"/>
      <c r="AC383" s="45"/>
      <c r="AD383" s="45"/>
      <c r="AE383" s="45"/>
    </row>
    <row r="384" spans="1:31" s="12" customFormat="1" ht="12">
      <c r="A384" s="27">
        <v>45608</v>
      </c>
      <c r="B384" s="73" t="s">
        <v>171</v>
      </c>
      <c r="C384" s="37" t="s">
        <v>85</v>
      </c>
      <c r="D384" s="34" t="s">
        <v>192</v>
      </c>
      <c r="E384" s="34" t="e">
        <f>IF(B384="","",VLOOKUP($B384,#REF!,4,FALSE))</f>
        <v>#REF!</v>
      </c>
      <c r="F384" s="34" t="e">
        <f>IF(E384="","",VLOOKUP($B384,#REF!,5,FALSE))</f>
        <v>#REF!</v>
      </c>
      <c r="G384" s="34" t="e">
        <f>IF(F384="","",VLOOKUP($B384,#REF!,6,FALSE))</f>
        <v>#REF!</v>
      </c>
      <c r="H384" s="34" t="e">
        <f>IF(G384="","",VLOOKUP($B384,#REF!,7,FALSE))</f>
        <v>#REF!</v>
      </c>
      <c r="I384" s="25"/>
      <c r="J384" s="25"/>
      <c r="K384" s="25">
        <v>7</v>
      </c>
      <c r="L384" s="25"/>
      <c r="M384" s="25"/>
      <c r="N384" s="25"/>
      <c r="O384" s="33">
        <f t="shared" si="11"/>
        <v>7</v>
      </c>
      <c r="P384" s="25"/>
      <c r="Q384" s="25">
        <v>0</v>
      </c>
      <c r="R384" s="25"/>
      <c r="S384" s="25"/>
      <c r="T384" s="25">
        <v>7</v>
      </c>
      <c r="U384" s="25"/>
      <c r="V384" s="39"/>
      <c r="W384" s="25"/>
      <c r="X384" s="33">
        <f t="shared" si="10"/>
        <v>7</v>
      </c>
      <c r="Y384" s="39">
        <v>53400</v>
      </c>
      <c r="Z384" s="25">
        <v>373800</v>
      </c>
      <c r="AA384" s="45" t="s">
        <v>217</v>
      </c>
      <c r="AB384" s="45"/>
      <c r="AC384" s="45"/>
      <c r="AD384" s="45"/>
      <c r="AE384" s="45"/>
    </row>
    <row r="385" spans="1:31" s="12" customFormat="1" ht="12">
      <c r="A385" s="27">
        <v>45608</v>
      </c>
      <c r="B385" s="73" t="s">
        <v>67</v>
      </c>
      <c r="C385" s="37" t="s">
        <v>85</v>
      </c>
      <c r="D385" s="34" t="s">
        <v>192</v>
      </c>
      <c r="E385" s="34" t="e">
        <f>IF(B385="","",VLOOKUP($B385,#REF!,4,FALSE))</f>
        <v>#REF!</v>
      </c>
      <c r="F385" s="34" t="e">
        <f>IF(E385="","",VLOOKUP($B385,#REF!,5,FALSE))</f>
        <v>#REF!</v>
      </c>
      <c r="G385" s="34" t="e">
        <f>IF(F385="","",VLOOKUP($B385,#REF!,6,FALSE))</f>
        <v>#REF!</v>
      </c>
      <c r="H385" s="34" t="e">
        <f>IF(G385="","",VLOOKUP($B385,#REF!,7,FALSE))</f>
        <v>#REF!</v>
      </c>
      <c r="I385" s="25"/>
      <c r="J385" s="25"/>
      <c r="K385" s="25">
        <v>3</v>
      </c>
      <c r="L385" s="25"/>
      <c r="M385" s="25"/>
      <c r="N385" s="25"/>
      <c r="O385" s="33">
        <f t="shared" si="11"/>
        <v>3</v>
      </c>
      <c r="P385" s="25"/>
      <c r="Q385" s="25">
        <v>0</v>
      </c>
      <c r="R385" s="25"/>
      <c r="S385" s="25"/>
      <c r="T385" s="25">
        <v>3</v>
      </c>
      <c r="U385" s="25"/>
      <c r="V385" s="39"/>
      <c r="W385" s="25"/>
      <c r="X385" s="33">
        <f t="shared" si="10"/>
        <v>3</v>
      </c>
      <c r="Y385" s="39">
        <v>110000</v>
      </c>
      <c r="Z385" s="25">
        <v>330000</v>
      </c>
      <c r="AA385" s="45" t="s">
        <v>217</v>
      </c>
      <c r="AB385" s="45"/>
      <c r="AC385" s="45"/>
      <c r="AD385" s="45"/>
      <c r="AE385" s="45"/>
    </row>
    <row r="386" spans="1:31" s="12" customFormat="1" ht="12">
      <c r="A386" s="27">
        <v>45608</v>
      </c>
      <c r="B386" s="20" t="s">
        <v>203</v>
      </c>
      <c r="C386" s="37" t="s">
        <v>82</v>
      </c>
      <c r="D386" s="34" t="s">
        <v>186</v>
      </c>
      <c r="E386" s="34" t="e">
        <f>IF(B386="","",VLOOKUP($B386,#REF!,4,FALSE))</f>
        <v>#REF!</v>
      </c>
      <c r="F386" s="34" t="e">
        <f>IF(E386="","",VLOOKUP($B386,#REF!,5,FALSE))</f>
        <v>#REF!</v>
      </c>
      <c r="G386" s="34" t="e">
        <f>IF(F386="","",VLOOKUP($B386,#REF!,6,FALSE))</f>
        <v>#REF!</v>
      </c>
      <c r="H386" s="34" t="e">
        <f>IF(G386="","",VLOOKUP($B386,#REF!,7,FALSE))</f>
        <v>#REF!</v>
      </c>
      <c r="I386" s="25"/>
      <c r="J386" s="25"/>
      <c r="K386" s="25"/>
      <c r="L386" s="25"/>
      <c r="M386" s="25"/>
      <c r="N386" s="25"/>
      <c r="O386" s="33">
        <f t="shared" si="11"/>
        <v>0</v>
      </c>
      <c r="P386" s="25"/>
      <c r="Q386" s="25">
        <v>0</v>
      </c>
      <c r="R386" s="25"/>
      <c r="S386" s="25"/>
      <c r="T386" s="25">
        <v>1</v>
      </c>
      <c r="U386" s="25"/>
      <c r="V386" s="39"/>
      <c r="W386" s="25"/>
      <c r="X386" s="33">
        <f t="shared" si="10"/>
        <v>1</v>
      </c>
      <c r="Y386" s="39"/>
      <c r="Z386" s="25">
        <v>0</v>
      </c>
      <c r="AA386" s="45"/>
      <c r="AB386" s="45"/>
      <c r="AC386" s="45"/>
      <c r="AD386" s="45"/>
      <c r="AE386" s="45"/>
    </row>
    <row r="387" spans="1:31" s="12" customFormat="1" ht="12">
      <c r="A387" s="27">
        <v>45608</v>
      </c>
      <c r="B387" s="28" t="s">
        <v>68</v>
      </c>
      <c r="C387" s="37" t="s">
        <v>86</v>
      </c>
      <c r="D387" s="34" t="s">
        <v>51</v>
      </c>
      <c r="E387" s="34" t="e">
        <f>IF(B387="","",VLOOKUP($B387,#REF!,4,FALSE))</f>
        <v>#REF!</v>
      </c>
      <c r="F387" s="34" t="e">
        <f>IF(E387="","",VLOOKUP($B387,#REF!,5,FALSE))</f>
        <v>#REF!</v>
      </c>
      <c r="G387" s="34" t="e">
        <f>IF(F387="","",VLOOKUP($B387,#REF!,6,FALSE))</f>
        <v>#REF!</v>
      </c>
      <c r="H387" s="34" t="e">
        <f>IF(G387="","",VLOOKUP($B387,#REF!,7,FALSE))</f>
        <v>#REF!</v>
      </c>
      <c r="I387" s="25"/>
      <c r="J387" s="25"/>
      <c r="K387" s="25">
        <v>1</v>
      </c>
      <c r="L387" s="25"/>
      <c r="M387" s="25"/>
      <c r="N387" s="25"/>
      <c r="O387" s="33">
        <f t="shared" si="11"/>
        <v>1</v>
      </c>
      <c r="P387" s="25"/>
      <c r="Q387" s="25">
        <v>0</v>
      </c>
      <c r="R387" s="25"/>
      <c r="S387" s="25"/>
      <c r="T387" s="25">
        <v>1</v>
      </c>
      <c r="U387" s="25"/>
      <c r="V387" s="39"/>
      <c r="W387" s="25"/>
      <c r="X387" s="33">
        <f t="shared" si="10"/>
        <v>1</v>
      </c>
      <c r="Y387" s="39">
        <v>280000</v>
      </c>
      <c r="Z387" s="25">
        <v>280000</v>
      </c>
      <c r="AA387" s="45"/>
      <c r="AB387" s="45"/>
      <c r="AC387" s="45"/>
      <c r="AD387" s="45"/>
      <c r="AE387" s="45"/>
    </row>
    <row r="388" spans="1:31" s="12" customFormat="1" ht="12">
      <c r="A388" s="27">
        <v>45608</v>
      </c>
      <c r="B388" s="28" t="s">
        <v>15</v>
      </c>
      <c r="C388" s="37" t="s">
        <v>83</v>
      </c>
      <c r="D388" s="34" t="s">
        <v>185</v>
      </c>
      <c r="E388" s="34" t="e">
        <f>IF(B388="","",VLOOKUP($B388,#REF!,4,FALSE))</f>
        <v>#REF!</v>
      </c>
      <c r="F388" s="34" t="e">
        <f>IF(E388="","",VLOOKUP($B388,#REF!,5,FALSE))</f>
        <v>#REF!</v>
      </c>
      <c r="G388" s="34" t="e">
        <f>IF(F388="","",VLOOKUP($B388,#REF!,6,FALSE))</f>
        <v>#REF!</v>
      </c>
      <c r="H388" s="34" t="e">
        <f>IF(G388="","",VLOOKUP($B388,#REF!,7,FALSE))</f>
        <v>#REF!</v>
      </c>
      <c r="I388" s="25"/>
      <c r="J388" s="25"/>
      <c r="K388" s="25"/>
      <c r="L388" s="25"/>
      <c r="M388" s="25"/>
      <c r="N388" s="25"/>
      <c r="O388" s="33">
        <f t="shared" si="11"/>
        <v>0</v>
      </c>
      <c r="P388" s="25"/>
      <c r="Q388" s="25">
        <v>0</v>
      </c>
      <c r="R388" s="25"/>
      <c r="S388" s="25"/>
      <c r="T388" s="25">
        <v>3</v>
      </c>
      <c r="U388" s="25"/>
      <c r="V388" s="39"/>
      <c r="W388" s="25"/>
      <c r="X388" s="33">
        <f t="shared" ref="X388:X451" si="12">SUM(R388:W388)</f>
        <v>3</v>
      </c>
      <c r="Y388" s="39">
        <v>69600</v>
      </c>
      <c r="Z388" s="25">
        <v>208800</v>
      </c>
      <c r="AA388" s="45"/>
      <c r="AB388" s="45"/>
      <c r="AC388" s="45"/>
      <c r="AD388" s="45"/>
      <c r="AE388" s="45"/>
    </row>
    <row r="389" spans="1:31" s="12" customFormat="1" ht="12">
      <c r="A389" s="27">
        <v>45608</v>
      </c>
      <c r="B389" s="53" t="s">
        <v>25</v>
      </c>
      <c r="C389" s="37" t="s">
        <v>83</v>
      </c>
      <c r="D389" s="34" t="s">
        <v>185</v>
      </c>
      <c r="E389" s="34" t="e">
        <f>IF(B389="","",VLOOKUP($B389,#REF!,4,FALSE))</f>
        <v>#REF!</v>
      </c>
      <c r="F389" s="34" t="e">
        <f>IF(E389="","",VLOOKUP($B389,#REF!,5,FALSE))</f>
        <v>#REF!</v>
      </c>
      <c r="G389" s="34" t="e">
        <f>IF(F389="","",VLOOKUP($B389,#REF!,6,FALSE))</f>
        <v>#REF!</v>
      </c>
      <c r="H389" s="34" t="e">
        <f>IF(G389="","",VLOOKUP($B389,#REF!,7,FALSE))</f>
        <v>#REF!</v>
      </c>
      <c r="I389" s="25"/>
      <c r="J389" s="25"/>
      <c r="K389" s="25"/>
      <c r="L389" s="25"/>
      <c r="M389" s="25"/>
      <c r="N389" s="25"/>
      <c r="O389" s="33">
        <f t="shared" ref="O389:O452" si="13">SUM(I389:N389)</f>
        <v>0</v>
      </c>
      <c r="P389" s="25"/>
      <c r="Q389" s="25">
        <v>0</v>
      </c>
      <c r="R389" s="25"/>
      <c r="S389" s="25"/>
      <c r="T389" s="25">
        <v>1</v>
      </c>
      <c r="U389" s="25"/>
      <c r="V389" s="39"/>
      <c r="W389" s="25"/>
      <c r="X389" s="33">
        <f t="shared" si="12"/>
        <v>1</v>
      </c>
      <c r="Y389" s="39">
        <v>57000</v>
      </c>
      <c r="Z389" s="25">
        <v>57000</v>
      </c>
      <c r="AA389" s="45"/>
      <c r="AB389" s="45"/>
      <c r="AC389" s="45"/>
      <c r="AD389" s="45"/>
      <c r="AE389" s="45"/>
    </row>
    <row r="390" spans="1:31" s="12" customFormat="1" ht="12">
      <c r="A390" s="27">
        <v>45608</v>
      </c>
      <c r="B390" s="28" t="s">
        <v>38</v>
      </c>
      <c r="C390" s="37" t="s">
        <v>83</v>
      </c>
      <c r="D390" s="34" t="s">
        <v>185</v>
      </c>
      <c r="E390" s="34" t="e">
        <f>IF(B390="","",VLOOKUP($B390,#REF!,4,FALSE))</f>
        <v>#REF!</v>
      </c>
      <c r="F390" s="34" t="e">
        <f>IF(E390="","",VLOOKUP($B390,#REF!,5,FALSE))</f>
        <v>#REF!</v>
      </c>
      <c r="G390" s="34" t="e">
        <f>IF(F390="","",VLOOKUP($B390,#REF!,6,FALSE))</f>
        <v>#REF!</v>
      </c>
      <c r="H390" s="34" t="e">
        <f>IF(G390="","",VLOOKUP($B390,#REF!,7,FALSE))</f>
        <v>#REF!</v>
      </c>
      <c r="I390" s="25"/>
      <c r="J390" s="25"/>
      <c r="K390" s="25"/>
      <c r="L390" s="25"/>
      <c r="M390" s="25"/>
      <c r="N390" s="25"/>
      <c r="O390" s="33">
        <f t="shared" si="13"/>
        <v>0</v>
      </c>
      <c r="P390" s="25"/>
      <c r="Q390" s="25">
        <v>0</v>
      </c>
      <c r="R390" s="25"/>
      <c r="S390" s="25"/>
      <c r="T390" s="25">
        <v>11</v>
      </c>
      <c r="U390" s="25"/>
      <c r="V390" s="39"/>
      <c r="W390" s="25"/>
      <c r="X390" s="33">
        <f t="shared" si="12"/>
        <v>11</v>
      </c>
      <c r="Y390" s="39">
        <v>54600</v>
      </c>
      <c r="Z390" s="25">
        <v>600600</v>
      </c>
      <c r="AA390" s="45"/>
      <c r="AB390" s="45"/>
      <c r="AC390" s="45"/>
      <c r="AD390" s="45"/>
      <c r="AE390" s="45"/>
    </row>
    <row r="391" spans="1:31" s="12" customFormat="1" ht="12">
      <c r="A391" s="27">
        <v>45608</v>
      </c>
      <c r="B391" s="28" t="s">
        <v>23</v>
      </c>
      <c r="C391" s="37" t="s">
        <v>83</v>
      </c>
      <c r="D391" s="34" t="s">
        <v>185</v>
      </c>
      <c r="E391" s="34" t="e">
        <f>IF(B391="","",VLOOKUP($B391,#REF!,4,FALSE))</f>
        <v>#REF!</v>
      </c>
      <c r="F391" s="34" t="e">
        <f>IF(E391="","",VLOOKUP($B391,#REF!,5,FALSE))</f>
        <v>#REF!</v>
      </c>
      <c r="G391" s="34" t="e">
        <f>IF(F391="","",VLOOKUP($B391,#REF!,6,FALSE))</f>
        <v>#REF!</v>
      </c>
      <c r="H391" s="34" t="e">
        <f>IF(G391="","",VLOOKUP($B391,#REF!,7,FALSE))</f>
        <v>#REF!</v>
      </c>
      <c r="I391" s="25"/>
      <c r="J391" s="25"/>
      <c r="K391" s="25"/>
      <c r="L391" s="25"/>
      <c r="M391" s="25"/>
      <c r="N391" s="25"/>
      <c r="O391" s="33">
        <f t="shared" si="13"/>
        <v>0</v>
      </c>
      <c r="P391" s="25"/>
      <c r="Q391" s="25">
        <v>0</v>
      </c>
      <c r="R391" s="25"/>
      <c r="S391" s="25"/>
      <c r="T391" s="25">
        <v>14</v>
      </c>
      <c r="U391" s="25"/>
      <c r="V391" s="39"/>
      <c r="W391" s="25"/>
      <c r="X391" s="33">
        <f t="shared" si="12"/>
        <v>14</v>
      </c>
      <c r="Y391" s="39">
        <v>46080</v>
      </c>
      <c r="Z391" s="25">
        <v>645120</v>
      </c>
      <c r="AA391" s="45"/>
      <c r="AB391" s="45"/>
      <c r="AC391" s="45"/>
      <c r="AD391" s="45"/>
      <c r="AE391" s="45"/>
    </row>
    <row r="392" spans="1:31" s="12" customFormat="1" ht="12">
      <c r="A392" s="27">
        <v>45608</v>
      </c>
      <c r="B392" s="28" t="s">
        <v>61</v>
      </c>
      <c r="C392" s="37" t="s">
        <v>83</v>
      </c>
      <c r="D392" s="34" t="s">
        <v>185</v>
      </c>
      <c r="E392" s="34" t="e">
        <f>IF(B392="","",VLOOKUP($B392,#REF!,4,FALSE))</f>
        <v>#REF!</v>
      </c>
      <c r="F392" s="34" t="e">
        <f>IF(E392="","",VLOOKUP($B392,#REF!,5,FALSE))</f>
        <v>#REF!</v>
      </c>
      <c r="G392" s="34" t="e">
        <f>IF(F392="","",VLOOKUP($B392,#REF!,6,FALSE))</f>
        <v>#REF!</v>
      </c>
      <c r="H392" s="34" t="e">
        <f>IF(G392="","",VLOOKUP($B392,#REF!,7,FALSE))</f>
        <v>#REF!</v>
      </c>
      <c r="I392" s="25"/>
      <c r="J392" s="25"/>
      <c r="K392" s="25"/>
      <c r="L392" s="25"/>
      <c r="M392" s="25"/>
      <c r="N392" s="25"/>
      <c r="O392" s="33">
        <f>SUM(I392:N392)</f>
        <v>0</v>
      </c>
      <c r="P392" s="25"/>
      <c r="Q392" s="25">
        <v>0</v>
      </c>
      <c r="R392" s="25"/>
      <c r="S392" s="25"/>
      <c r="T392" s="25">
        <v>9</v>
      </c>
      <c r="U392" s="25"/>
      <c r="V392" s="39"/>
      <c r="W392" s="25"/>
      <c r="X392" s="33">
        <f>SUM(R392:W392)</f>
        <v>9</v>
      </c>
      <c r="Y392" s="39">
        <v>67500</v>
      </c>
      <c r="Z392" s="25">
        <v>607500</v>
      </c>
      <c r="AA392" s="45"/>
      <c r="AB392" s="45"/>
      <c r="AC392" s="45"/>
      <c r="AD392" s="45"/>
      <c r="AE392" s="45"/>
    </row>
    <row r="393" spans="1:31" s="12" customFormat="1" ht="12">
      <c r="A393" s="27">
        <v>45608</v>
      </c>
      <c r="B393" s="28" t="s">
        <v>26</v>
      </c>
      <c r="C393" s="37" t="s">
        <v>83</v>
      </c>
      <c r="D393" s="34" t="s">
        <v>185</v>
      </c>
      <c r="E393" s="34" t="e">
        <f>IF(B393="","",VLOOKUP($B393,#REF!,4,FALSE))</f>
        <v>#REF!</v>
      </c>
      <c r="F393" s="34" t="e">
        <f>IF(E393="","",VLOOKUP($B393,#REF!,5,FALSE))</f>
        <v>#REF!</v>
      </c>
      <c r="G393" s="34" t="e">
        <f>IF(F393="","",VLOOKUP($B393,#REF!,6,FALSE))</f>
        <v>#REF!</v>
      </c>
      <c r="H393" s="34" t="e">
        <f>IF(G393="","",VLOOKUP($B393,#REF!,7,FALSE))</f>
        <v>#REF!</v>
      </c>
      <c r="I393" s="25"/>
      <c r="J393" s="25"/>
      <c r="K393" s="25"/>
      <c r="L393" s="25"/>
      <c r="M393" s="25"/>
      <c r="N393" s="25"/>
      <c r="O393" s="33">
        <f t="shared" si="13"/>
        <v>0</v>
      </c>
      <c r="P393" s="25"/>
      <c r="Q393" s="25">
        <v>0</v>
      </c>
      <c r="R393" s="25"/>
      <c r="S393" s="25"/>
      <c r="T393" s="25">
        <v>4</v>
      </c>
      <c r="U393" s="25"/>
      <c r="V393" s="39"/>
      <c r="W393" s="25"/>
      <c r="X393" s="33">
        <f t="shared" si="12"/>
        <v>4</v>
      </c>
      <c r="Y393" s="39">
        <v>23200</v>
      </c>
      <c r="Z393" s="25">
        <v>92800</v>
      </c>
      <c r="AA393" s="45"/>
      <c r="AB393" s="45"/>
      <c r="AC393" s="45"/>
      <c r="AD393" s="45"/>
      <c r="AE393" s="45"/>
    </row>
    <row r="394" spans="1:31" s="12" customFormat="1" ht="12">
      <c r="A394" s="27">
        <v>45608</v>
      </c>
      <c r="B394" s="30" t="s">
        <v>219</v>
      </c>
      <c r="C394" s="37" t="s">
        <v>224</v>
      </c>
      <c r="D394" s="34" t="s">
        <v>212</v>
      </c>
      <c r="E394" s="34" t="e">
        <f>IF(B394="","",VLOOKUP($B394,#REF!,4,FALSE))</f>
        <v>#REF!</v>
      </c>
      <c r="F394" s="34" t="e">
        <f>IF(E394="","",VLOOKUP($B394,#REF!,5,FALSE))</f>
        <v>#REF!</v>
      </c>
      <c r="G394" s="34" t="e">
        <f>IF(F394="","",VLOOKUP($B394,#REF!,6,FALSE))</f>
        <v>#REF!</v>
      </c>
      <c r="H394" s="34" t="e">
        <f>IF(G394="","",VLOOKUP($B394,#REF!,7,FALSE))</f>
        <v>#REF!</v>
      </c>
      <c r="I394" s="25"/>
      <c r="J394" s="25"/>
      <c r="K394" s="25"/>
      <c r="L394" s="25"/>
      <c r="M394" s="25">
        <v>384</v>
      </c>
      <c r="N394" s="25"/>
      <c r="O394" s="33">
        <f t="shared" si="13"/>
        <v>384</v>
      </c>
      <c r="P394" s="51">
        <v>30450</v>
      </c>
      <c r="Q394" s="51">
        <f>M394*P394</f>
        <v>11692800</v>
      </c>
      <c r="R394" s="25"/>
      <c r="S394" s="25"/>
      <c r="T394" s="25"/>
      <c r="U394" s="25"/>
      <c r="V394" s="39"/>
      <c r="W394" s="25"/>
      <c r="X394" s="33">
        <f t="shared" si="12"/>
        <v>0</v>
      </c>
      <c r="Y394" s="39"/>
      <c r="Z394" s="25">
        <v>0</v>
      </c>
      <c r="AA394" s="45" t="s">
        <v>213</v>
      </c>
      <c r="AB394" s="45"/>
      <c r="AC394" s="45"/>
      <c r="AD394" s="45"/>
      <c r="AE394" s="45"/>
    </row>
    <row r="395" spans="1:31" s="12" customFormat="1" ht="12">
      <c r="A395" s="27">
        <v>45608</v>
      </c>
      <c r="B395" s="20" t="s">
        <v>219</v>
      </c>
      <c r="C395" s="37">
        <v>0</v>
      </c>
      <c r="D395" s="34" t="s">
        <v>187</v>
      </c>
      <c r="E395" s="34" t="e">
        <f>IF(B395="","",VLOOKUP($B395,#REF!,4,FALSE))</f>
        <v>#REF!</v>
      </c>
      <c r="F395" s="34" t="e">
        <f>IF(E395="","",VLOOKUP($B395,#REF!,5,FALSE))</f>
        <v>#REF!</v>
      </c>
      <c r="G395" s="34" t="e">
        <f>IF(F395="","",VLOOKUP($B395,#REF!,6,FALSE))</f>
        <v>#REF!</v>
      </c>
      <c r="H395" s="34" t="e">
        <f>IF(G395="","",VLOOKUP($B395,#REF!,7,FALSE))</f>
        <v>#REF!</v>
      </c>
      <c r="I395" s="25"/>
      <c r="J395" s="25"/>
      <c r="K395" s="25"/>
      <c r="L395" s="25"/>
      <c r="M395" s="25"/>
      <c r="N395" s="25"/>
      <c r="O395" s="33">
        <f t="shared" si="13"/>
        <v>0</v>
      </c>
      <c r="P395" s="25"/>
      <c r="Q395" s="25">
        <v>0</v>
      </c>
      <c r="R395" s="25"/>
      <c r="S395" s="25">
        <v>48</v>
      </c>
      <c r="T395" s="25"/>
      <c r="U395" s="25"/>
      <c r="V395" s="39"/>
      <c r="W395" s="25"/>
      <c r="X395" s="33">
        <f t="shared" si="12"/>
        <v>48</v>
      </c>
      <c r="Y395" s="39"/>
      <c r="Z395" s="25">
        <v>0</v>
      </c>
      <c r="AA395" s="45" t="s">
        <v>270</v>
      </c>
      <c r="AB395" s="45"/>
      <c r="AC395" s="45"/>
      <c r="AD395" s="45"/>
      <c r="AE395" s="45"/>
    </row>
    <row r="396" spans="1:31" s="12" customFormat="1" ht="12">
      <c r="A396" s="27">
        <v>45608</v>
      </c>
      <c r="B396" s="53" t="s">
        <v>64</v>
      </c>
      <c r="C396" s="37" t="s">
        <v>84</v>
      </c>
      <c r="D396" s="34" t="s">
        <v>184</v>
      </c>
      <c r="E396" s="34" t="e">
        <f>IF(B396="","",VLOOKUP($B396,#REF!,4,FALSE))</f>
        <v>#REF!</v>
      </c>
      <c r="F396" s="34" t="e">
        <f>IF(E396="","",VLOOKUP($B396,#REF!,5,FALSE))</f>
        <v>#REF!</v>
      </c>
      <c r="G396" s="34" t="e">
        <f>IF(F396="","",VLOOKUP($B396,#REF!,6,FALSE))</f>
        <v>#REF!</v>
      </c>
      <c r="H396" s="34" t="e">
        <f>IF(G396="","",VLOOKUP($B396,#REF!,7,FALSE))</f>
        <v>#REF!</v>
      </c>
      <c r="I396" s="25"/>
      <c r="J396" s="25"/>
      <c r="K396" s="25">
        <v>96</v>
      </c>
      <c r="L396" s="25"/>
      <c r="M396" s="25"/>
      <c r="N396" s="25"/>
      <c r="O396" s="33">
        <f t="shared" si="13"/>
        <v>96</v>
      </c>
      <c r="P396" s="25"/>
      <c r="Q396" s="25">
        <v>0</v>
      </c>
      <c r="R396" s="25"/>
      <c r="S396" s="25"/>
      <c r="T396" s="25"/>
      <c r="U396" s="25"/>
      <c r="V396" s="39"/>
      <c r="W396" s="25"/>
      <c r="X396" s="33">
        <f t="shared" si="12"/>
        <v>0</v>
      </c>
      <c r="Y396" s="39"/>
      <c r="Z396" s="25">
        <v>0</v>
      </c>
      <c r="AA396" s="45"/>
      <c r="AB396" s="45"/>
      <c r="AC396" s="45"/>
      <c r="AD396" s="45"/>
      <c r="AE396" s="45"/>
    </row>
    <row r="397" spans="1:31" s="12" customFormat="1" ht="12">
      <c r="A397" s="27">
        <v>45608</v>
      </c>
      <c r="B397" s="53" t="s">
        <v>65</v>
      </c>
      <c r="C397" s="37">
        <v>0</v>
      </c>
      <c r="D397" s="34" t="s">
        <v>187</v>
      </c>
      <c r="E397" s="34" t="e">
        <f>IF(B397="","",VLOOKUP($B397,#REF!,4,FALSE))</f>
        <v>#REF!</v>
      </c>
      <c r="F397" s="34" t="e">
        <f>IF(E397="","",VLOOKUP($B397,#REF!,5,FALSE))</f>
        <v>#REF!</v>
      </c>
      <c r="G397" s="34" t="e">
        <f>IF(F397="","",VLOOKUP($B397,#REF!,6,FALSE))</f>
        <v>#REF!</v>
      </c>
      <c r="H397" s="34" t="e">
        <f>IF(G397="","",VLOOKUP($B397,#REF!,7,FALSE))</f>
        <v>#REF!</v>
      </c>
      <c r="I397" s="25"/>
      <c r="J397" s="25"/>
      <c r="K397" s="25">
        <v>0</v>
      </c>
      <c r="L397" s="25"/>
      <c r="M397" s="25"/>
      <c r="N397" s="25"/>
      <c r="O397" s="33">
        <f t="shared" si="13"/>
        <v>0</v>
      </c>
      <c r="P397" s="25"/>
      <c r="Q397" s="25">
        <v>0</v>
      </c>
      <c r="R397" s="25"/>
      <c r="S397" s="25"/>
      <c r="T397" s="25">
        <v>9</v>
      </c>
      <c r="U397" s="25"/>
      <c r="V397" s="39"/>
      <c r="W397" s="25"/>
      <c r="X397" s="33">
        <f t="shared" si="12"/>
        <v>9</v>
      </c>
      <c r="Y397" s="39">
        <v>13636</v>
      </c>
      <c r="Z397" s="25">
        <v>122727</v>
      </c>
      <c r="AA397" s="45" t="s">
        <v>214</v>
      </c>
      <c r="AB397" s="45"/>
      <c r="AC397" s="45"/>
      <c r="AD397" s="45"/>
      <c r="AE397" s="45"/>
    </row>
    <row r="398" spans="1:31" s="12" customFormat="1" ht="12">
      <c r="A398" s="27">
        <v>45608</v>
      </c>
      <c r="B398" s="74" t="s">
        <v>222</v>
      </c>
      <c r="C398" s="37" t="s">
        <v>87</v>
      </c>
      <c r="D398" s="34" t="s">
        <v>111</v>
      </c>
      <c r="E398" s="34" t="e">
        <f>IF(B398="","",VLOOKUP($B398,#REF!,4,FALSE))</f>
        <v>#REF!</v>
      </c>
      <c r="F398" s="34" t="e">
        <f>IF(E398="","",VLOOKUP($B398,#REF!,5,FALSE))</f>
        <v>#REF!</v>
      </c>
      <c r="G398" s="34" t="e">
        <f>IF(F398="","",VLOOKUP($B398,#REF!,6,FALSE))</f>
        <v>#REF!</v>
      </c>
      <c r="H398" s="34" t="e">
        <f>IF(G398="","",VLOOKUP($B398,#REF!,7,FALSE))</f>
        <v>#REF!</v>
      </c>
      <c r="I398" s="25"/>
      <c r="J398" s="25"/>
      <c r="K398" s="25">
        <v>38</v>
      </c>
      <c r="L398" s="25"/>
      <c r="M398" s="25"/>
      <c r="N398" s="25"/>
      <c r="O398" s="33">
        <f t="shared" si="13"/>
        <v>38</v>
      </c>
      <c r="P398" s="25"/>
      <c r="Q398" s="25">
        <v>0</v>
      </c>
      <c r="R398" s="25"/>
      <c r="S398" s="25"/>
      <c r="T398" s="25"/>
      <c r="U398" s="25"/>
      <c r="V398" s="39"/>
      <c r="W398" s="25"/>
      <c r="X398" s="33">
        <f t="shared" si="12"/>
        <v>0</v>
      </c>
      <c r="Y398" s="39"/>
      <c r="Z398" s="25">
        <v>0</v>
      </c>
      <c r="AA398" s="45"/>
      <c r="AB398" s="45"/>
      <c r="AC398" s="45"/>
      <c r="AD398" s="45"/>
      <c r="AE398" s="45"/>
    </row>
    <row r="399" spans="1:31" s="12" customFormat="1" ht="12">
      <c r="A399" s="27">
        <v>45608</v>
      </c>
      <c r="B399" s="54" t="s">
        <v>222</v>
      </c>
      <c r="C399" s="37" t="s">
        <v>130</v>
      </c>
      <c r="D399" s="34" t="s">
        <v>191</v>
      </c>
      <c r="E399" s="34" t="e">
        <f>IF(B399="","",VLOOKUP($B399,#REF!,4,FALSE))</f>
        <v>#REF!</v>
      </c>
      <c r="F399" s="34" t="e">
        <f>IF(E399="","",VLOOKUP($B399,#REF!,5,FALSE))</f>
        <v>#REF!</v>
      </c>
      <c r="G399" s="34" t="e">
        <f>IF(F399="","",VLOOKUP($B399,#REF!,6,FALSE))</f>
        <v>#REF!</v>
      </c>
      <c r="H399" s="34" t="e">
        <f>IF(G399="","",VLOOKUP($B399,#REF!,7,FALSE))</f>
        <v>#REF!</v>
      </c>
      <c r="I399" s="25"/>
      <c r="J399" s="25"/>
      <c r="K399" s="25">
        <v>0</v>
      </c>
      <c r="L399" s="25"/>
      <c r="M399" s="25"/>
      <c r="N399" s="25"/>
      <c r="O399" s="33">
        <f t="shared" si="13"/>
        <v>0</v>
      </c>
      <c r="P399" s="25"/>
      <c r="Q399" s="25">
        <v>0</v>
      </c>
      <c r="R399" s="25"/>
      <c r="S399" s="25">
        <v>38</v>
      </c>
      <c r="T399" s="25"/>
      <c r="U399" s="25"/>
      <c r="V399" s="39"/>
      <c r="W399" s="25"/>
      <c r="X399" s="33">
        <f t="shared" si="12"/>
        <v>38</v>
      </c>
      <c r="Y399" s="25">
        <v>10000</v>
      </c>
      <c r="Z399" s="25">
        <v>380000</v>
      </c>
      <c r="AA399" s="45"/>
      <c r="AB399" s="45"/>
      <c r="AC399" s="45"/>
      <c r="AD399" s="45"/>
      <c r="AE399" s="45"/>
    </row>
    <row r="400" spans="1:31" s="12" customFormat="1" ht="12">
      <c r="A400" s="27">
        <v>45608</v>
      </c>
      <c r="B400" s="54" t="s">
        <v>223</v>
      </c>
      <c r="C400" s="37" t="s">
        <v>87</v>
      </c>
      <c r="D400" s="34" t="s">
        <v>111</v>
      </c>
      <c r="E400" s="34" t="e">
        <f>IF(B400="","",VLOOKUP($B400,#REF!,4,FALSE))</f>
        <v>#REF!</v>
      </c>
      <c r="F400" s="34" t="e">
        <f>IF(E400="","",VLOOKUP($B400,#REF!,5,FALSE))</f>
        <v>#REF!</v>
      </c>
      <c r="G400" s="34" t="e">
        <f>IF(F400="","",VLOOKUP($B400,#REF!,6,FALSE))</f>
        <v>#REF!</v>
      </c>
      <c r="H400" s="34" t="e">
        <f>IF(G400="","",VLOOKUP($B400,#REF!,7,FALSE))</f>
        <v>#REF!</v>
      </c>
      <c r="I400" s="25"/>
      <c r="J400" s="25"/>
      <c r="K400" s="25">
        <v>414</v>
      </c>
      <c r="L400" s="25"/>
      <c r="M400" s="25"/>
      <c r="N400" s="25"/>
      <c r="O400" s="33">
        <f t="shared" si="13"/>
        <v>414</v>
      </c>
      <c r="P400" s="25"/>
      <c r="Q400" s="25">
        <v>0</v>
      </c>
      <c r="R400" s="25"/>
      <c r="S400" s="25">
        <v>0</v>
      </c>
      <c r="T400" s="25"/>
      <c r="U400" s="25"/>
      <c r="V400" s="39"/>
      <c r="W400" s="25"/>
      <c r="X400" s="33">
        <f t="shared" si="12"/>
        <v>0</v>
      </c>
      <c r="Y400" s="39"/>
      <c r="Z400" s="25">
        <v>0</v>
      </c>
      <c r="AA400" s="45"/>
      <c r="AB400" s="45"/>
      <c r="AC400" s="45"/>
      <c r="AD400" s="45"/>
      <c r="AE400" s="45"/>
    </row>
    <row r="401" spans="1:31" s="12" customFormat="1" ht="12">
      <c r="A401" s="27">
        <v>45608</v>
      </c>
      <c r="B401" s="28" t="s">
        <v>223</v>
      </c>
      <c r="C401" s="37" t="s">
        <v>130</v>
      </c>
      <c r="D401" s="34" t="s">
        <v>191</v>
      </c>
      <c r="E401" s="34" t="e">
        <f>IF(B401="","",VLOOKUP($B401,#REF!,4,FALSE))</f>
        <v>#REF!</v>
      </c>
      <c r="F401" s="34" t="e">
        <f>IF(E401="","",VLOOKUP($B401,#REF!,5,FALSE))</f>
        <v>#REF!</v>
      </c>
      <c r="G401" s="34" t="e">
        <f>IF(F401="","",VLOOKUP($B401,#REF!,6,FALSE))</f>
        <v>#REF!</v>
      </c>
      <c r="H401" s="34" t="e">
        <f>IF(G401="","",VLOOKUP($B401,#REF!,7,FALSE))</f>
        <v>#REF!</v>
      </c>
      <c r="I401" s="25"/>
      <c r="J401" s="25"/>
      <c r="K401" s="25">
        <v>0</v>
      </c>
      <c r="L401" s="25"/>
      <c r="M401" s="25"/>
      <c r="N401" s="25"/>
      <c r="O401" s="33">
        <f t="shared" si="13"/>
        <v>0</v>
      </c>
      <c r="P401" s="25"/>
      <c r="Q401" s="25">
        <v>0</v>
      </c>
      <c r="R401" s="25"/>
      <c r="S401" s="25">
        <v>414</v>
      </c>
      <c r="T401" s="25"/>
      <c r="U401" s="25"/>
      <c r="V401" s="39"/>
      <c r="W401" s="25"/>
      <c r="X401" s="33">
        <f t="shared" si="12"/>
        <v>414</v>
      </c>
      <c r="Y401" s="39">
        <v>8000</v>
      </c>
      <c r="Z401" s="25">
        <v>3312000</v>
      </c>
      <c r="AA401" s="45"/>
      <c r="AB401" s="45"/>
      <c r="AC401" s="45"/>
      <c r="AD401" s="45"/>
      <c r="AE401" s="45"/>
    </row>
    <row r="402" spans="1:31" s="12" customFormat="1" ht="12">
      <c r="A402" s="27">
        <v>45608</v>
      </c>
      <c r="B402" s="28" t="s">
        <v>15</v>
      </c>
      <c r="C402" s="37" t="s">
        <v>117</v>
      </c>
      <c r="D402" s="34" t="s">
        <v>225</v>
      </c>
      <c r="E402" s="34" t="e">
        <f>IF(B402="","",VLOOKUP($B402,#REF!,4,FALSE))</f>
        <v>#REF!</v>
      </c>
      <c r="F402" s="34" t="e">
        <f>IF(E402="","",VLOOKUP($B402,#REF!,5,FALSE))</f>
        <v>#REF!</v>
      </c>
      <c r="G402" s="34" t="e">
        <f>IF(F402="","",VLOOKUP($B402,#REF!,6,FALSE))</f>
        <v>#REF!</v>
      </c>
      <c r="H402" s="34" t="e">
        <f>IF(G402="","",VLOOKUP($B402,#REF!,7,FALSE))</f>
        <v>#REF!</v>
      </c>
      <c r="I402" s="25"/>
      <c r="J402" s="25"/>
      <c r="K402" s="25">
        <v>216</v>
      </c>
      <c r="L402" s="25"/>
      <c r="M402" s="25"/>
      <c r="N402" s="25"/>
      <c r="O402" s="33">
        <f t="shared" si="13"/>
        <v>216</v>
      </c>
      <c r="P402" s="25">
        <v>43200</v>
      </c>
      <c r="Q402" s="25">
        <v>9331200</v>
      </c>
      <c r="R402" s="25"/>
      <c r="S402" s="25"/>
      <c r="T402" s="25"/>
      <c r="U402" s="25"/>
      <c r="V402" s="39"/>
      <c r="W402" s="25"/>
      <c r="X402" s="33">
        <f t="shared" si="12"/>
        <v>0</v>
      </c>
      <c r="Y402" s="39"/>
      <c r="Z402" s="25">
        <v>0</v>
      </c>
      <c r="AA402" s="45"/>
      <c r="AB402" s="45"/>
      <c r="AC402" s="45"/>
      <c r="AD402" s="45"/>
      <c r="AE402" s="45"/>
    </row>
    <row r="403" spans="1:31" s="12" customFormat="1" ht="12">
      <c r="A403" s="27">
        <v>45608</v>
      </c>
      <c r="B403" s="41" t="s">
        <v>211</v>
      </c>
      <c r="C403" s="37">
        <v>0</v>
      </c>
      <c r="D403" s="34" t="s">
        <v>187</v>
      </c>
      <c r="E403" s="34" t="e">
        <f>IF(B403="","",VLOOKUP($B403,#REF!,4,FALSE))</f>
        <v>#REF!</v>
      </c>
      <c r="F403" s="34" t="e">
        <f>IF(E403="","",VLOOKUP($B403,#REF!,5,FALSE))</f>
        <v>#REF!</v>
      </c>
      <c r="G403" s="34" t="e">
        <f>IF(F403="","",VLOOKUP($B403,#REF!,6,FALSE))</f>
        <v>#REF!</v>
      </c>
      <c r="H403" s="34" t="e">
        <f>IF(G403="","",VLOOKUP($B403,#REF!,7,FALSE))</f>
        <v>#REF!</v>
      </c>
      <c r="I403" s="25"/>
      <c r="J403" s="25"/>
      <c r="K403" s="25"/>
      <c r="L403" s="25">
        <v>805</v>
      </c>
      <c r="M403" s="25"/>
      <c r="N403" s="25"/>
      <c r="O403" s="33">
        <f t="shared" si="13"/>
        <v>805</v>
      </c>
      <c r="P403" s="25"/>
      <c r="Q403" s="25">
        <v>0</v>
      </c>
      <c r="R403" s="25"/>
      <c r="S403" s="25"/>
      <c r="T403" s="25"/>
      <c r="U403" s="25"/>
      <c r="V403" s="39"/>
      <c r="W403" s="25"/>
      <c r="X403" s="33">
        <f t="shared" si="12"/>
        <v>0</v>
      </c>
      <c r="Y403" s="39"/>
      <c r="Z403" s="25">
        <v>0</v>
      </c>
      <c r="AA403" s="45"/>
      <c r="AB403" s="45"/>
      <c r="AC403" s="45"/>
      <c r="AD403" s="45"/>
      <c r="AE403" s="45"/>
    </row>
    <row r="404" spans="1:31" s="12" customFormat="1" ht="12">
      <c r="A404" s="27">
        <v>45608</v>
      </c>
      <c r="B404" s="53" t="s">
        <v>229</v>
      </c>
      <c r="C404" s="37">
        <v>0</v>
      </c>
      <c r="D404" s="34" t="s">
        <v>187</v>
      </c>
      <c r="E404" s="34" t="e">
        <f>IF(B404="","",VLOOKUP($B404,#REF!,4,FALSE))</f>
        <v>#REF!</v>
      </c>
      <c r="F404" s="34" t="e">
        <f>IF(E404="","",VLOOKUP($B404,#REF!,5,FALSE))</f>
        <v>#REF!</v>
      </c>
      <c r="G404" s="34" t="e">
        <f>IF(F404="","",VLOOKUP($B404,#REF!,6,FALSE))</f>
        <v>#REF!</v>
      </c>
      <c r="H404" s="34" t="e">
        <f>IF(G404="","",VLOOKUP($B404,#REF!,7,FALSE))</f>
        <v>#REF!</v>
      </c>
      <c r="I404" s="25"/>
      <c r="J404" s="25"/>
      <c r="K404" s="25"/>
      <c r="L404" s="25">
        <v>3123</v>
      </c>
      <c r="M404" s="25"/>
      <c r="N404" s="25"/>
      <c r="O404" s="33">
        <f t="shared" si="13"/>
        <v>3123</v>
      </c>
      <c r="P404" s="25"/>
      <c r="Q404" s="25">
        <v>0</v>
      </c>
      <c r="R404" s="25"/>
      <c r="S404" s="25"/>
      <c r="T404" s="25"/>
      <c r="U404" s="25"/>
      <c r="V404" s="39"/>
      <c r="W404" s="25"/>
      <c r="X404" s="33">
        <f t="shared" si="12"/>
        <v>0</v>
      </c>
      <c r="Y404" s="25"/>
      <c r="Z404" s="25">
        <v>0</v>
      </c>
      <c r="AA404" s="45"/>
      <c r="AB404" s="45"/>
      <c r="AC404" s="45"/>
      <c r="AD404" s="45"/>
      <c r="AE404" s="45"/>
    </row>
    <row r="405" spans="1:31" s="12" customFormat="1" ht="12">
      <c r="A405" s="27">
        <v>45608</v>
      </c>
      <c r="B405" s="47" t="s">
        <v>164</v>
      </c>
      <c r="C405" s="37">
        <v>0</v>
      </c>
      <c r="D405" s="34" t="s">
        <v>187</v>
      </c>
      <c r="E405" s="34" t="e">
        <f>IF(B405="","",VLOOKUP($B405,#REF!,4,FALSE))</f>
        <v>#REF!</v>
      </c>
      <c r="F405" s="34" t="e">
        <f>IF(E405="","",VLOOKUP($B405,#REF!,5,FALSE))</f>
        <v>#REF!</v>
      </c>
      <c r="G405" s="34" t="e">
        <f>IF(F405="","",VLOOKUP($B405,#REF!,6,FALSE))</f>
        <v>#REF!</v>
      </c>
      <c r="H405" s="34" t="e">
        <f>IF(G405="","",VLOOKUP($B405,#REF!,7,FALSE))</f>
        <v>#REF!</v>
      </c>
      <c r="I405" s="25"/>
      <c r="J405" s="25"/>
      <c r="K405" s="25"/>
      <c r="L405" s="25">
        <v>405</v>
      </c>
      <c r="M405" s="25"/>
      <c r="N405" s="25"/>
      <c r="O405" s="33">
        <f t="shared" si="13"/>
        <v>405</v>
      </c>
      <c r="P405" s="25"/>
      <c r="Q405" s="25">
        <v>0</v>
      </c>
      <c r="R405" s="25"/>
      <c r="S405" s="25"/>
      <c r="T405" s="25"/>
      <c r="U405" s="25"/>
      <c r="V405" s="39"/>
      <c r="W405" s="25"/>
      <c r="X405" s="33">
        <f t="shared" si="12"/>
        <v>0</v>
      </c>
      <c r="Y405" s="25"/>
      <c r="Z405" s="25">
        <v>0</v>
      </c>
      <c r="AA405" s="45"/>
      <c r="AB405" s="45"/>
      <c r="AC405" s="45"/>
      <c r="AD405" s="45"/>
      <c r="AE405" s="45"/>
    </row>
    <row r="406" spans="1:31" s="12" customFormat="1" ht="12">
      <c r="A406" s="27">
        <v>45608</v>
      </c>
      <c r="B406" s="53" t="s">
        <v>43</v>
      </c>
      <c r="C406" s="37">
        <v>0</v>
      </c>
      <c r="D406" s="34" t="s">
        <v>187</v>
      </c>
      <c r="E406" s="34" t="e">
        <f>IF(B406="","",VLOOKUP($B406,#REF!,4,FALSE))</f>
        <v>#REF!</v>
      </c>
      <c r="F406" s="34" t="e">
        <f>IF(E406="","",VLOOKUP($B406,#REF!,5,FALSE))</f>
        <v>#REF!</v>
      </c>
      <c r="G406" s="34" t="e">
        <f>IF(F406="","",VLOOKUP($B406,#REF!,6,FALSE))</f>
        <v>#REF!</v>
      </c>
      <c r="H406" s="34" t="e">
        <f>IF(G406="","",VLOOKUP($B406,#REF!,7,FALSE))</f>
        <v>#REF!</v>
      </c>
      <c r="I406" s="25"/>
      <c r="J406" s="25"/>
      <c r="K406" s="25"/>
      <c r="L406" s="25">
        <v>1240</v>
      </c>
      <c r="M406" s="25"/>
      <c r="N406" s="25"/>
      <c r="O406" s="33">
        <f t="shared" si="13"/>
        <v>1240</v>
      </c>
      <c r="P406" s="25"/>
      <c r="Q406" s="25">
        <v>0</v>
      </c>
      <c r="R406" s="25"/>
      <c r="S406" s="25"/>
      <c r="T406" s="25"/>
      <c r="U406" s="25"/>
      <c r="V406" s="39"/>
      <c r="W406" s="25"/>
      <c r="X406" s="33">
        <f t="shared" si="12"/>
        <v>0</v>
      </c>
      <c r="Y406" s="39"/>
      <c r="Z406" s="25">
        <v>0</v>
      </c>
      <c r="AA406" s="45"/>
      <c r="AB406" s="45"/>
      <c r="AC406" s="45"/>
      <c r="AD406" s="45"/>
      <c r="AE406" s="45"/>
    </row>
    <row r="407" spans="1:31" s="12" customFormat="1" ht="12">
      <c r="A407" s="27">
        <v>45608</v>
      </c>
      <c r="B407" s="53" t="s">
        <v>40</v>
      </c>
      <c r="C407" s="37">
        <v>0</v>
      </c>
      <c r="D407" s="34" t="s">
        <v>187</v>
      </c>
      <c r="E407" s="34" t="e">
        <f>IF(B407="","",VLOOKUP($B407,#REF!,4,FALSE))</f>
        <v>#REF!</v>
      </c>
      <c r="F407" s="34" t="e">
        <f>IF(E407="","",VLOOKUP($B407,#REF!,5,FALSE))</f>
        <v>#REF!</v>
      </c>
      <c r="G407" s="34" t="e">
        <f>IF(F407="","",VLOOKUP($B407,#REF!,6,FALSE))</f>
        <v>#REF!</v>
      </c>
      <c r="H407" s="34" t="e">
        <f>IF(G407="","",VLOOKUP($B407,#REF!,7,FALSE))</f>
        <v>#REF!</v>
      </c>
      <c r="I407" s="25"/>
      <c r="J407" s="25"/>
      <c r="K407" s="25"/>
      <c r="L407" s="25">
        <v>100</v>
      </c>
      <c r="M407" s="25"/>
      <c r="N407" s="25"/>
      <c r="O407" s="33">
        <f t="shared" si="13"/>
        <v>100</v>
      </c>
      <c r="P407" s="25"/>
      <c r="Q407" s="25">
        <v>0</v>
      </c>
      <c r="R407" s="25"/>
      <c r="S407" s="25"/>
      <c r="T407" s="25"/>
      <c r="U407" s="25"/>
      <c r="V407" s="39"/>
      <c r="W407" s="25"/>
      <c r="X407" s="33">
        <f t="shared" si="12"/>
        <v>0</v>
      </c>
      <c r="Y407" s="39"/>
      <c r="Z407" s="25">
        <v>0</v>
      </c>
      <c r="AA407" s="45"/>
      <c r="AB407" s="45"/>
      <c r="AC407" s="45"/>
      <c r="AD407" s="45"/>
      <c r="AE407" s="45"/>
    </row>
    <row r="408" spans="1:31" s="12" customFormat="1" ht="12">
      <c r="A408" s="27">
        <v>45608</v>
      </c>
      <c r="B408" s="53" t="s">
        <v>61</v>
      </c>
      <c r="C408" s="37">
        <v>0</v>
      </c>
      <c r="D408" s="34" t="s">
        <v>187</v>
      </c>
      <c r="E408" s="34" t="e">
        <f>IF(B408="","",VLOOKUP($B408,#REF!,4,FALSE))</f>
        <v>#REF!</v>
      </c>
      <c r="F408" s="34" t="e">
        <f>IF(E408="","",VLOOKUP($B408,#REF!,5,FALSE))</f>
        <v>#REF!</v>
      </c>
      <c r="G408" s="34" t="e">
        <f>IF(F408="","",VLOOKUP($B408,#REF!,6,FALSE))</f>
        <v>#REF!</v>
      </c>
      <c r="H408" s="34" t="e">
        <f>IF(G408="","",VLOOKUP($B408,#REF!,7,FALSE))</f>
        <v>#REF!</v>
      </c>
      <c r="I408" s="25"/>
      <c r="J408" s="25"/>
      <c r="K408" s="25">
        <v>285</v>
      </c>
      <c r="L408" s="25"/>
      <c r="M408" s="25"/>
      <c r="N408" s="25"/>
      <c r="O408" s="33">
        <f t="shared" si="13"/>
        <v>285</v>
      </c>
      <c r="P408" s="25"/>
      <c r="Q408" s="25">
        <v>0</v>
      </c>
      <c r="R408" s="25"/>
      <c r="S408" s="25"/>
      <c r="T408" s="25"/>
      <c r="U408" s="25"/>
      <c r="V408" s="39"/>
      <c r="W408" s="25"/>
      <c r="X408" s="33">
        <f t="shared" si="12"/>
        <v>0</v>
      </c>
      <c r="Y408" s="39"/>
      <c r="Z408" s="25">
        <v>0</v>
      </c>
      <c r="AA408" s="45"/>
      <c r="AB408" s="45"/>
      <c r="AC408" s="45"/>
      <c r="AD408" s="45"/>
      <c r="AE408" s="45"/>
    </row>
    <row r="409" spans="1:31" s="12" customFormat="1" ht="12">
      <c r="A409" s="27">
        <v>45608</v>
      </c>
      <c r="B409" s="28" t="s">
        <v>35</v>
      </c>
      <c r="C409" s="37">
        <v>0</v>
      </c>
      <c r="D409" s="34" t="s">
        <v>187</v>
      </c>
      <c r="E409" s="34" t="e">
        <f>IF(B409="","",VLOOKUP($B409,#REF!,4,FALSE))</f>
        <v>#REF!</v>
      </c>
      <c r="F409" s="34" t="e">
        <f>IF(E409="","",VLOOKUP($B409,#REF!,5,FALSE))</f>
        <v>#REF!</v>
      </c>
      <c r="G409" s="34" t="e">
        <f>IF(F409="","",VLOOKUP($B409,#REF!,6,FALSE))</f>
        <v>#REF!</v>
      </c>
      <c r="H409" s="34" t="e">
        <f>IF(G409="","",VLOOKUP($B409,#REF!,7,FALSE))</f>
        <v>#REF!</v>
      </c>
      <c r="I409" s="25">
        <v>544</v>
      </c>
      <c r="J409" s="25"/>
      <c r="K409" s="25"/>
      <c r="L409" s="25"/>
      <c r="M409" s="25"/>
      <c r="N409" s="25"/>
      <c r="O409" s="33">
        <f t="shared" si="13"/>
        <v>544</v>
      </c>
      <c r="P409" s="25"/>
      <c r="Q409" s="25">
        <v>0</v>
      </c>
      <c r="R409" s="25"/>
      <c r="S409" s="25"/>
      <c r="T409" s="25"/>
      <c r="U409" s="25"/>
      <c r="V409" s="39"/>
      <c r="W409" s="25"/>
      <c r="X409" s="33">
        <f t="shared" si="12"/>
        <v>0</v>
      </c>
      <c r="Y409" s="39"/>
      <c r="Z409" s="25">
        <v>0</v>
      </c>
      <c r="AA409" s="45"/>
      <c r="AB409" s="45"/>
      <c r="AC409" s="45"/>
      <c r="AD409" s="45"/>
      <c r="AE409" s="45"/>
    </row>
    <row r="410" spans="1:31" s="12" customFormat="1" ht="12">
      <c r="A410" s="27">
        <v>45608</v>
      </c>
      <c r="B410" s="28" t="s">
        <v>230</v>
      </c>
      <c r="C410" s="37">
        <v>0</v>
      </c>
      <c r="D410" s="34" t="s">
        <v>187</v>
      </c>
      <c r="E410" s="34" t="e">
        <f>IF(B410="","",VLOOKUP($B410,#REF!,4,FALSE))</f>
        <v>#REF!</v>
      </c>
      <c r="F410" s="34" t="e">
        <f>IF(E410="","",VLOOKUP($B410,#REF!,5,FALSE))</f>
        <v>#REF!</v>
      </c>
      <c r="G410" s="34" t="e">
        <f>IF(F410="","",VLOOKUP($B410,#REF!,6,FALSE))</f>
        <v>#REF!</v>
      </c>
      <c r="H410" s="34" t="e">
        <f>IF(G410="","",VLOOKUP($B410,#REF!,7,FALSE))</f>
        <v>#REF!</v>
      </c>
      <c r="I410" s="25">
        <v>174</v>
      </c>
      <c r="J410" s="25"/>
      <c r="K410" s="25"/>
      <c r="L410" s="25"/>
      <c r="M410" s="25"/>
      <c r="N410" s="25"/>
      <c r="O410" s="33">
        <f t="shared" si="13"/>
        <v>174</v>
      </c>
      <c r="P410" s="25"/>
      <c r="Q410" s="25">
        <v>0</v>
      </c>
      <c r="R410" s="25"/>
      <c r="S410" s="25"/>
      <c r="T410" s="25"/>
      <c r="U410" s="25"/>
      <c r="V410" s="39"/>
      <c r="W410" s="25"/>
      <c r="X410" s="33">
        <f t="shared" si="12"/>
        <v>0</v>
      </c>
      <c r="Y410" s="39"/>
      <c r="Z410" s="25">
        <v>0</v>
      </c>
      <c r="AA410" s="45"/>
      <c r="AB410" s="45"/>
      <c r="AC410" s="45"/>
      <c r="AD410" s="45"/>
      <c r="AE410" s="45"/>
    </row>
    <row r="411" spans="1:31" s="12" customFormat="1" ht="12">
      <c r="A411" s="27">
        <v>45609</v>
      </c>
      <c r="B411" s="28" t="s">
        <v>201</v>
      </c>
      <c r="C411" s="37" t="s">
        <v>88</v>
      </c>
      <c r="D411" s="34" t="s">
        <v>189</v>
      </c>
      <c r="E411" s="34" t="e">
        <f>IF(B411="","",VLOOKUP($B411,#REF!,4,FALSE))</f>
        <v>#REF!</v>
      </c>
      <c r="F411" s="34" t="e">
        <f>IF(E411="","",VLOOKUP($B411,#REF!,5,FALSE))</f>
        <v>#REF!</v>
      </c>
      <c r="G411" s="34" t="e">
        <f>IF(F411="","",VLOOKUP($B411,#REF!,6,FALSE))</f>
        <v>#REF!</v>
      </c>
      <c r="H411" s="34" t="e">
        <f>IF(G411="","",VLOOKUP($B411,#REF!,7,FALSE))</f>
        <v>#REF!</v>
      </c>
      <c r="I411" s="25"/>
      <c r="J411" s="25">
        <v>480</v>
      </c>
      <c r="K411" s="25"/>
      <c r="L411" s="25"/>
      <c r="M411" s="25"/>
      <c r="N411" s="25"/>
      <c r="O411" s="33">
        <f t="shared" si="13"/>
        <v>480</v>
      </c>
      <c r="P411" s="25">
        <v>2520</v>
      </c>
      <c r="Q411" s="25">
        <v>1209600</v>
      </c>
      <c r="R411" s="25"/>
      <c r="S411" s="25"/>
      <c r="T411" s="25"/>
      <c r="U411" s="25"/>
      <c r="V411" s="39"/>
      <c r="W411" s="25"/>
      <c r="X411" s="33">
        <f t="shared" si="12"/>
        <v>0</v>
      </c>
      <c r="Y411" s="39"/>
      <c r="Z411" s="25">
        <v>0</v>
      </c>
      <c r="AA411" s="45"/>
      <c r="AB411" s="45"/>
      <c r="AC411" s="45"/>
      <c r="AD411" s="45"/>
      <c r="AE411" s="45"/>
    </row>
    <row r="412" spans="1:31" s="12" customFormat="1" ht="12">
      <c r="A412" s="27">
        <v>45609</v>
      </c>
      <c r="B412" s="53" t="s">
        <v>201</v>
      </c>
      <c r="C412" s="37" t="s">
        <v>146</v>
      </c>
      <c r="D412" s="34" t="s">
        <v>174</v>
      </c>
      <c r="E412" s="34" t="e">
        <f>IF(B412="","",VLOOKUP($B412,#REF!,4,FALSE))</f>
        <v>#REF!</v>
      </c>
      <c r="F412" s="34" t="e">
        <f>IF(E412="","",VLOOKUP($B412,#REF!,5,FALSE))</f>
        <v>#REF!</v>
      </c>
      <c r="G412" s="34" t="e">
        <f>IF(F412="","",VLOOKUP($B412,#REF!,6,FALSE))</f>
        <v>#REF!</v>
      </c>
      <c r="H412" s="34" t="e">
        <f>IF(G412="","",VLOOKUP($B412,#REF!,7,FALSE))</f>
        <v>#REF!</v>
      </c>
      <c r="I412" s="25"/>
      <c r="J412" s="25">
        <v>0</v>
      </c>
      <c r="K412" s="25"/>
      <c r="L412" s="25"/>
      <c r="M412" s="25"/>
      <c r="N412" s="25"/>
      <c r="O412" s="33">
        <f t="shared" si="13"/>
        <v>0</v>
      </c>
      <c r="P412" s="25"/>
      <c r="Q412" s="25">
        <v>0</v>
      </c>
      <c r="R412" s="25"/>
      <c r="S412" s="25">
        <v>480</v>
      </c>
      <c r="T412" s="25"/>
      <c r="U412" s="25"/>
      <c r="V412" s="39"/>
      <c r="W412" s="25"/>
      <c r="X412" s="33">
        <f t="shared" si="12"/>
        <v>480</v>
      </c>
      <c r="Y412" s="39">
        <f>Z412/X412</f>
        <v>23068.65</v>
      </c>
      <c r="Z412" s="39">
        <v>11072952</v>
      </c>
      <c r="AA412" s="45" t="s">
        <v>155</v>
      </c>
      <c r="AB412" s="45" t="s">
        <v>146</v>
      </c>
      <c r="AC412" s="45" t="s">
        <v>174</v>
      </c>
      <c r="AD412" s="45"/>
      <c r="AE412" s="45"/>
    </row>
    <row r="413" spans="1:31" s="12" customFormat="1" ht="12">
      <c r="A413" s="27">
        <v>45609</v>
      </c>
      <c r="B413" s="53" t="s">
        <v>36</v>
      </c>
      <c r="C413" s="37" t="s">
        <v>88</v>
      </c>
      <c r="D413" s="34" t="s">
        <v>189</v>
      </c>
      <c r="E413" s="34" t="e">
        <f>IF(B413="","",VLOOKUP($B413,#REF!,4,FALSE))</f>
        <v>#REF!</v>
      </c>
      <c r="F413" s="34" t="e">
        <f>IF(E413="","",VLOOKUP($B413,#REF!,5,FALSE))</f>
        <v>#REF!</v>
      </c>
      <c r="G413" s="34" t="e">
        <f>IF(F413="","",VLOOKUP($B413,#REF!,6,FALSE))</f>
        <v>#REF!</v>
      </c>
      <c r="H413" s="34" t="e">
        <f>IF(G413="","",VLOOKUP($B413,#REF!,7,FALSE))</f>
        <v>#REF!</v>
      </c>
      <c r="I413" s="25"/>
      <c r="J413" s="25">
        <v>870</v>
      </c>
      <c r="K413" s="25"/>
      <c r="L413" s="25"/>
      <c r="M413" s="25"/>
      <c r="N413" s="25"/>
      <c r="O413" s="33">
        <f t="shared" si="13"/>
        <v>870</v>
      </c>
      <c r="P413" s="25">
        <v>2520</v>
      </c>
      <c r="Q413" s="25">
        <v>2192400</v>
      </c>
      <c r="R413" s="25"/>
      <c r="S413" s="25">
        <v>0</v>
      </c>
      <c r="T413" s="25"/>
      <c r="U413" s="25"/>
      <c r="V413" s="39"/>
      <c r="W413" s="25"/>
      <c r="X413" s="33">
        <f t="shared" si="12"/>
        <v>0</v>
      </c>
      <c r="Y413" s="39"/>
      <c r="Z413" s="25">
        <v>0</v>
      </c>
      <c r="AA413" s="45"/>
      <c r="AB413" s="45"/>
      <c r="AC413" s="45"/>
      <c r="AD413" s="45"/>
      <c r="AE413" s="45"/>
    </row>
    <row r="414" spans="1:31" s="12" customFormat="1" ht="12">
      <c r="A414" s="27">
        <v>45609</v>
      </c>
      <c r="B414" s="53" t="s">
        <v>36</v>
      </c>
      <c r="C414" s="37" t="s">
        <v>146</v>
      </c>
      <c r="D414" s="34" t="s">
        <v>174</v>
      </c>
      <c r="E414" s="34" t="e">
        <f>IF(B414="","",VLOOKUP($B414,#REF!,4,FALSE))</f>
        <v>#REF!</v>
      </c>
      <c r="F414" s="34" t="e">
        <f>IF(E414="","",VLOOKUP($B414,#REF!,5,FALSE))</f>
        <v>#REF!</v>
      </c>
      <c r="G414" s="34" t="e">
        <f>IF(F414="","",VLOOKUP($B414,#REF!,6,FALSE))</f>
        <v>#REF!</v>
      </c>
      <c r="H414" s="34" t="e">
        <f>IF(G414="","",VLOOKUP($B414,#REF!,7,FALSE))</f>
        <v>#REF!</v>
      </c>
      <c r="I414" s="25"/>
      <c r="J414" s="25">
        <v>0</v>
      </c>
      <c r="K414" s="25"/>
      <c r="L414" s="25"/>
      <c r="M414" s="25"/>
      <c r="N414" s="25"/>
      <c r="O414" s="33">
        <f t="shared" si="13"/>
        <v>0</v>
      </c>
      <c r="P414" s="25"/>
      <c r="Q414" s="25">
        <v>0</v>
      </c>
      <c r="R414" s="25"/>
      <c r="S414" s="25">
        <v>870</v>
      </c>
      <c r="T414" s="25"/>
      <c r="U414" s="25"/>
      <c r="V414" s="39"/>
      <c r="W414" s="25"/>
      <c r="X414" s="33">
        <f t="shared" si="12"/>
        <v>870</v>
      </c>
      <c r="Y414" s="39">
        <f>Z414/X414</f>
        <v>23068.649425287356</v>
      </c>
      <c r="Z414" s="39">
        <v>20069725</v>
      </c>
      <c r="AA414" s="45" t="s">
        <v>155</v>
      </c>
      <c r="AB414" s="45" t="s">
        <v>146</v>
      </c>
      <c r="AC414" s="45" t="s">
        <v>174</v>
      </c>
      <c r="AD414" s="45"/>
      <c r="AE414" s="45"/>
    </row>
    <row r="415" spans="1:31" s="12" customFormat="1" ht="12">
      <c r="A415" s="27">
        <v>45609</v>
      </c>
      <c r="B415" s="53" t="s">
        <v>27</v>
      </c>
      <c r="C415" s="37" t="s">
        <v>117</v>
      </c>
      <c r="D415" s="34" t="s">
        <v>225</v>
      </c>
      <c r="E415" s="34" t="e">
        <f>IF(B415="","",VLOOKUP($B415,#REF!,4,FALSE))</f>
        <v>#REF!</v>
      </c>
      <c r="F415" s="34" t="e">
        <f>IF(E415="","",VLOOKUP($B415,#REF!,5,FALSE))</f>
        <v>#REF!</v>
      </c>
      <c r="G415" s="34" t="e">
        <f>IF(F415="","",VLOOKUP($B415,#REF!,6,FALSE))</f>
        <v>#REF!</v>
      </c>
      <c r="H415" s="34" t="e">
        <f>IF(G415="","",VLOOKUP($B415,#REF!,7,FALSE))</f>
        <v>#REF!</v>
      </c>
      <c r="I415" s="25"/>
      <c r="J415" s="25">
        <v>504</v>
      </c>
      <c r="K415" s="25"/>
      <c r="L415" s="25"/>
      <c r="M415" s="25"/>
      <c r="N415" s="25"/>
      <c r="O415" s="33">
        <f t="shared" si="13"/>
        <v>504</v>
      </c>
      <c r="P415" s="25">
        <v>78000</v>
      </c>
      <c r="Q415" s="25">
        <v>39312000</v>
      </c>
      <c r="R415" s="25"/>
      <c r="S415" s="25">
        <v>0</v>
      </c>
      <c r="T415" s="25"/>
      <c r="U415" s="25"/>
      <c r="V415" s="39"/>
      <c r="W415" s="25"/>
      <c r="X415" s="33">
        <f t="shared" si="12"/>
        <v>0</v>
      </c>
      <c r="Y415" s="39"/>
      <c r="Z415" s="25">
        <v>0</v>
      </c>
      <c r="AA415" s="45"/>
      <c r="AB415" s="45"/>
      <c r="AC415" s="45"/>
      <c r="AD415" s="45"/>
      <c r="AE415" s="45"/>
    </row>
    <row r="416" spans="1:31" s="12" customFormat="1" ht="12">
      <c r="A416" s="27">
        <v>45609</v>
      </c>
      <c r="B416" s="53" t="s">
        <v>27</v>
      </c>
      <c r="C416" s="37" t="s">
        <v>142</v>
      </c>
      <c r="D416" s="34" t="s">
        <v>175</v>
      </c>
      <c r="E416" s="34" t="e">
        <f>IF(B416="","",VLOOKUP($B416,#REF!,4,FALSE))</f>
        <v>#REF!</v>
      </c>
      <c r="F416" s="34" t="e">
        <f>IF(E416="","",VLOOKUP($B416,#REF!,5,FALSE))</f>
        <v>#REF!</v>
      </c>
      <c r="G416" s="34" t="e">
        <f>IF(F416="","",VLOOKUP($B416,#REF!,6,FALSE))</f>
        <v>#REF!</v>
      </c>
      <c r="H416" s="34" t="e">
        <f>IF(G416="","",VLOOKUP($B416,#REF!,7,FALSE))</f>
        <v>#REF!</v>
      </c>
      <c r="I416" s="25"/>
      <c r="J416" s="25">
        <v>0</v>
      </c>
      <c r="K416" s="25"/>
      <c r="L416" s="25"/>
      <c r="M416" s="25"/>
      <c r="N416" s="25"/>
      <c r="O416" s="33">
        <f t="shared" si="13"/>
        <v>0</v>
      </c>
      <c r="P416" s="25"/>
      <c r="Q416" s="25">
        <v>0</v>
      </c>
      <c r="R416" s="25"/>
      <c r="S416" s="25">
        <v>504</v>
      </c>
      <c r="T416" s="25"/>
      <c r="U416" s="25"/>
      <c r="V416" s="39"/>
      <c r="W416" s="25"/>
      <c r="X416" s="33">
        <f t="shared" si="12"/>
        <v>504</v>
      </c>
      <c r="Y416" s="39">
        <f>Z416/X416</f>
        <v>136011.28373015873</v>
      </c>
      <c r="Z416" s="39">
        <v>68549687</v>
      </c>
      <c r="AA416" s="45" t="s">
        <v>156</v>
      </c>
      <c r="AB416" s="45" t="s">
        <v>142</v>
      </c>
      <c r="AC416" s="45" t="s">
        <v>175</v>
      </c>
      <c r="AD416" s="45"/>
      <c r="AE416" s="45"/>
    </row>
    <row r="417" spans="1:31" s="12" customFormat="1" ht="12">
      <c r="A417" s="27">
        <v>45609</v>
      </c>
      <c r="B417" s="53" t="s">
        <v>27</v>
      </c>
      <c r="C417" s="37" t="s">
        <v>117</v>
      </c>
      <c r="D417" s="34" t="s">
        <v>225</v>
      </c>
      <c r="E417" s="34" t="e">
        <f>IF(B417="","",VLOOKUP($B417,#REF!,4,FALSE))</f>
        <v>#REF!</v>
      </c>
      <c r="F417" s="34" t="e">
        <f>IF(E417="","",VLOOKUP($B417,#REF!,5,FALSE))</f>
        <v>#REF!</v>
      </c>
      <c r="G417" s="34" t="e">
        <f>IF(F417="","",VLOOKUP($B417,#REF!,6,FALSE))</f>
        <v>#REF!</v>
      </c>
      <c r="H417" s="34" t="e">
        <f>IF(G417="","",VLOOKUP($B417,#REF!,7,FALSE))</f>
        <v>#REF!</v>
      </c>
      <c r="I417" s="25"/>
      <c r="J417" s="25">
        <v>504</v>
      </c>
      <c r="K417" s="25"/>
      <c r="L417" s="25"/>
      <c r="M417" s="25"/>
      <c r="N417" s="25"/>
      <c r="O417" s="33">
        <f t="shared" si="13"/>
        <v>504</v>
      </c>
      <c r="P417" s="25">
        <v>78000</v>
      </c>
      <c r="Q417" s="25">
        <v>39312000</v>
      </c>
      <c r="R417" s="25"/>
      <c r="S417" s="25">
        <v>0</v>
      </c>
      <c r="T417" s="25"/>
      <c r="U417" s="25"/>
      <c r="V417" s="39"/>
      <c r="W417" s="25"/>
      <c r="X417" s="33">
        <f t="shared" si="12"/>
        <v>0</v>
      </c>
      <c r="Y417" s="39"/>
      <c r="Z417" s="25">
        <v>0</v>
      </c>
      <c r="AA417" s="45"/>
      <c r="AB417" s="45"/>
      <c r="AC417" s="45"/>
      <c r="AD417" s="45"/>
      <c r="AE417" s="45"/>
    </row>
    <row r="418" spans="1:31" s="12" customFormat="1" ht="12">
      <c r="A418" s="27">
        <v>45609</v>
      </c>
      <c r="B418" s="53" t="s">
        <v>27</v>
      </c>
      <c r="C418" s="37" t="s">
        <v>142</v>
      </c>
      <c r="D418" s="34" t="s">
        <v>175</v>
      </c>
      <c r="E418" s="34" t="e">
        <f>IF(B418="","",VLOOKUP($B418,#REF!,4,FALSE))</f>
        <v>#REF!</v>
      </c>
      <c r="F418" s="34" t="e">
        <f>IF(E418="","",VLOOKUP($B418,#REF!,5,FALSE))</f>
        <v>#REF!</v>
      </c>
      <c r="G418" s="34" t="e">
        <f>IF(F418="","",VLOOKUP($B418,#REF!,6,FALSE))</f>
        <v>#REF!</v>
      </c>
      <c r="H418" s="34" t="e">
        <f>IF(G418="","",VLOOKUP($B418,#REF!,7,FALSE))</f>
        <v>#REF!</v>
      </c>
      <c r="I418" s="25"/>
      <c r="J418" s="25"/>
      <c r="K418" s="25"/>
      <c r="L418" s="25"/>
      <c r="M418" s="25"/>
      <c r="N418" s="25"/>
      <c r="O418" s="33">
        <f t="shared" si="13"/>
        <v>0</v>
      </c>
      <c r="P418" s="25"/>
      <c r="Q418" s="25">
        <v>0</v>
      </c>
      <c r="R418" s="25"/>
      <c r="S418" s="25">
        <v>504</v>
      </c>
      <c r="T418" s="25"/>
      <c r="U418" s="25"/>
      <c r="V418" s="39"/>
      <c r="W418" s="25"/>
      <c r="X418" s="33">
        <f t="shared" si="12"/>
        <v>504</v>
      </c>
      <c r="Y418" s="39">
        <f>Z418/X418</f>
        <v>136011.28373015873</v>
      </c>
      <c r="Z418" s="39">
        <v>68549687</v>
      </c>
      <c r="AA418" s="45" t="s">
        <v>156</v>
      </c>
      <c r="AB418" s="45" t="s">
        <v>142</v>
      </c>
      <c r="AC418" s="45" t="s">
        <v>175</v>
      </c>
      <c r="AD418" s="45"/>
      <c r="AE418" s="45"/>
    </row>
    <row r="419" spans="1:31" s="12" customFormat="1" ht="12">
      <c r="A419" s="27">
        <v>45609</v>
      </c>
      <c r="B419" s="53" t="s">
        <v>28</v>
      </c>
      <c r="C419" s="37" t="s">
        <v>82</v>
      </c>
      <c r="D419" s="34" t="s">
        <v>186</v>
      </c>
      <c r="E419" s="34" t="e">
        <f>IF(B419="","",VLOOKUP($B419,#REF!,4,FALSE))</f>
        <v>#REF!</v>
      </c>
      <c r="F419" s="34" t="e">
        <f>IF(E419="","",VLOOKUP($B419,#REF!,5,FALSE))</f>
        <v>#REF!</v>
      </c>
      <c r="G419" s="34" t="e">
        <f>IF(F419="","",VLOOKUP($B419,#REF!,6,FALSE))</f>
        <v>#REF!</v>
      </c>
      <c r="H419" s="34" t="e">
        <f>IF(G419="","",VLOOKUP($B419,#REF!,7,FALSE))</f>
        <v>#REF!</v>
      </c>
      <c r="I419" s="25"/>
      <c r="J419" s="25"/>
      <c r="K419" s="25"/>
      <c r="L419" s="25"/>
      <c r="M419" s="25"/>
      <c r="N419" s="25"/>
      <c r="O419" s="33">
        <f t="shared" si="13"/>
        <v>0</v>
      </c>
      <c r="P419" s="25"/>
      <c r="Q419" s="25">
        <v>0</v>
      </c>
      <c r="R419" s="25"/>
      <c r="S419" s="25"/>
      <c r="T419" s="25"/>
      <c r="U419" s="25"/>
      <c r="V419" s="39">
        <v>36</v>
      </c>
      <c r="W419" s="25"/>
      <c r="X419" s="33">
        <f t="shared" si="12"/>
        <v>36</v>
      </c>
      <c r="Y419" s="39">
        <v>186150</v>
      </c>
      <c r="Z419" s="25">
        <v>6701400</v>
      </c>
      <c r="AA419" s="45"/>
      <c r="AB419" s="45"/>
      <c r="AC419" s="45"/>
      <c r="AD419" s="45"/>
      <c r="AE419" s="45"/>
    </row>
    <row r="420" spans="1:31" s="12" customFormat="1" ht="12">
      <c r="A420" s="27">
        <v>45609</v>
      </c>
      <c r="B420" s="53" t="s">
        <v>211</v>
      </c>
      <c r="C420" s="37" t="s">
        <v>82</v>
      </c>
      <c r="D420" s="34" t="s">
        <v>186</v>
      </c>
      <c r="E420" s="34" t="e">
        <f>IF(B420="","",VLOOKUP($B420,#REF!,4,FALSE))</f>
        <v>#REF!</v>
      </c>
      <c r="F420" s="34" t="e">
        <f>IF(E420="","",VLOOKUP($B420,#REF!,5,FALSE))</f>
        <v>#REF!</v>
      </c>
      <c r="G420" s="34" t="e">
        <f>IF(F420="","",VLOOKUP($B420,#REF!,6,FALSE))</f>
        <v>#REF!</v>
      </c>
      <c r="H420" s="34" t="e">
        <f>IF(G420="","",VLOOKUP($B420,#REF!,7,FALSE))</f>
        <v>#REF!</v>
      </c>
      <c r="I420" s="25"/>
      <c r="J420" s="25"/>
      <c r="K420" s="25"/>
      <c r="L420" s="25"/>
      <c r="M420" s="25"/>
      <c r="N420" s="25"/>
      <c r="O420" s="33">
        <f t="shared" si="13"/>
        <v>0</v>
      </c>
      <c r="P420" s="25"/>
      <c r="Q420" s="25">
        <v>0</v>
      </c>
      <c r="R420" s="25"/>
      <c r="S420" s="25"/>
      <c r="T420" s="25"/>
      <c r="U420" s="25"/>
      <c r="V420" s="39">
        <v>180</v>
      </c>
      <c r="W420" s="25"/>
      <c r="X420" s="33">
        <f t="shared" si="12"/>
        <v>180</v>
      </c>
      <c r="Y420" s="39">
        <v>46020</v>
      </c>
      <c r="Z420" s="25">
        <v>8283600</v>
      </c>
      <c r="AA420" s="45"/>
      <c r="AB420" s="45"/>
      <c r="AC420" s="45"/>
      <c r="AD420" s="45"/>
      <c r="AE420" s="45"/>
    </row>
    <row r="421" spans="1:31" s="12" customFormat="1" ht="12">
      <c r="A421" s="27">
        <v>45609</v>
      </c>
      <c r="B421" s="73" t="s">
        <v>211</v>
      </c>
      <c r="C421" s="37" t="s">
        <v>82</v>
      </c>
      <c r="D421" s="34" t="s">
        <v>186</v>
      </c>
      <c r="E421" s="34" t="e">
        <f>IF(B421="","",VLOOKUP($B421,#REF!,4,FALSE))</f>
        <v>#REF!</v>
      </c>
      <c r="F421" s="34" t="e">
        <f>IF(E421="","",VLOOKUP($B421,#REF!,5,FALSE))</f>
        <v>#REF!</v>
      </c>
      <c r="G421" s="34" t="e">
        <f>IF(F421="","",VLOOKUP($B421,#REF!,6,FALSE))</f>
        <v>#REF!</v>
      </c>
      <c r="H421" s="34" t="e">
        <f>IF(G421="","",VLOOKUP($B421,#REF!,7,FALSE))</f>
        <v>#REF!</v>
      </c>
      <c r="I421" s="25"/>
      <c r="J421" s="25"/>
      <c r="K421" s="25"/>
      <c r="L421" s="25"/>
      <c r="M421" s="25"/>
      <c r="N421" s="25"/>
      <c r="O421" s="33">
        <f t="shared" si="13"/>
        <v>0</v>
      </c>
      <c r="P421" s="25"/>
      <c r="Q421" s="25">
        <v>0</v>
      </c>
      <c r="R421" s="25"/>
      <c r="S421" s="25"/>
      <c r="T421" s="25"/>
      <c r="U421" s="25"/>
      <c r="V421" s="39">
        <v>168</v>
      </c>
      <c r="W421" s="25"/>
      <c r="X421" s="33">
        <f t="shared" si="12"/>
        <v>168</v>
      </c>
      <c r="Y421" s="39">
        <v>46020</v>
      </c>
      <c r="Z421" s="25">
        <v>7731360</v>
      </c>
      <c r="AA421" s="45"/>
      <c r="AB421" s="45"/>
      <c r="AC421" s="45"/>
      <c r="AD421" s="45"/>
      <c r="AE421" s="45"/>
    </row>
    <row r="422" spans="1:31" s="12" customFormat="1" ht="12">
      <c r="A422" s="27">
        <v>45609</v>
      </c>
      <c r="B422" s="53" t="s">
        <v>211</v>
      </c>
      <c r="C422" s="37" t="s">
        <v>82</v>
      </c>
      <c r="D422" s="34" t="s">
        <v>186</v>
      </c>
      <c r="E422" s="34" t="e">
        <f>IF(B422="","",VLOOKUP($B422,#REF!,4,FALSE))</f>
        <v>#REF!</v>
      </c>
      <c r="F422" s="34" t="e">
        <f>IF(E422="","",VLOOKUP($B422,#REF!,5,FALSE))</f>
        <v>#REF!</v>
      </c>
      <c r="G422" s="34" t="e">
        <f>IF(F422="","",VLOOKUP($B422,#REF!,6,FALSE))</f>
        <v>#REF!</v>
      </c>
      <c r="H422" s="34" t="e">
        <f>IF(G422="","",VLOOKUP($B422,#REF!,7,FALSE))</f>
        <v>#REF!</v>
      </c>
      <c r="I422" s="25"/>
      <c r="J422" s="25"/>
      <c r="K422" s="25"/>
      <c r="L422" s="25"/>
      <c r="M422" s="25"/>
      <c r="N422" s="25"/>
      <c r="O422" s="33">
        <f t="shared" si="13"/>
        <v>0</v>
      </c>
      <c r="P422" s="25"/>
      <c r="Q422" s="25">
        <v>0</v>
      </c>
      <c r="R422" s="25"/>
      <c r="S422" s="25"/>
      <c r="T422" s="25"/>
      <c r="U422" s="25"/>
      <c r="V422" s="39">
        <v>180</v>
      </c>
      <c r="W422" s="25"/>
      <c r="X422" s="33">
        <f t="shared" si="12"/>
        <v>180</v>
      </c>
      <c r="Y422" s="39">
        <v>46020</v>
      </c>
      <c r="Z422" s="25">
        <v>8283600</v>
      </c>
      <c r="AA422" s="45"/>
      <c r="AB422" s="45"/>
      <c r="AC422" s="45"/>
      <c r="AD422" s="45"/>
      <c r="AE422" s="45"/>
    </row>
    <row r="423" spans="1:31" s="12" customFormat="1" ht="12">
      <c r="A423" s="27">
        <v>45609</v>
      </c>
      <c r="B423" s="28" t="s">
        <v>211</v>
      </c>
      <c r="C423" s="37" t="s">
        <v>82</v>
      </c>
      <c r="D423" s="34" t="s">
        <v>186</v>
      </c>
      <c r="E423" s="34" t="e">
        <f>IF(B423="","",VLOOKUP($B423,#REF!,4,FALSE))</f>
        <v>#REF!</v>
      </c>
      <c r="F423" s="34" t="e">
        <f>IF(E423="","",VLOOKUP($B423,#REF!,5,FALSE))</f>
        <v>#REF!</v>
      </c>
      <c r="G423" s="34" t="e">
        <f>IF(F423="","",VLOOKUP($B423,#REF!,6,FALSE))</f>
        <v>#REF!</v>
      </c>
      <c r="H423" s="34" t="e">
        <f>IF(G423="","",VLOOKUP($B423,#REF!,7,FALSE))</f>
        <v>#REF!</v>
      </c>
      <c r="I423" s="25"/>
      <c r="J423" s="25"/>
      <c r="K423" s="25"/>
      <c r="L423" s="25"/>
      <c r="M423" s="25"/>
      <c r="N423" s="25"/>
      <c r="O423" s="33">
        <f t="shared" si="13"/>
        <v>0</v>
      </c>
      <c r="P423" s="25"/>
      <c r="Q423" s="25">
        <v>0</v>
      </c>
      <c r="R423" s="25"/>
      <c r="S423" s="25"/>
      <c r="T423" s="25"/>
      <c r="U423" s="25"/>
      <c r="V423" s="39">
        <v>48</v>
      </c>
      <c r="W423" s="25"/>
      <c r="X423" s="33">
        <f t="shared" si="12"/>
        <v>48</v>
      </c>
      <c r="Y423" s="39">
        <v>46020</v>
      </c>
      <c r="Z423" s="25">
        <v>2208960</v>
      </c>
      <c r="AA423" s="45"/>
      <c r="AB423" s="45"/>
      <c r="AC423" s="45"/>
      <c r="AD423" s="45"/>
      <c r="AE423" s="45"/>
    </row>
    <row r="424" spans="1:31" s="12" customFormat="1" ht="12">
      <c r="A424" s="27">
        <v>45609</v>
      </c>
      <c r="B424" s="73" t="s">
        <v>57</v>
      </c>
      <c r="C424" s="37" t="s">
        <v>82</v>
      </c>
      <c r="D424" s="34" t="s">
        <v>186</v>
      </c>
      <c r="E424" s="34" t="e">
        <f>IF(B424="","",VLOOKUP($B424,#REF!,4,FALSE))</f>
        <v>#REF!</v>
      </c>
      <c r="F424" s="34" t="e">
        <f>IF(E424="","",VLOOKUP($B424,#REF!,5,FALSE))</f>
        <v>#REF!</v>
      </c>
      <c r="G424" s="34" t="e">
        <f>IF(F424="","",VLOOKUP($B424,#REF!,6,FALSE))</f>
        <v>#REF!</v>
      </c>
      <c r="H424" s="34" t="e">
        <f>IF(G424="","",VLOOKUP($B424,#REF!,7,FALSE))</f>
        <v>#REF!</v>
      </c>
      <c r="I424" s="25"/>
      <c r="J424" s="25"/>
      <c r="K424" s="25"/>
      <c r="L424" s="25"/>
      <c r="M424" s="25"/>
      <c r="N424" s="25"/>
      <c r="O424" s="33">
        <f t="shared" si="13"/>
        <v>0</v>
      </c>
      <c r="P424" s="25"/>
      <c r="Q424" s="25">
        <v>0</v>
      </c>
      <c r="R424" s="25"/>
      <c r="S424" s="25"/>
      <c r="T424" s="25"/>
      <c r="U424" s="25"/>
      <c r="V424" s="39">
        <v>96</v>
      </c>
      <c r="W424" s="25"/>
      <c r="X424" s="33">
        <f t="shared" si="12"/>
        <v>96</v>
      </c>
      <c r="Y424" s="39">
        <v>163800</v>
      </c>
      <c r="Z424" s="25">
        <v>15724800</v>
      </c>
      <c r="AA424" s="45"/>
      <c r="AB424" s="45"/>
      <c r="AC424" s="45"/>
      <c r="AD424" s="45"/>
      <c r="AE424" s="45"/>
    </row>
    <row r="425" spans="1:31" s="12" customFormat="1" ht="12">
      <c r="A425" s="27">
        <v>45609</v>
      </c>
      <c r="B425" s="28" t="s">
        <v>24</v>
      </c>
      <c r="C425" s="37" t="s">
        <v>82</v>
      </c>
      <c r="D425" s="34" t="s">
        <v>186</v>
      </c>
      <c r="E425" s="34" t="e">
        <f>IF(B425="","",VLOOKUP($B425,#REF!,4,FALSE))</f>
        <v>#REF!</v>
      </c>
      <c r="F425" s="34" t="e">
        <f>IF(E425="","",VLOOKUP($B425,#REF!,5,FALSE))</f>
        <v>#REF!</v>
      </c>
      <c r="G425" s="34" t="e">
        <f>IF(F425="","",VLOOKUP($B425,#REF!,6,FALSE))</f>
        <v>#REF!</v>
      </c>
      <c r="H425" s="34" t="e">
        <f>IF(G425="","",VLOOKUP($B425,#REF!,7,FALSE))</f>
        <v>#REF!</v>
      </c>
      <c r="I425" s="25"/>
      <c r="J425" s="25"/>
      <c r="K425" s="25"/>
      <c r="L425" s="25"/>
      <c r="M425" s="25"/>
      <c r="N425" s="25"/>
      <c r="O425" s="33">
        <f t="shared" si="13"/>
        <v>0</v>
      </c>
      <c r="P425" s="25"/>
      <c r="Q425" s="25">
        <v>0</v>
      </c>
      <c r="R425" s="25"/>
      <c r="S425" s="25"/>
      <c r="T425" s="25"/>
      <c r="U425" s="25"/>
      <c r="V425" s="39">
        <v>144</v>
      </c>
      <c r="W425" s="25"/>
      <c r="X425" s="33">
        <f t="shared" si="12"/>
        <v>144</v>
      </c>
      <c r="Y425" s="39">
        <v>124920</v>
      </c>
      <c r="Z425" s="25">
        <v>17988480</v>
      </c>
      <c r="AA425" s="45"/>
      <c r="AB425" s="45"/>
      <c r="AC425" s="45"/>
      <c r="AD425" s="45"/>
      <c r="AE425" s="45"/>
    </row>
    <row r="426" spans="1:31" s="12" customFormat="1" ht="12">
      <c r="A426" s="27">
        <v>45609</v>
      </c>
      <c r="B426" s="28" t="s">
        <v>28</v>
      </c>
      <c r="C426" s="37" t="s">
        <v>82</v>
      </c>
      <c r="D426" s="34" t="s">
        <v>186</v>
      </c>
      <c r="E426" s="34" t="e">
        <f>IF(B426="","",VLOOKUP($B426,#REF!,4,FALSE))</f>
        <v>#REF!</v>
      </c>
      <c r="F426" s="34" t="e">
        <f>IF(E426="","",VLOOKUP($B426,#REF!,5,FALSE))</f>
        <v>#REF!</v>
      </c>
      <c r="G426" s="34" t="e">
        <f>IF(F426="","",VLOOKUP($B426,#REF!,6,FALSE))</f>
        <v>#REF!</v>
      </c>
      <c r="H426" s="34" t="e">
        <f>IF(G426="","",VLOOKUP($B426,#REF!,7,FALSE))</f>
        <v>#REF!</v>
      </c>
      <c r="I426" s="25"/>
      <c r="J426" s="25"/>
      <c r="K426" s="25"/>
      <c r="L426" s="25"/>
      <c r="M426" s="25"/>
      <c r="N426" s="25"/>
      <c r="O426" s="33">
        <f t="shared" si="13"/>
        <v>0</v>
      </c>
      <c r="P426" s="25"/>
      <c r="Q426" s="25">
        <v>0</v>
      </c>
      <c r="R426" s="25"/>
      <c r="S426" s="25"/>
      <c r="T426" s="25"/>
      <c r="U426" s="25"/>
      <c r="V426" s="39">
        <v>36</v>
      </c>
      <c r="W426" s="25"/>
      <c r="X426" s="33">
        <f t="shared" si="12"/>
        <v>36</v>
      </c>
      <c r="Y426" s="39">
        <v>186150</v>
      </c>
      <c r="Z426" s="25">
        <v>6701400</v>
      </c>
      <c r="AA426" s="45"/>
      <c r="AB426" s="45"/>
      <c r="AC426" s="45"/>
      <c r="AD426" s="45"/>
      <c r="AE426" s="45"/>
    </row>
    <row r="427" spans="1:31" s="12" customFormat="1" ht="12">
      <c r="A427" s="27">
        <v>45609</v>
      </c>
      <c r="B427" s="28" t="s">
        <v>160</v>
      </c>
      <c r="C427" s="37" t="s">
        <v>82</v>
      </c>
      <c r="D427" s="34" t="s">
        <v>186</v>
      </c>
      <c r="E427" s="34" t="e">
        <f>IF(B427="","",VLOOKUP($B427,#REF!,4,FALSE))</f>
        <v>#REF!</v>
      </c>
      <c r="F427" s="34" t="e">
        <f>IF(E427="","",VLOOKUP($B427,#REF!,5,FALSE))</f>
        <v>#REF!</v>
      </c>
      <c r="G427" s="34" t="e">
        <f>IF(F427="","",VLOOKUP($B427,#REF!,6,FALSE))</f>
        <v>#REF!</v>
      </c>
      <c r="H427" s="34" t="e">
        <f>IF(G427="","",VLOOKUP($B427,#REF!,7,FALSE))</f>
        <v>#REF!</v>
      </c>
      <c r="I427" s="25"/>
      <c r="J427" s="25"/>
      <c r="K427" s="25"/>
      <c r="L427" s="25"/>
      <c r="M427" s="25"/>
      <c r="N427" s="25"/>
      <c r="O427" s="33">
        <f t="shared" si="13"/>
        <v>0</v>
      </c>
      <c r="P427" s="25"/>
      <c r="Q427" s="25">
        <v>0</v>
      </c>
      <c r="R427" s="25"/>
      <c r="S427" s="25"/>
      <c r="T427" s="25"/>
      <c r="U427" s="25"/>
      <c r="V427" s="39">
        <v>192</v>
      </c>
      <c r="W427" s="25"/>
      <c r="X427" s="33">
        <f t="shared" si="12"/>
        <v>192</v>
      </c>
      <c r="Y427" s="39">
        <v>100300</v>
      </c>
      <c r="Z427" s="25">
        <v>19257600</v>
      </c>
      <c r="AA427" s="45"/>
      <c r="AB427" s="45"/>
      <c r="AC427" s="45"/>
      <c r="AD427" s="45"/>
      <c r="AE427" s="45"/>
    </row>
    <row r="428" spans="1:31" s="12" customFormat="1" ht="12">
      <c r="A428" s="27">
        <v>45609</v>
      </c>
      <c r="B428" s="29" t="s">
        <v>21</v>
      </c>
      <c r="C428" s="37" t="s">
        <v>82</v>
      </c>
      <c r="D428" s="34" t="s">
        <v>186</v>
      </c>
      <c r="E428" s="34" t="e">
        <f>IF(B428="","",VLOOKUP($B428,#REF!,4,FALSE))</f>
        <v>#REF!</v>
      </c>
      <c r="F428" s="34" t="e">
        <f>IF(E428="","",VLOOKUP($B428,#REF!,5,FALSE))</f>
        <v>#REF!</v>
      </c>
      <c r="G428" s="34" t="e">
        <f>IF(F428="","",VLOOKUP($B428,#REF!,6,FALSE))</f>
        <v>#REF!</v>
      </c>
      <c r="H428" s="34" t="e">
        <f>IF(G428="","",VLOOKUP($B428,#REF!,7,FALSE))</f>
        <v>#REF!</v>
      </c>
      <c r="I428" s="25"/>
      <c r="J428" s="25"/>
      <c r="K428" s="25"/>
      <c r="L428" s="25"/>
      <c r="M428" s="25"/>
      <c r="N428" s="25"/>
      <c r="O428" s="33">
        <f t="shared" si="13"/>
        <v>0</v>
      </c>
      <c r="P428" s="25"/>
      <c r="Q428" s="25">
        <v>0</v>
      </c>
      <c r="R428" s="25"/>
      <c r="S428" s="25"/>
      <c r="T428" s="25"/>
      <c r="U428" s="25"/>
      <c r="V428" s="39">
        <v>120</v>
      </c>
      <c r="W428" s="25"/>
      <c r="X428" s="33">
        <f t="shared" si="12"/>
        <v>120</v>
      </c>
      <c r="Y428" s="39">
        <v>81800</v>
      </c>
      <c r="Z428" s="25">
        <v>9816000</v>
      </c>
      <c r="AA428" s="45"/>
      <c r="AB428" s="45"/>
      <c r="AC428" s="45"/>
      <c r="AD428" s="45"/>
      <c r="AE428" s="45"/>
    </row>
    <row r="429" spans="1:31" s="12" customFormat="1" ht="12">
      <c r="A429" s="27">
        <v>45609</v>
      </c>
      <c r="B429" s="53" t="s">
        <v>59</v>
      </c>
      <c r="C429" s="37" t="s">
        <v>82</v>
      </c>
      <c r="D429" s="34" t="s">
        <v>186</v>
      </c>
      <c r="E429" s="34" t="e">
        <f>IF(B429="","",VLOOKUP($B429,#REF!,4,FALSE))</f>
        <v>#REF!</v>
      </c>
      <c r="F429" s="34" t="e">
        <f>IF(E429="","",VLOOKUP($B429,#REF!,5,FALSE))</f>
        <v>#REF!</v>
      </c>
      <c r="G429" s="34" t="e">
        <f>IF(F429="","",VLOOKUP($B429,#REF!,6,FALSE))</f>
        <v>#REF!</v>
      </c>
      <c r="H429" s="34" t="e">
        <f>IF(G429="","",VLOOKUP($B429,#REF!,7,FALSE))</f>
        <v>#REF!</v>
      </c>
      <c r="I429" s="25"/>
      <c r="J429" s="25"/>
      <c r="K429" s="25"/>
      <c r="L429" s="25"/>
      <c r="M429" s="25"/>
      <c r="N429" s="25"/>
      <c r="O429" s="33">
        <f t="shared" si="13"/>
        <v>0</v>
      </c>
      <c r="P429" s="25"/>
      <c r="Q429" s="25">
        <v>0</v>
      </c>
      <c r="R429" s="25"/>
      <c r="S429" s="25"/>
      <c r="T429" s="25"/>
      <c r="U429" s="25"/>
      <c r="V429" s="39">
        <v>3</v>
      </c>
      <c r="W429" s="25"/>
      <c r="X429" s="33">
        <f t="shared" si="12"/>
        <v>3</v>
      </c>
      <c r="Y429" s="39">
        <v>140000</v>
      </c>
      <c r="Z429" s="25">
        <v>420000</v>
      </c>
      <c r="AA429" s="45"/>
      <c r="AB429" s="45"/>
      <c r="AC429" s="45"/>
      <c r="AD429" s="45"/>
      <c r="AE429" s="45"/>
    </row>
    <row r="430" spans="1:31" s="12" customFormat="1" ht="12">
      <c r="A430" s="27">
        <v>45609</v>
      </c>
      <c r="B430" s="53" t="s">
        <v>203</v>
      </c>
      <c r="C430" s="37" t="s">
        <v>82</v>
      </c>
      <c r="D430" s="34" t="s">
        <v>186</v>
      </c>
      <c r="E430" s="34" t="e">
        <f>IF(B430="","",VLOOKUP($B430,#REF!,4,FALSE))</f>
        <v>#REF!</v>
      </c>
      <c r="F430" s="34" t="e">
        <f>IF(E430="","",VLOOKUP($B430,#REF!,5,FALSE))</f>
        <v>#REF!</v>
      </c>
      <c r="G430" s="34" t="e">
        <f>IF(F430="","",VLOOKUP($B430,#REF!,6,FALSE))</f>
        <v>#REF!</v>
      </c>
      <c r="H430" s="34" t="e">
        <f>IF(G430="","",VLOOKUP($B430,#REF!,7,FALSE))</f>
        <v>#REF!</v>
      </c>
      <c r="I430" s="25"/>
      <c r="J430" s="25"/>
      <c r="K430" s="25"/>
      <c r="L430" s="25"/>
      <c r="M430" s="25"/>
      <c r="N430" s="25"/>
      <c r="O430" s="33">
        <f t="shared" si="13"/>
        <v>0</v>
      </c>
      <c r="P430" s="25"/>
      <c r="Q430" s="25">
        <v>0</v>
      </c>
      <c r="R430" s="25"/>
      <c r="S430" s="25"/>
      <c r="T430" s="25"/>
      <c r="U430" s="25"/>
      <c r="V430" s="39">
        <v>6</v>
      </c>
      <c r="W430" s="25"/>
      <c r="X430" s="33">
        <f t="shared" si="12"/>
        <v>6</v>
      </c>
      <c r="Y430" s="39">
        <v>238000</v>
      </c>
      <c r="Z430" s="25">
        <v>1428000</v>
      </c>
      <c r="AA430" s="45"/>
      <c r="AB430" s="45"/>
      <c r="AC430" s="45"/>
      <c r="AD430" s="45"/>
      <c r="AE430" s="45"/>
    </row>
    <row r="431" spans="1:31" s="12" customFormat="1" ht="12">
      <c r="A431" s="27">
        <v>45609</v>
      </c>
      <c r="B431" s="20" t="s">
        <v>48</v>
      </c>
      <c r="C431" s="37" t="s">
        <v>82</v>
      </c>
      <c r="D431" s="34" t="s">
        <v>186</v>
      </c>
      <c r="E431" s="34" t="e">
        <f>IF(B431="","",VLOOKUP($B431,#REF!,4,FALSE))</f>
        <v>#REF!</v>
      </c>
      <c r="F431" s="34" t="e">
        <f>IF(E431="","",VLOOKUP($B431,#REF!,5,FALSE))</f>
        <v>#REF!</v>
      </c>
      <c r="G431" s="34" t="e">
        <f>IF(F431="","",VLOOKUP($B431,#REF!,6,FALSE))</f>
        <v>#REF!</v>
      </c>
      <c r="H431" s="34" t="e">
        <f>IF(G431="","",VLOOKUP($B431,#REF!,7,FALSE))</f>
        <v>#REF!</v>
      </c>
      <c r="I431" s="25"/>
      <c r="J431" s="25"/>
      <c r="K431" s="25"/>
      <c r="L431" s="25"/>
      <c r="M431" s="25"/>
      <c r="N431" s="25"/>
      <c r="O431" s="33">
        <f t="shared" si="13"/>
        <v>0</v>
      </c>
      <c r="P431" s="25"/>
      <c r="Q431" s="25">
        <v>0</v>
      </c>
      <c r="R431" s="25"/>
      <c r="S431" s="25"/>
      <c r="T431" s="25"/>
      <c r="U431" s="25"/>
      <c r="V431" s="39">
        <v>3</v>
      </c>
      <c r="W431" s="25"/>
      <c r="X431" s="33">
        <f t="shared" si="12"/>
        <v>3</v>
      </c>
      <c r="Y431" s="39">
        <v>64500</v>
      </c>
      <c r="Z431" s="25">
        <v>193500</v>
      </c>
      <c r="AA431" s="45"/>
      <c r="AB431" s="45"/>
      <c r="AC431" s="45"/>
      <c r="AD431" s="45"/>
      <c r="AE431" s="45"/>
    </row>
    <row r="432" spans="1:31" s="12" customFormat="1" ht="12">
      <c r="A432" s="27">
        <v>45609</v>
      </c>
      <c r="B432" s="53" t="s">
        <v>15</v>
      </c>
      <c r="C432" s="37" t="s">
        <v>83</v>
      </c>
      <c r="D432" s="34" t="s">
        <v>185</v>
      </c>
      <c r="E432" s="34" t="e">
        <f>IF(B432="","",VLOOKUP($B432,#REF!,4,FALSE))</f>
        <v>#REF!</v>
      </c>
      <c r="F432" s="34" t="e">
        <f>IF(E432="","",VLOOKUP($B432,#REF!,5,FALSE))</f>
        <v>#REF!</v>
      </c>
      <c r="G432" s="34" t="e">
        <f>IF(F432="","",VLOOKUP($B432,#REF!,6,FALSE))</f>
        <v>#REF!</v>
      </c>
      <c r="H432" s="34" t="e">
        <f>IF(G432="","",VLOOKUP($B432,#REF!,7,FALSE))</f>
        <v>#REF!</v>
      </c>
      <c r="I432" s="25"/>
      <c r="J432" s="25"/>
      <c r="K432" s="25"/>
      <c r="L432" s="25"/>
      <c r="M432" s="25"/>
      <c r="N432" s="25"/>
      <c r="O432" s="33">
        <f t="shared" si="13"/>
        <v>0</v>
      </c>
      <c r="P432" s="25"/>
      <c r="Q432" s="25">
        <v>0</v>
      </c>
      <c r="R432" s="25"/>
      <c r="S432" s="25"/>
      <c r="T432" s="25">
        <v>8</v>
      </c>
      <c r="U432" s="25"/>
      <c r="V432" s="39"/>
      <c r="W432" s="25"/>
      <c r="X432" s="33">
        <f t="shared" si="12"/>
        <v>8</v>
      </c>
      <c r="Y432" s="39"/>
      <c r="Z432" s="25">
        <v>0</v>
      </c>
      <c r="AA432" s="45"/>
      <c r="AB432" s="45"/>
      <c r="AC432" s="45"/>
      <c r="AD432" s="45"/>
      <c r="AE432" s="45"/>
    </row>
    <row r="433" spans="1:31" s="12" customFormat="1" ht="12">
      <c r="A433" s="27">
        <v>45609</v>
      </c>
      <c r="B433" s="53" t="s">
        <v>232</v>
      </c>
      <c r="C433" s="37" t="s">
        <v>82</v>
      </c>
      <c r="D433" s="34" t="s">
        <v>186</v>
      </c>
      <c r="E433" s="34" t="e">
        <f>IF(B433="","",VLOOKUP($B433,#REF!,4,FALSE))</f>
        <v>#REF!</v>
      </c>
      <c r="F433" s="34" t="e">
        <f>IF(E433="","",VLOOKUP($B433,#REF!,5,FALSE))</f>
        <v>#REF!</v>
      </c>
      <c r="G433" s="34" t="e">
        <f>IF(F433="","",VLOOKUP($B433,#REF!,6,FALSE))</f>
        <v>#REF!</v>
      </c>
      <c r="H433" s="34" t="e">
        <f>IF(G433="","",VLOOKUP($B433,#REF!,7,FALSE))</f>
        <v>#REF!</v>
      </c>
      <c r="I433" s="25"/>
      <c r="J433" s="25"/>
      <c r="K433" s="25"/>
      <c r="L433" s="25"/>
      <c r="M433" s="25">
        <v>8</v>
      </c>
      <c r="N433" s="25"/>
      <c r="O433" s="33">
        <f t="shared" si="13"/>
        <v>8</v>
      </c>
      <c r="P433" s="25"/>
      <c r="Q433" s="25">
        <v>0</v>
      </c>
      <c r="R433" s="25"/>
      <c r="S433" s="25"/>
      <c r="T433" s="25"/>
      <c r="U433" s="25"/>
      <c r="V433" s="39">
        <v>8</v>
      </c>
      <c r="W433" s="25"/>
      <c r="X433" s="33">
        <f t="shared" si="12"/>
        <v>8</v>
      </c>
      <c r="Y433" s="39">
        <v>59760</v>
      </c>
      <c r="Z433" s="25">
        <v>478080</v>
      </c>
      <c r="AA433" s="45"/>
      <c r="AB433" s="45"/>
      <c r="AC433" s="45"/>
      <c r="AD433" s="45"/>
      <c r="AE433" s="45"/>
    </row>
    <row r="434" spans="1:31" s="12" customFormat="1" ht="12">
      <c r="A434" s="27">
        <v>45609</v>
      </c>
      <c r="B434" s="53" t="s">
        <v>211</v>
      </c>
      <c r="C434" s="37" t="s">
        <v>82</v>
      </c>
      <c r="D434" s="34" t="s">
        <v>186</v>
      </c>
      <c r="E434" s="34" t="e">
        <f>IF(B434="","",VLOOKUP($B434,#REF!,4,FALSE))</f>
        <v>#REF!</v>
      </c>
      <c r="F434" s="34" t="e">
        <f>IF(E434="","",VLOOKUP($B434,#REF!,5,FALSE))</f>
        <v>#REF!</v>
      </c>
      <c r="G434" s="34" t="e">
        <f>IF(F434="","",VLOOKUP($B434,#REF!,6,FALSE))</f>
        <v>#REF!</v>
      </c>
      <c r="H434" s="34" t="e">
        <f>IF(G434="","",VLOOKUP($B434,#REF!,7,FALSE))</f>
        <v>#REF!</v>
      </c>
      <c r="I434" s="25"/>
      <c r="J434" s="25"/>
      <c r="K434" s="25"/>
      <c r="L434" s="25"/>
      <c r="M434" s="25"/>
      <c r="N434" s="25"/>
      <c r="O434" s="33">
        <f t="shared" si="13"/>
        <v>0</v>
      </c>
      <c r="P434" s="25"/>
      <c r="Q434" s="25">
        <v>0</v>
      </c>
      <c r="R434" s="25"/>
      <c r="S434" s="25"/>
      <c r="T434" s="25"/>
      <c r="U434" s="25"/>
      <c r="V434" s="39">
        <v>12</v>
      </c>
      <c r="W434" s="25"/>
      <c r="X434" s="33">
        <f t="shared" si="12"/>
        <v>12</v>
      </c>
      <c r="Y434" s="39">
        <v>44502</v>
      </c>
      <c r="Z434" s="25">
        <v>534024</v>
      </c>
      <c r="AA434" s="45"/>
      <c r="AB434" s="45"/>
      <c r="AC434" s="45"/>
      <c r="AD434" s="45"/>
      <c r="AE434" s="45"/>
    </row>
    <row r="435" spans="1:31" s="12" customFormat="1" ht="12">
      <c r="A435" s="27">
        <v>45609</v>
      </c>
      <c r="B435" s="53" t="s">
        <v>15</v>
      </c>
      <c r="C435" s="37" t="s">
        <v>83</v>
      </c>
      <c r="D435" s="34" t="s">
        <v>185</v>
      </c>
      <c r="E435" s="34" t="e">
        <f>IF(B435="","",VLOOKUP($B435,#REF!,4,FALSE))</f>
        <v>#REF!</v>
      </c>
      <c r="F435" s="34" t="e">
        <f>IF(E435="","",VLOOKUP($B435,#REF!,5,FALSE))</f>
        <v>#REF!</v>
      </c>
      <c r="G435" s="34" t="e">
        <f>IF(F435="","",VLOOKUP($B435,#REF!,6,FALSE))</f>
        <v>#REF!</v>
      </c>
      <c r="H435" s="34" t="e">
        <f>IF(G435="","",VLOOKUP($B435,#REF!,7,FALSE))</f>
        <v>#REF!</v>
      </c>
      <c r="I435" s="25"/>
      <c r="J435" s="25"/>
      <c r="K435" s="25"/>
      <c r="L435" s="25"/>
      <c r="M435" s="25"/>
      <c r="N435" s="25"/>
      <c r="O435" s="33">
        <f t="shared" si="13"/>
        <v>0</v>
      </c>
      <c r="P435" s="25"/>
      <c r="Q435" s="25">
        <v>0</v>
      </c>
      <c r="R435" s="25"/>
      <c r="S435" s="25"/>
      <c r="T435" s="25">
        <v>5</v>
      </c>
      <c r="U435" s="25"/>
      <c r="V435" s="39"/>
      <c r="W435" s="25"/>
      <c r="X435" s="33">
        <f t="shared" si="12"/>
        <v>5</v>
      </c>
      <c r="Y435" s="39">
        <v>69600</v>
      </c>
      <c r="Z435" s="25">
        <v>348000</v>
      </c>
      <c r="AA435" s="45"/>
      <c r="AB435" s="45"/>
      <c r="AC435" s="45"/>
      <c r="AD435" s="45"/>
      <c r="AE435" s="45"/>
    </row>
    <row r="436" spans="1:31" s="12" customFormat="1" ht="12">
      <c r="A436" s="27">
        <v>45609</v>
      </c>
      <c r="B436" s="53" t="s">
        <v>38</v>
      </c>
      <c r="C436" s="37" t="s">
        <v>83</v>
      </c>
      <c r="D436" s="34" t="s">
        <v>185</v>
      </c>
      <c r="E436" s="34" t="e">
        <f>IF(B436="","",VLOOKUP($B436,#REF!,4,FALSE))</f>
        <v>#REF!</v>
      </c>
      <c r="F436" s="34" t="e">
        <f>IF(E436="","",VLOOKUP($B436,#REF!,5,FALSE))</f>
        <v>#REF!</v>
      </c>
      <c r="G436" s="34" t="e">
        <f>IF(F436="","",VLOOKUP($B436,#REF!,6,FALSE))</f>
        <v>#REF!</v>
      </c>
      <c r="H436" s="34" t="e">
        <f>IF(G436="","",VLOOKUP($B436,#REF!,7,FALSE))</f>
        <v>#REF!</v>
      </c>
      <c r="I436" s="25"/>
      <c r="J436" s="25"/>
      <c r="K436" s="25"/>
      <c r="L436" s="25"/>
      <c r="M436" s="25"/>
      <c r="N436" s="25"/>
      <c r="O436" s="33">
        <f t="shared" si="13"/>
        <v>0</v>
      </c>
      <c r="P436" s="25"/>
      <c r="Q436" s="25">
        <v>0</v>
      </c>
      <c r="R436" s="25"/>
      <c r="S436" s="25"/>
      <c r="T436" s="25">
        <v>23</v>
      </c>
      <c r="U436" s="25"/>
      <c r="V436" s="39"/>
      <c r="W436" s="25"/>
      <c r="X436" s="33">
        <f t="shared" si="12"/>
        <v>23</v>
      </c>
      <c r="Y436" s="39">
        <v>54600</v>
      </c>
      <c r="Z436" s="25">
        <v>1255800</v>
      </c>
      <c r="AA436" s="45"/>
      <c r="AB436" s="45"/>
      <c r="AC436" s="45"/>
      <c r="AD436" s="45"/>
      <c r="AE436" s="45"/>
    </row>
    <row r="437" spans="1:31" s="12" customFormat="1" ht="12">
      <c r="A437" s="27">
        <v>45609</v>
      </c>
      <c r="B437" s="53" t="s">
        <v>23</v>
      </c>
      <c r="C437" s="37" t="s">
        <v>83</v>
      </c>
      <c r="D437" s="34" t="s">
        <v>185</v>
      </c>
      <c r="E437" s="34" t="e">
        <f>IF(B437="","",VLOOKUP($B437,#REF!,4,FALSE))</f>
        <v>#REF!</v>
      </c>
      <c r="F437" s="34" t="e">
        <f>IF(E437="","",VLOOKUP($B437,#REF!,5,FALSE))</f>
        <v>#REF!</v>
      </c>
      <c r="G437" s="34" t="e">
        <f>IF(F437="","",VLOOKUP($B437,#REF!,6,FALSE))</f>
        <v>#REF!</v>
      </c>
      <c r="H437" s="34" t="e">
        <f>IF(G437="","",VLOOKUP($B437,#REF!,7,FALSE))</f>
        <v>#REF!</v>
      </c>
      <c r="I437" s="25"/>
      <c r="J437" s="25"/>
      <c r="K437" s="25"/>
      <c r="L437" s="25"/>
      <c r="M437" s="25"/>
      <c r="N437" s="25"/>
      <c r="O437" s="33">
        <f t="shared" si="13"/>
        <v>0</v>
      </c>
      <c r="P437" s="25"/>
      <c r="Q437" s="25">
        <v>0</v>
      </c>
      <c r="R437" s="25"/>
      <c r="S437" s="25"/>
      <c r="T437" s="25">
        <v>15</v>
      </c>
      <c r="U437" s="25"/>
      <c r="V437" s="39"/>
      <c r="W437" s="25"/>
      <c r="X437" s="33">
        <f t="shared" si="12"/>
        <v>15</v>
      </c>
      <c r="Y437" s="39">
        <v>46080</v>
      </c>
      <c r="Z437" s="25">
        <v>691200</v>
      </c>
      <c r="AA437" s="45"/>
      <c r="AB437" s="45"/>
      <c r="AC437" s="45"/>
      <c r="AD437" s="45"/>
      <c r="AE437" s="45"/>
    </row>
    <row r="438" spans="1:31" s="12" customFormat="1" ht="12">
      <c r="A438" s="27">
        <v>45609</v>
      </c>
      <c r="B438" s="75" t="s">
        <v>61</v>
      </c>
      <c r="C438" s="37" t="s">
        <v>83</v>
      </c>
      <c r="D438" s="34" t="s">
        <v>185</v>
      </c>
      <c r="E438" s="34" t="e">
        <f>IF(B438="","",VLOOKUP($B438,#REF!,4,FALSE))</f>
        <v>#REF!</v>
      </c>
      <c r="F438" s="34" t="e">
        <f>IF(E438="","",VLOOKUP($B438,#REF!,5,FALSE))</f>
        <v>#REF!</v>
      </c>
      <c r="G438" s="34" t="e">
        <f>IF(F438="","",VLOOKUP($B438,#REF!,6,FALSE))</f>
        <v>#REF!</v>
      </c>
      <c r="H438" s="34" t="e">
        <f>IF(G438="","",VLOOKUP($B438,#REF!,7,FALSE))</f>
        <v>#REF!</v>
      </c>
      <c r="I438" s="25"/>
      <c r="J438" s="25"/>
      <c r="K438" s="25"/>
      <c r="L438" s="25"/>
      <c r="M438" s="25"/>
      <c r="N438" s="25"/>
      <c r="O438" s="33">
        <f t="shared" si="13"/>
        <v>0</v>
      </c>
      <c r="P438" s="25"/>
      <c r="Q438" s="25">
        <v>0</v>
      </c>
      <c r="R438" s="25"/>
      <c r="S438" s="25"/>
      <c r="T438" s="25">
        <v>42</v>
      </c>
      <c r="U438" s="25"/>
      <c r="V438" s="39"/>
      <c r="W438" s="25"/>
      <c r="X438" s="33">
        <f t="shared" si="12"/>
        <v>42</v>
      </c>
      <c r="Y438" s="39">
        <v>67500</v>
      </c>
      <c r="Z438" s="25">
        <v>2835000</v>
      </c>
      <c r="AA438" s="45"/>
      <c r="AB438" s="45"/>
      <c r="AC438" s="45"/>
      <c r="AD438" s="45"/>
      <c r="AE438" s="45"/>
    </row>
    <row r="439" spans="1:31" s="12" customFormat="1" ht="12">
      <c r="A439" s="27">
        <v>45609</v>
      </c>
      <c r="B439" s="47" t="s">
        <v>26</v>
      </c>
      <c r="C439" s="37" t="s">
        <v>83</v>
      </c>
      <c r="D439" s="34" t="s">
        <v>185</v>
      </c>
      <c r="E439" s="34" t="e">
        <f>IF(B439="","",VLOOKUP($B439,#REF!,4,FALSE))</f>
        <v>#REF!</v>
      </c>
      <c r="F439" s="34" t="e">
        <f>IF(E439="","",VLOOKUP($B439,#REF!,5,FALSE))</f>
        <v>#REF!</v>
      </c>
      <c r="G439" s="34" t="e">
        <f>IF(F439="","",VLOOKUP($B439,#REF!,6,FALSE))</f>
        <v>#REF!</v>
      </c>
      <c r="H439" s="34" t="e">
        <f>IF(G439="","",VLOOKUP($B439,#REF!,7,FALSE))</f>
        <v>#REF!</v>
      </c>
      <c r="I439" s="25"/>
      <c r="J439" s="25"/>
      <c r="K439" s="25"/>
      <c r="L439" s="25"/>
      <c r="M439" s="25"/>
      <c r="N439" s="25"/>
      <c r="O439" s="33">
        <f t="shared" si="13"/>
        <v>0</v>
      </c>
      <c r="P439" s="25"/>
      <c r="Q439" s="25">
        <v>0</v>
      </c>
      <c r="R439" s="25"/>
      <c r="S439" s="25"/>
      <c r="T439" s="25">
        <v>5</v>
      </c>
      <c r="U439" s="25"/>
      <c r="V439" s="39"/>
      <c r="W439" s="25"/>
      <c r="X439" s="33">
        <f t="shared" si="12"/>
        <v>5</v>
      </c>
      <c r="Y439" s="39">
        <v>23200</v>
      </c>
      <c r="Z439" s="25">
        <v>116000</v>
      </c>
      <c r="AA439" s="45"/>
      <c r="AB439" s="45"/>
      <c r="AC439" s="45"/>
      <c r="AD439" s="45"/>
      <c r="AE439" s="45"/>
    </row>
    <row r="440" spans="1:31" s="12" customFormat="1" ht="12">
      <c r="A440" s="27">
        <v>45609</v>
      </c>
      <c r="B440" s="53" t="s">
        <v>10</v>
      </c>
      <c r="C440" s="37" t="s">
        <v>83</v>
      </c>
      <c r="D440" s="34" t="s">
        <v>185</v>
      </c>
      <c r="E440" s="34" t="e">
        <f>IF(B440="","",VLOOKUP($B440,#REF!,4,FALSE))</f>
        <v>#REF!</v>
      </c>
      <c r="F440" s="34" t="e">
        <f>IF(E440="","",VLOOKUP($B440,#REF!,5,FALSE))</f>
        <v>#REF!</v>
      </c>
      <c r="G440" s="34" t="e">
        <f>IF(F440="","",VLOOKUP($B440,#REF!,6,FALSE))</f>
        <v>#REF!</v>
      </c>
      <c r="H440" s="34" t="e">
        <f>IF(G440="","",VLOOKUP($B440,#REF!,7,FALSE))</f>
        <v>#REF!</v>
      </c>
      <c r="I440" s="25"/>
      <c r="J440" s="25"/>
      <c r="K440" s="25"/>
      <c r="L440" s="25"/>
      <c r="M440" s="25"/>
      <c r="N440" s="25"/>
      <c r="O440" s="33">
        <f t="shared" si="13"/>
        <v>0</v>
      </c>
      <c r="P440" s="25"/>
      <c r="Q440" s="25">
        <v>0</v>
      </c>
      <c r="R440" s="25"/>
      <c r="S440" s="25"/>
      <c r="T440" s="25">
        <v>2</v>
      </c>
      <c r="U440" s="25"/>
      <c r="V440" s="39"/>
      <c r="W440" s="25"/>
      <c r="X440" s="33">
        <f t="shared" si="12"/>
        <v>2</v>
      </c>
      <c r="Y440" s="39"/>
      <c r="Z440" s="25">
        <v>0</v>
      </c>
      <c r="AA440" s="45"/>
      <c r="AB440" s="45"/>
      <c r="AC440" s="45"/>
      <c r="AD440" s="45"/>
      <c r="AE440" s="45"/>
    </row>
    <row r="441" spans="1:31" s="12" customFormat="1" ht="12">
      <c r="A441" s="27">
        <v>45609</v>
      </c>
      <c r="B441" s="75" t="s">
        <v>161</v>
      </c>
      <c r="C441" s="37" t="s">
        <v>83</v>
      </c>
      <c r="D441" s="34" t="s">
        <v>185</v>
      </c>
      <c r="E441" s="34" t="e">
        <f>IF(B441="","",VLOOKUP($B441,#REF!,4,FALSE))</f>
        <v>#REF!</v>
      </c>
      <c r="F441" s="34" t="e">
        <f>IF(E441="","",VLOOKUP($B441,#REF!,5,FALSE))</f>
        <v>#REF!</v>
      </c>
      <c r="G441" s="34" t="e">
        <f>IF(F441="","",VLOOKUP($B441,#REF!,6,FALSE))</f>
        <v>#REF!</v>
      </c>
      <c r="H441" s="34" t="e">
        <f>IF(G441="","",VLOOKUP($B441,#REF!,7,FALSE))</f>
        <v>#REF!</v>
      </c>
      <c r="I441" s="25"/>
      <c r="J441" s="25"/>
      <c r="K441" s="25">
        <v>2</v>
      </c>
      <c r="L441" s="25"/>
      <c r="M441" s="25"/>
      <c r="N441" s="25"/>
      <c r="O441" s="33">
        <f t="shared" si="13"/>
        <v>2</v>
      </c>
      <c r="P441" s="25"/>
      <c r="Q441" s="25">
        <v>0</v>
      </c>
      <c r="R441" s="25"/>
      <c r="S441" s="25"/>
      <c r="T441" s="25">
        <v>2</v>
      </c>
      <c r="U441" s="25"/>
      <c r="V441" s="39"/>
      <c r="W441" s="25"/>
      <c r="X441" s="33">
        <f t="shared" si="12"/>
        <v>2</v>
      </c>
      <c r="Y441" s="39">
        <v>44280</v>
      </c>
      <c r="Z441" s="25">
        <v>88560</v>
      </c>
      <c r="AA441" s="45"/>
      <c r="AB441" s="45"/>
      <c r="AC441" s="45"/>
      <c r="AD441" s="45"/>
      <c r="AE441" s="45"/>
    </row>
    <row r="442" spans="1:31" s="12" customFormat="1" ht="12">
      <c r="A442" s="27">
        <v>45609</v>
      </c>
      <c r="B442" s="53" t="s">
        <v>198</v>
      </c>
      <c r="C442" s="37" t="s">
        <v>84</v>
      </c>
      <c r="D442" s="34" t="s">
        <v>184</v>
      </c>
      <c r="E442" s="34" t="e">
        <f>IF(B442="","",VLOOKUP($B442,#REF!,4,FALSE))</f>
        <v>#REF!</v>
      </c>
      <c r="F442" s="34" t="e">
        <f>IF(E442="","",VLOOKUP($B442,#REF!,5,FALSE))</f>
        <v>#REF!</v>
      </c>
      <c r="G442" s="34" t="e">
        <f>IF(F442="","",VLOOKUP($B442,#REF!,6,FALSE))</f>
        <v>#REF!</v>
      </c>
      <c r="H442" s="34" t="e">
        <f>IF(G442="","",VLOOKUP($B442,#REF!,7,FALSE))</f>
        <v>#REF!</v>
      </c>
      <c r="I442" s="25"/>
      <c r="J442" s="25"/>
      <c r="K442" s="25"/>
      <c r="L442" s="25"/>
      <c r="M442" s="25"/>
      <c r="N442" s="25"/>
      <c r="O442" s="33">
        <f t="shared" si="13"/>
        <v>0</v>
      </c>
      <c r="P442" s="25"/>
      <c r="Q442" s="25">
        <v>0</v>
      </c>
      <c r="R442" s="25"/>
      <c r="S442" s="25"/>
      <c r="T442" s="25">
        <v>2</v>
      </c>
      <c r="U442" s="25"/>
      <c r="V442" s="39"/>
      <c r="W442" s="25"/>
      <c r="X442" s="33">
        <f t="shared" si="12"/>
        <v>2</v>
      </c>
      <c r="Y442" s="39">
        <v>76360</v>
      </c>
      <c r="Z442" s="25">
        <v>152727</v>
      </c>
      <c r="AA442" s="45" t="s">
        <v>267</v>
      </c>
      <c r="AB442" s="45"/>
      <c r="AC442" s="45"/>
      <c r="AD442" s="45"/>
      <c r="AE442" s="45"/>
    </row>
    <row r="443" spans="1:31" s="12" customFormat="1" ht="12">
      <c r="A443" s="27">
        <v>45609</v>
      </c>
      <c r="B443" s="53" t="s">
        <v>63</v>
      </c>
      <c r="C443" s="37" t="s">
        <v>84</v>
      </c>
      <c r="D443" s="34" t="s">
        <v>184</v>
      </c>
      <c r="E443" s="34" t="e">
        <f>IF(B443="","",VLOOKUP($B443,#REF!,4,FALSE))</f>
        <v>#REF!</v>
      </c>
      <c r="F443" s="34" t="e">
        <f>IF(E443="","",VLOOKUP($B443,#REF!,5,FALSE))</f>
        <v>#REF!</v>
      </c>
      <c r="G443" s="34" t="e">
        <f>IF(F443="","",VLOOKUP($B443,#REF!,6,FALSE))</f>
        <v>#REF!</v>
      </c>
      <c r="H443" s="34" t="e">
        <f>IF(G443="","",VLOOKUP($B443,#REF!,7,FALSE))</f>
        <v>#REF!</v>
      </c>
      <c r="I443" s="25"/>
      <c r="J443" s="25"/>
      <c r="K443" s="25"/>
      <c r="L443" s="25"/>
      <c r="M443" s="25"/>
      <c r="N443" s="25"/>
      <c r="O443" s="33">
        <f t="shared" si="13"/>
        <v>0</v>
      </c>
      <c r="P443" s="25"/>
      <c r="Q443" s="25">
        <v>0</v>
      </c>
      <c r="R443" s="25"/>
      <c r="S443" s="25"/>
      <c r="T443" s="25">
        <v>4</v>
      </c>
      <c r="U443" s="25"/>
      <c r="V443" s="39"/>
      <c r="W443" s="25"/>
      <c r="X443" s="33">
        <f t="shared" si="12"/>
        <v>4</v>
      </c>
      <c r="Y443" s="39">
        <v>130000</v>
      </c>
      <c r="Z443" s="25">
        <v>520000</v>
      </c>
      <c r="AA443" s="45" t="s">
        <v>267</v>
      </c>
      <c r="AB443" s="45"/>
      <c r="AC443" s="45"/>
      <c r="AD443" s="45"/>
      <c r="AE443" s="45"/>
    </row>
    <row r="444" spans="1:31" s="12" customFormat="1" ht="12">
      <c r="A444" s="27">
        <v>45609</v>
      </c>
      <c r="B444" s="53" t="s">
        <v>64</v>
      </c>
      <c r="C444" s="37" t="s">
        <v>84</v>
      </c>
      <c r="D444" s="34" t="s">
        <v>184</v>
      </c>
      <c r="E444" s="34" t="e">
        <f>IF(B444="","",VLOOKUP($B444,#REF!,4,FALSE))</f>
        <v>#REF!</v>
      </c>
      <c r="F444" s="34" t="e">
        <f>IF(E444="","",VLOOKUP($B444,#REF!,5,FALSE))</f>
        <v>#REF!</v>
      </c>
      <c r="G444" s="34" t="e">
        <f>IF(F444="","",VLOOKUP($B444,#REF!,6,FALSE))</f>
        <v>#REF!</v>
      </c>
      <c r="H444" s="34" t="e">
        <f>IF(G444="","",VLOOKUP($B444,#REF!,7,FALSE))</f>
        <v>#REF!</v>
      </c>
      <c r="I444" s="25"/>
      <c r="J444" s="25"/>
      <c r="K444" s="25"/>
      <c r="L444" s="25"/>
      <c r="M444" s="25"/>
      <c r="N444" s="25"/>
      <c r="O444" s="33">
        <f t="shared" si="13"/>
        <v>0</v>
      </c>
      <c r="P444" s="25"/>
      <c r="Q444" s="25">
        <v>0</v>
      </c>
      <c r="R444" s="25"/>
      <c r="S444" s="25"/>
      <c r="T444" s="25">
        <v>51</v>
      </c>
      <c r="U444" s="25"/>
      <c r="V444" s="39"/>
      <c r="W444" s="25"/>
      <c r="X444" s="33">
        <f t="shared" si="12"/>
        <v>51</v>
      </c>
      <c r="Y444" s="39">
        <v>94550</v>
      </c>
      <c r="Z444" s="25">
        <v>4821818</v>
      </c>
      <c r="AA444" s="45" t="s">
        <v>267</v>
      </c>
      <c r="AB444" s="45"/>
      <c r="AC444" s="45"/>
      <c r="AD444" s="45"/>
      <c r="AE444" s="45"/>
    </row>
    <row r="445" spans="1:31" s="12" customFormat="1" ht="12">
      <c r="A445" s="27">
        <v>45609</v>
      </c>
      <c r="B445" s="53" t="s">
        <v>64</v>
      </c>
      <c r="C445" s="37" t="s">
        <v>84</v>
      </c>
      <c r="D445" s="34" t="s">
        <v>184</v>
      </c>
      <c r="E445" s="34" t="e">
        <f>IF(B445="","",VLOOKUP($B445,#REF!,4,FALSE))</f>
        <v>#REF!</v>
      </c>
      <c r="F445" s="34" t="e">
        <f>IF(E445="","",VLOOKUP($B445,#REF!,5,FALSE))</f>
        <v>#REF!</v>
      </c>
      <c r="G445" s="34" t="e">
        <f>IF(F445="","",VLOOKUP($B445,#REF!,6,FALSE))</f>
        <v>#REF!</v>
      </c>
      <c r="H445" s="34" t="e">
        <f>IF(G445="","",VLOOKUP($B445,#REF!,7,FALSE))</f>
        <v>#REF!</v>
      </c>
      <c r="I445" s="25"/>
      <c r="J445" s="25"/>
      <c r="K445" s="25"/>
      <c r="L445" s="25"/>
      <c r="M445" s="25"/>
      <c r="N445" s="25"/>
      <c r="O445" s="33">
        <f t="shared" si="13"/>
        <v>0</v>
      </c>
      <c r="P445" s="25"/>
      <c r="Q445" s="25">
        <v>0</v>
      </c>
      <c r="R445" s="25"/>
      <c r="S445" s="25"/>
      <c r="T445" s="25">
        <v>1</v>
      </c>
      <c r="U445" s="25"/>
      <c r="V445" s="39"/>
      <c r="W445" s="25"/>
      <c r="X445" s="33">
        <f t="shared" si="12"/>
        <v>1</v>
      </c>
      <c r="Y445" s="39"/>
      <c r="Z445" s="25">
        <v>0</v>
      </c>
      <c r="AA445" s="45" t="s">
        <v>271</v>
      </c>
      <c r="AB445" s="45"/>
      <c r="AC445" s="45"/>
      <c r="AD445" s="45"/>
      <c r="AE445" s="45"/>
    </row>
    <row r="446" spans="1:31" s="12" customFormat="1" ht="12">
      <c r="A446" s="27">
        <v>45609</v>
      </c>
      <c r="B446" s="53" t="s">
        <v>11</v>
      </c>
      <c r="C446" s="37" t="s">
        <v>136</v>
      </c>
      <c r="D446" s="34" t="s">
        <v>177</v>
      </c>
      <c r="E446" s="34" t="e">
        <f>IF(B446="","",VLOOKUP($B446,#REF!,4,FALSE))</f>
        <v>#REF!</v>
      </c>
      <c r="F446" s="34" t="e">
        <f>IF(E446="","",VLOOKUP($B446,#REF!,5,FALSE))</f>
        <v>#REF!</v>
      </c>
      <c r="G446" s="34" t="e">
        <f>IF(F446="","",VLOOKUP($B446,#REF!,6,FALSE))</f>
        <v>#REF!</v>
      </c>
      <c r="H446" s="34" t="e">
        <f>IF(G446="","",VLOOKUP($B446,#REF!,7,FALSE))</f>
        <v>#REF!</v>
      </c>
      <c r="I446" s="25"/>
      <c r="J446" s="25"/>
      <c r="K446" s="25"/>
      <c r="L446" s="25"/>
      <c r="M446" s="25"/>
      <c r="N446" s="25"/>
      <c r="O446" s="33">
        <f t="shared" si="13"/>
        <v>0</v>
      </c>
      <c r="P446" s="25"/>
      <c r="Q446" s="25">
        <v>0</v>
      </c>
      <c r="R446" s="25"/>
      <c r="S446" s="25"/>
      <c r="T446" s="25">
        <v>2</v>
      </c>
      <c r="U446" s="25"/>
      <c r="V446" s="39"/>
      <c r="W446" s="25"/>
      <c r="X446" s="33">
        <f t="shared" si="12"/>
        <v>2</v>
      </c>
      <c r="Y446" s="39">
        <v>44000</v>
      </c>
      <c r="Z446" s="25">
        <v>88000</v>
      </c>
      <c r="AA446" s="45" t="s">
        <v>136</v>
      </c>
      <c r="AB446" s="45" t="s">
        <v>177</v>
      </c>
      <c r="AC446" s="45"/>
      <c r="AD446" s="45"/>
      <c r="AE446" s="45"/>
    </row>
    <row r="447" spans="1:31" s="12" customFormat="1" ht="12">
      <c r="A447" s="27">
        <v>45609</v>
      </c>
      <c r="B447" s="53" t="s">
        <v>78</v>
      </c>
      <c r="C447" s="37" t="s">
        <v>144</v>
      </c>
      <c r="D447" s="34" t="s">
        <v>190</v>
      </c>
      <c r="E447" s="34" t="e">
        <f>IF(B447="","",VLOOKUP($B447,#REF!,4,FALSE))</f>
        <v>#REF!</v>
      </c>
      <c r="F447" s="34" t="e">
        <f>IF(E447="","",VLOOKUP($B447,#REF!,5,FALSE))</f>
        <v>#REF!</v>
      </c>
      <c r="G447" s="34" t="e">
        <f>IF(F447="","",VLOOKUP($B447,#REF!,6,FALSE))</f>
        <v>#REF!</v>
      </c>
      <c r="H447" s="34" t="e">
        <f>IF(G447="","",VLOOKUP($B447,#REF!,7,FALSE))</f>
        <v>#REF!</v>
      </c>
      <c r="I447" s="25"/>
      <c r="J447" s="25"/>
      <c r="K447" s="25"/>
      <c r="L447" s="25"/>
      <c r="M447" s="25"/>
      <c r="N447" s="25"/>
      <c r="O447" s="33">
        <f t="shared" si="13"/>
        <v>0</v>
      </c>
      <c r="P447" s="25"/>
      <c r="Q447" s="25">
        <v>0</v>
      </c>
      <c r="R447" s="25"/>
      <c r="S447" s="25"/>
      <c r="T447" s="25">
        <v>3</v>
      </c>
      <c r="U447" s="25"/>
      <c r="V447" s="39"/>
      <c r="W447" s="25"/>
      <c r="X447" s="33">
        <f t="shared" si="12"/>
        <v>3</v>
      </c>
      <c r="Y447" s="39"/>
      <c r="Z447" s="25">
        <v>0</v>
      </c>
      <c r="AA447" s="45" t="s">
        <v>210</v>
      </c>
      <c r="AB447" s="45"/>
      <c r="AC447" s="45"/>
      <c r="AD447" s="45"/>
      <c r="AE447" s="45"/>
    </row>
    <row r="448" spans="1:31" s="12" customFormat="1" ht="12">
      <c r="A448" s="27">
        <v>45609</v>
      </c>
      <c r="B448" s="47" t="s">
        <v>211</v>
      </c>
      <c r="C448" s="37">
        <v>0</v>
      </c>
      <c r="D448" s="34" t="s">
        <v>187</v>
      </c>
      <c r="E448" s="34" t="e">
        <f>IF(B448="","",VLOOKUP($B448,#REF!,4,FALSE))</f>
        <v>#REF!</v>
      </c>
      <c r="F448" s="34" t="e">
        <f>IF(E448="","",VLOOKUP($B448,#REF!,5,FALSE))</f>
        <v>#REF!</v>
      </c>
      <c r="G448" s="34" t="e">
        <f>IF(F448="","",VLOOKUP($B448,#REF!,6,FALSE))</f>
        <v>#REF!</v>
      </c>
      <c r="H448" s="34" t="e">
        <f>IF(G448="","",VLOOKUP($B448,#REF!,7,FALSE))</f>
        <v>#REF!</v>
      </c>
      <c r="I448" s="25"/>
      <c r="J448" s="25"/>
      <c r="K448" s="25"/>
      <c r="L448" s="25">
        <v>819</v>
      </c>
      <c r="M448" s="25"/>
      <c r="N448" s="25"/>
      <c r="O448" s="33">
        <f t="shared" si="13"/>
        <v>819</v>
      </c>
      <c r="P448" s="25"/>
      <c r="Q448" s="25">
        <v>0</v>
      </c>
      <c r="R448" s="25"/>
      <c r="S448" s="25"/>
      <c r="T448" s="25"/>
      <c r="U448" s="25"/>
      <c r="V448" s="39"/>
      <c r="W448" s="25"/>
      <c r="X448" s="33">
        <f t="shared" si="12"/>
        <v>0</v>
      </c>
      <c r="Y448" s="39"/>
      <c r="Z448" s="25">
        <v>0</v>
      </c>
      <c r="AA448" s="45"/>
      <c r="AB448" s="45"/>
      <c r="AC448" s="45"/>
      <c r="AD448" s="45"/>
      <c r="AE448" s="45"/>
    </row>
    <row r="449" spans="1:31" s="12" customFormat="1" ht="12">
      <c r="A449" s="27">
        <v>45609</v>
      </c>
      <c r="B449" s="53" t="s">
        <v>229</v>
      </c>
      <c r="C449" s="37">
        <v>0</v>
      </c>
      <c r="D449" s="34" t="s">
        <v>187</v>
      </c>
      <c r="E449" s="34" t="e">
        <f>IF(B449="","",VLOOKUP($B449,#REF!,4,FALSE))</f>
        <v>#REF!</v>
      </c>
      <c r="F449" s="34" t="e">
        <f>IF(E449="","",VLOOKUP($B449,#REF!,5,FALSE))</f>
        <v>#REF!</v>
      </c>
      <c r="G449" s="34" t="e">
        <f>IF(F449="","",VLOOKUP($B449,#REF!,6,FALSE))</f>
        <v>#REF!</v>
      </c>
      <c r="H449" s="34" t="e">
        <f>IF(G449="","",VLOOKUP($B449,#REF!,7,FALSE))</f>
        <v>#REF!</v>
      </c>
      <c r="I449" s="25"/>
      <c r="J449" s="25"/>
      <c r="K449" s="25"/>
      <c r="L449" s="25">
        <v>2621</v>
      </c>
      <c r="M449" s="25"/>
      <c r="N449" s="25"/>
      <c r="O449" s="33">
        <f t="shared" si="13"/>
        <v>2621</v>
      </c>
      <c r="P449" s="25"/>
      <c r="Q449" s="25">
        <v>0</v>
      </c>
      <c r="R449" s="25"/>
      <c r="S449" s="25"/>
      <c r="T449" s="25"/>
      <c r="U449" s="25"/>
      <c r="V449" s="39"/>
      <c r="W449" s="25"/>
      <c r="X449" s="33">
        <f t="shared" si="12"/>
        <v>0</v>
      </c>
      <c r="Y449" s="39"/>
      <c r="Z449" s="25">
        <v>0</v>
      </c>
      <c r="AA449" s="45"/>
      <c r="AB449" s="45"/>
      <c r="AC449" s="45"/>
      <c r="AD449" s="45"/>
      <c r="AE449" s="45"/>
    </row>
    <row r="450" spans="1:31" s="12" customFormat="1" ht="12">
      <c r="A450" s="27">
        <v>45609</v>
      </c>
      <c r="B450" s="53" t="s">
        <v>164</v>
      </c>
      <c r="C450" s="37">
        <v>0</v>
      </c>
      <c r="D450" s="34" t="s">
        <v>187</v>
      </c>
      <c r="E450" s="34" t="e">
        <f>IF(B450="","",VLOOKUP($B450,#REF!,4,FALSE))</f>
        <v>#REF!</v>
      </c>
      <c r="F450" s="34" t="e">
        <f>IF(E450="","",VLOOKUP($B450,#REF!,5,FALSE))</f>
        <v>#REF!</v>
      </c>
      <c r="G450" s="34" t="e">
        <f>IF(F450="","",VLOOKUP($B450,#REF!,6,FALSE))</f>
        <v>#REF!</v>
      </c>
      <c r="H450" s="34" t="e">
        <f>IF(G450="","",VLOOKUP($B450,#REF!,7,FALSE))</f>
        <v>#REF!</v>
      </c>
      <c r="I450" s="25"/>
      <c r="J450" s="25"/>
      <c r="K450" s="25"/>
      <c r="L450" s="25">
        <v>433</v>
      </c>
      <c r="M450" s="25"/>
      <c r="N450" s="25"/>
      <c r="O450" s="33">
        <f t="shared" si="13"/>
        <v>433</v>
      </c>
      <c r="P450" s="25"/>
      <c r="Q450" s="25">
        <v>0</v>
      </c>
      <c r="R450" s="25"/>
      <c r="S450" s="25"/>
      <c r="T450" s="25"/>
      <c r="U450" s="25"/>
      <c r="V450" s="39"/>
      <c r="W450" s="25"/>
      <c r="X450" s="33">
        <f t="shared" si="12"/>
        <v>0</v>
      </c>
      <c r="Y450" s="39"/>
      <c r="Z450" s="25">
        <v>0</v>
      </c>
      <c r="AA450" s="45"/>
      <c r="AB450" s="45"/>
      <c r="AC450" s="45"/>
      <c r="AD450" s="45"/>
      <c r="AE450" s="45"/>
    </row>
    <row r="451" spans="1:31" s="12" customFormat="1" ht="12">
      <c r="A451" s="27">
        <v>45609</v>
      </c>
      <c r="B451" s="53" t="s">
        <v>57</v>
      </c>
      <c r="C451" s="37">
        <v>0</v>
      </c>
      <c r="D451" s="34" t="s">
        <v>187</v>
      </c>
      <c r="E451" s="34" t="e">
        <f>IF(B451="","",VLOOKUP($B451,#REF!,4,FALSE))</f>
        <v>#REF!</v>
      </c>
      <c r="F451" s="34" t="e">
        <f>IF(E451="","",VLOOKUP($B451,#REF!,5,FALSE))</f>
        <v>#REF!</v>
      </c>
      <c r="G451" s="34" t="e">
        <f>IF(F451="","",VLOOKUP($B451,#REF!,6,FALSE))</f>
        <v>#REF!</v>
      </c>
      <c r="H451" s="34" t="e">
        <f>IF(G451="","",VLOOKUP($B451,#REF!,7,FALSE))</f>
        <v>#REF!</v>
      </c>
      <c r="I451" s="25"/>
      <c r="J451" s="25"/>
      <c r="K451" s="25"/>
      <c r="L451" s="25">
        <v>121</v>
      </c>
      <c r="M451" s="25"/>
      <c r="N451" s="25"/>
      <c r="O451" s="33">
        <f t="shared" si="13"/>
        <v>121</v>
      </c>
      <c r="P451" s="25"/>
      <c r="Q451" s="25">
        <v>0</v>
      </c>
      <c r="R451" s="25"/>
      <c r="S451" s="25"/>
      <c r="T451" s="25"/>
      <c r="U451" s="25"/>
      <c r="V451" s="39"/>
      <c r="W451" s="25"/>
      <c r="X451" s="33">
        <f t="shared" si="12"/>
        <v>0</v>
      </c>
      <c r="Y451" s="39"/>
      <c r="Z451" s="25">
        <v>0</v>
      </c>
      <c r="AA451" s="45"/>
      <c r="AB451" s="45"/>
      <c r="AC451" s="45"/>
      <c r="AD451" s="45"/>
      <c r="AE451" s="45"/>
    </row>
    <row r="452" spans="1:31" s="12" customFormat="1" ht="12">
      <c r="A452" s="27">
        <v>45609</v>
      </c>
      <c r="B452" s="53" t="s">
        <v>20</v>
      </c>
      <c r="C452" s="37">
        <v>0</v>
      </c>
      <c r="D452" s="34" t="s">
        <v>187</v>
      </c>
      <c r="E452" s="34" t="e">
        <f>IF(B452="","",VLOOKUP($B452,#REF!,4,FALSE))</f>
        <v>#REF!</v>
      </c>
      <c r="F452" s="34" t="e">
        <f>IF(E452="","",VLOOKUP($B452,#REF!,5,FALSE))</f>
        <v>#REF!</v>
      </c>
      <c r="G452" s="34" t="e">
        <f>IF(F452="","",VLOOKUP($B452,#REF!,6,FALSE))</f>
        <v>#REF!</v>
      </c>
      <c r="H452" s="34" t="e">
        <f>IF(G452="","",VLOOKUP($B452,#REF!,7,FALSE))</f>
        <v>#REF!</v>
      </c>
      <c r="I452" s="25"/>
      <c r="J452" s="25"/>
      <c r="K452" s="25"/>
      <c r="L452" s="25">
        <v>1354</v>
      </c>
      <c r="M452" s="25"/>
      <c r="N452" s="25"/>
      <c r="O452" s="33">
        <f t="shared" si="13"/>
        <v>1354</v>
      </c>
      <c r="P452" s="25"/>
      <c r="Q452" s="25">
        <v>0</v>
      </c>
      <c r="R452" s="25"/>
      <c r="S452" s="25"/>
      <c r="T452" s="25"/>
      <c r="U452" s="25"/>
      <c r="V452" s="39"/>
      <c r="W452" s="25"/>
      <c r="X452" s="33">
        <f t="shared" ref="X452:X516" si="14">SUM(R452:W452)</f>
        <v>0</v>
      </c>
      <c r="Y452" s="39"/>
      <c r="Z452" s="25">
        <v>0</v>
      </c>
      <c r="AA452" s="45"/>
      <c r="AB452" s="45"/>
      <c r="AC452" s="45"/>
      <c r="AD452" s="45"/>
      <c r="AE452" s="45"/>
    </row>
    <row r="453" spans="1:31" s="12" customFormat="1" ht="12">
      <c r="A453" s="27">
        <v>45609</v>
      </c>
      <c r="B453" s="53" t="s">
        <v>35</v>
      </c>
      <c r="C453" s="37">
        <v>0</v>
      </c>
      <c r="D453" s="34" t="s">
        <v>187</v>
      </c>
      <c r="E453" s="34" t="e">
        <f>IF(B453="","",VLOOKUP($B453,#REF!,4,FALSE))</f>
        <v>#REF!</v>
      </c>
      <c r="F453" s="34" t="e">
        <f>IF(E453="","",VLOOKUP($B453,#REF!,5,FALSE))</f>
        <v>#REF!</v>
      </c>
      <c r="G453" s="34" t="e">
        <f>IF(F453="","",VLOOKUP($B453,#REF!,6,FALSE))</f>
        <v>#REF!</v>
      </c>
      <c r="H453" s="34" t="e">
        <f>IF(G453="","",VLOOKUP($B453,#REF!,7,FALSE))</f>
        <v>#REF!</v>
      </c>
      <c r="I453" s="25">
        <v>813</v>
      </c>
      <c r="J453" s="25"/>
      <c r="K453" s="25"/>
      <c r="L453" s="25"/>
      <c r="M453" s="25"/>
      <c r="N453" s="25"/>
      <c r="O453" s="33">
        <f t="shared" ref="O453:O517" si="15">SUM(I453:N453)</f>
        <v>813</v>
      </c>
      <c r="P453" s="25"/>
      <c r="Q453" s="25">
        <v>0</v>
      </c>
      <c r="R453" s="25"/>
      <c r="S453" s="25"/>
      <c r="T453" s="25"/>
      <c r="U453" s="25"/>
      <c r="V453" s="39"/>
      <c r="W453" s="25"/>
      <c r="X453" s="33">
        <f t="shared" si="14"/>
        <v>0</v>
      </c>
      <c r="Y453" s="39"/>
      <c r="Z453" s="25">
        <v>0</v>
      </c>
      <c r="AA453" s="45"/>
      <c r="AB453" s="45"/>
      <c r="AC453" s="45"/>
      <c r="AD453" s="45"/>
      <c r="AE453" s="45"/>
    </row>
    <row r="454" spans="1:31" s="12" customFormat="1" ht="12">
      <c r="A454" s="27">
        <v>45610</v>
      </c>
      <c r="B454" s="53" t="s">
        <v>24</v>
      </c>
      <c r="C454" s="37" t="s">
        <v>82</v>
      </c>
      <c r="D454" s="34" t="s">
        <v>186</v>
      </c>
      <c r="E454" s="34" t="e">
        <f>IF(B454="","",VLOOKUP($B454,#REF!,4,FALSE))</f>
        <v>#REF!</v>
      </c>
      <c r="F454" s="34" t="e">
        <f>IF(E454="","",VLOOKUP($B454,#REF!,5,FALSE))</f>
        <v>#REF!</v>
      </c>
      <c r="G454" s="34" t="e">
        <f>IF(F454="","",VLOOKUP($B454,#REF!,6,FALSE))</f>
        <v>#REF!</v>
      </c>
      <c r="H454" s="34" t="e">
        <f>IF(G454="","",VLOOKUP($B454,#REF!,7,FALSE))</f>
        <v>#REF!</v>
      </c>
      <c r="I454" s="25"/>
      <c r="J454" s="25"/>
      <c r="K454" s="25"/>
      <c r="L454" s="25"/>
      <c r="M454" s="25"/>
      <c r="N454" s="25"/>
      <c r="O454" s="33">
        <f t="shared" si="15"/>
        <v>0</v>
      </c>
      <c r="P454" s="25"/>
      <c r="Q454" s="25">
        <v>0</v>
      </c>
      <c r="R454" s="25"/>
      <c r="S454" s="25"/>
      <c r="T454" s="25"/>
      <c r="U454" s="25"/>
      <c r="V454" s="39">
        <v>192</v>
      </c>
      <c r="W454" s="25"/>
      <c r="X454" s="33">
        <f t="shared" si="14"/>
        <v>192</v>
      </c>
      <c r="Y454" s="39">
        <v>124920</v>
      </c>
      <c r="Z454" s="25">
        <v>23984640</v>
      </c>
      <c r="AA454" s="45"/>
      <c r="AB454" s="45"/>
      <c r="AC454" s="45"/>
      <c r="AD454" s="45"/>
      <c r="AE454" s="45"/>
    </row>
    <row r="455" spans="1:31" s="12" customFormat="1" ht="12">
      <c r="A455" s="27">
        <v>45610</v>
      </c>
      <c r="B455" s="53" t="s">
        <v>160</v>
      </c>
      <c r="C455" s="37" t="s">
        <v>82</v>
      </c>
      <c r="D455" s="34" t="s">
        <v>186</v>
      </c>
      <c r="E455" s="34" t="e">
        <f>IF(B455="","",VLOOKUP($B455,#REF!,4,FALSE))</f>
        <v>#REF!</v>
      </c>
      <c r="F455" s="34" t="e">
        <f>IF(E455="","",VLOOKUP($B455,#REF!,5,FALSE))</f>
        <v>#REF!</v>
      </c>
      <c r="G455" s="34" t="e">
        <f>IF(F455="","",VLOOKUP($B455,#REF!,6,FALSE))</f>
        <v>#REF!</v>
      </c>
      <c r="H455" s="34" t="e">
        <f>IF(G455="","",VLOOKUP($B455,#REF!,7,FALSE))</f>
        <v>#REF!</v>
      </c>
      <c r="I455" s="25"/>
      <c r="J455" s="25"/>
      <c r="K455" s="25"/>
      <c r="L455" s="25"/>
      <c r="M455" s="25"/>
      <c r="N455" s="25"/>
      <c r="O455" s="33">
        <f t="shared" si="15"/>
        <v>0</v>
      </c>
      <c r="P455" s="25"/>
      <c r="Q455" s="25">
        <v>0</v>
      </c>
      <c r="R455" s="25"/>
      <c r="S455" s="25"/>
      <c r="T455" s="25"/>
      <c r="U455" s="25"/>
      <c r="V455" s="39">
        <v>192</v>
      </c>
      <c r="W455" s="25"/>
      <c r="X455" s="33">
        <f t="shared" si="14"/>
        <v>192</v>
      </c>
      <c r="Y455" s="39">
        <v>100300</v>
      </c>
      <c r="Z455" s="25">
        <v>19257600</v>
      </c>
      <c r="AA455" s="45"/>
      <c r="AB455" s="45"/>
      <c r="AC455" s="45"/>
      <c r="AD455" s="45"/>
      <c r="AE455" s="45"/>
    </row>
    <row r="456" spans="1:31" s="12" customFormat="1" ht="12">
      <c r="A456" s="27">
        <v>45610</v>
      </c>
      <c r="B456" s="47" t="s">
        <v>211</v>
      </c>
      <c r="C456" s="37" t="s">
        <v>82</v>
      </c>
      <c r="D456" s="34" t="s">
        <v>186</v>
      </c>
      <c r="E456" s="34" t="e">
        <f>IF(B456="","",VLOOKUP($B456,#REF!,4,FALSE))</f>
        <v>#REF!</v>
      </c>
      <c r="F456" s="34" t="e">
        <f>IF(E456="","",VLOOKUP($B456,#REF!,5,FALSE))</f>
        <v>#REF!</v>
      </c>
      <c r="G456" s="34" t="e">
        <f>IF(F456="","",VLOOKUP($B456,#REF!,6,FALSE))</f>
        <v>#REF!</v>
      </c>
      <c r="H456" s="34" t="e">
        <f>IF(G456="","",VLOOKUP($B456,#REF!,7,FALSE))</f>
        <v>#REF!</v>
      </c>
      <c r="I456" s="25"/>
      <c r="J456" s="25"/>
      <c r="K456" s="25"/>
      <c r="L456" s="25"/>
      <c r="M456" s="25"/>
      <c r="N456" s="25"/>
      <c r="O456" s="33">
        <f t="shared" si="15"/>
        <v>0</v>
      </c>
      <c r="P456" s="25"/>
      <c r="Q456" s="25">
        <v>0</v>
      </c>
      <c r="R456" s="25"/>
      <c r="S456" s="25"/>
      <c r="T456" s="25"/>
      <c r="U456" s="25"/>
      <c r="V456" s="39">
        <v>180</v>
      </c>
      <c r="W456" s="25"/>
      <c r="X456" s="33">
        <f t="shared" si="14"/>
        <v>180</v>
      </c>
      <c r="Y456" s="39">
        <v>46020</v>
      </c>
      <c r="Z456" s="25">
        <v>8283600</v>
      </c>
      <c r="AA456" s="45"/>
      <c r="AB456" s="45"/>
      <c r="AC456" s="45"/>
      <c r="AD456" s="45"/>
      <c r="AE456" s="45"/>
    </row>
    <row r="457" spans="1:31" s="12" customFormat="1" ht="12">
      <c r="A457" s="27">
        <v>45610</v>
      </c>
      <c r="B457" s="75" t="s">
        <v>219</v>
      </c>
      <c r="C457" s="37" t="s">
        <v>82</v>
      </c>
      <c r="D457" s="34" t="s">
        <v>186</v>
      </c>
      <c r="E457" s="34" t="e">
        <f>IF(B457="","",VLOOKUP($B457,#REF!,4,FALSE))</f>
        <v>#REF!</v>
      </c>
      <c r="F457" s="34" t="e">
        <f>IF(E457="","",VLOOKUP($B457,#REF!,5,FALSE))</f>
        <v>#REF!</v>
      </c>
      <c r="G457" s="34" t="e">
        <f>IF(F457="","",VLOOKUP($B457,#REF!,6,FALSE))</f>
        <v>#REF!</v>
      </c>
      <c r="H457" s="34" t="e">
        <f>IF(G457="","",VLOOKUP($B457,#REF!,7,FALSE))</f>
        <v>#REF!</v>
      </c>
      <c r="I457" s="25"/>
      <c r="J457" s="25"/>
      <c r="K457" s="25"/>
      <c r="L457" s="25"/>
      <c r="M457" s="25"/>
      <c r="N457" s="25"/>
      <c r="O457" s="33">
        <f t="shared" si="15"/>
        <v>0</v>
      </c>
      <c r="P457" s="25"/>
      <c r="Q457" s="25">
        <v>0</v>
      </c>
      <c r="R457" s="25"/>
      <c r="S457" s="25"/>
      <c r="T457" s="25"/>
      <c r="U457" s="25"/>
      <c r="V457" s="39">
        <v>12</v>
      </c>
      <c r="W457" s="25"/>
      <c r="X457" s="33">
        <f t="shared" si="14"/>
        <v>12</v>
      </c>
      <c r="Y457" s="39">
        <v>235000</v>
      </c>
      <c r="Z457" s="25">
        <v>2820000</v>
      </c>
      <c r="AA457" s="45"/>
      <c r="AB457" s="45"/>
      <c r="AC457" s="45"/>
      <c r="AD457" s="45"/>
      <c r="AE457" s="45"/>
    </row>
    <row r="458" spans="1:31" s="12" customFormat="1" ht="12">
      <c r="A458" s="27">
        <v>45610</v>
      </c>
      <c r="B458" s="53" t="s">
        <v>211</v>
      </c>
      <c r="C458" s="37" t="s">
        <v>82</v>
      </c>
      <c r="D458" s="34" t="s">
        <v>186</v>
      </c>
      <c r="E458" s="34" t="e">
        <f>IF(B458="","",VLOOKUP($B458,#REF!,4,FALSE))</f>
        <v>#REF!</v>
      </c>
      <c r="F458" s="34" t="e">
        <f>IF(E458="","",VLOOKUP($B458,#REF!,5,FALSE))</f>
        <v>#REF!</v>
      </c>
      <c r="G458" s="34" t="e">
        <f>IF(F458="","",VLOOKUP($B458,#REF!,6,FALSE))</f>
        <v>#REF!</v>
      </c>
      <c r="H458" s="34" t="e">
        <f>IF(G458="","",VLOOKUP($B458,#REF!,7,FALSE))</f>
        <v>#REF!</v>
      </c>
      <c r="I458" s="25"/>
      <c r="J458" s="25"/>
      <c r="K458" s="25"/>
      <c r="L458" s="25"/>
      <c r="M458" s="25"/>
      <c r="N458" s="25"/>
      <c r="O458" s="33">
        <f t="shared" si="15"/>
        <v>0</v>
      </c>
      <c r="P458" s="25"/>
      <c r="Q458" s="25">
        <v>0</v>
      </c>
      <c r="R458" s="25"/>
      <c r="S458" s="25"/>
      <c r="T458" s="25"/>
      <c r="U458" s="25"/>
      <c r="V458" s="39">
        <v>168</v>
      </c>
      <c r="W458" s="25"/>
      <c r="X458" s="33">
        <f t="shared" si="14"/>
        <v>168</v>
      </c>
      <c r="Y458" s="39">
        <v>46020</v>
      </c>
      <c r="Z458" s="25">
        <v>7731360</v>
      </c>
      <c r="AA458" s="45"/>
      <c r="AB458" s="45"/>
      <c r="AC458" s="45"/>
      <c r="AD458" s="45"/>
      <c r="AE458" s="45"/>
    </row>
    <row r="459" spans="1:31" s="12" customFormat="1" ht="12">
      <c r="A459" s="27">
        <v>45610</v>
      </c>
      <c r="B459" s="53" t="s">
        <v>211</v>
      </c>
      <c r="C459" s="37" t="s">
        <v>82</v>
      </c>
      <c r="D459" s="34" t="s">
        <v>186</v>
      </c>
      <c r="E459" s="34" t="e">
        <f>IF(B459="","",VLOOKUP($B459,#REF!,4,FALSE))</f>
        <v>#REF!</v>
      </c>
      <c r="F459" s="34" t="e">
        <f>IF(E459="","",VLOOKUP($B459,#REF!,5,FALSE))</f>
        <v>#REF!</v>
      </c>
      <c r="G459" s="34" t="e">
        <f>IF(F459="","",VLOOKUP($B459,#REF!,6,FALSE))</f>
        <v>#REF!</v>
      </c>
      <c r="H459" s="34" t="e">
        <f>IF(G459="","",VLOOKUP($B459,#REF!,7,FALSE))</f>
        <v>#REF!</v>
      </c>
      <c r="I459" s="25"/>
      <c r="J459" s="25"/>
      <c r="K459" s="25"/>
      <c r="L459" s="25"/>
      <c r="M459" s="25"/>
      <c r="N459" s="25"/>
      <c r="O459" s="33">
        <f t="shared" si="15"/>
        <v>0</v>
      </c>
      <c r="P459" s="25"/>
      <c r="Q459" s="25">
        <v>0</v>
      </c>
      <c r="R459" s="25"/>
      <c r="S459" s="25"/>
      <c r="T459" s="25"/>
      <c r="U459" s="25"/>
      <c r="V459" s="39">
        <v>180</v>
      </c>
      <c r="W459" s="25"/>
      <c r="X459" s="33">
        <f t="shared" si="14"/>
        <v>180</v>
      </c>
      <c r="Y459" s="39">
        <v>46020</v>
      </c>
      <c r="Z459" s="25">
        <v>8283600</v>
      </c>
      <c r="AA459" s="45"/>
      <c r="AB459" s="45"/>
      <c r="AC459" s="45"/>
      <c r="AD459" s="45"/>
      <c r="AE459" s="45"/>
    </row>
    <row r="460" spans="1:31" s="12" customFormat="1" ht="12">
      <c r="A460" s="27">
        <v>45610</v>
      </c>
      <c r="B460" s="53" t="s">
        <v>211</v>
      </c>
      <c r="C460" s="37" t="s">
        <v>82</v>
      </c>
      <c r="D460" s="34" t="s">
        <v>186</v>
      </c>
      <c r="E460" s="34" t="e">
        <f>IF(B460="","",VLOOKUP($B460,#REF!,4,FALSE))</f>
        <v>#REF!</v>
      </c>
      <c r="F460" s="34" t="e">
        <f>IF(E460="","",VLOOKUP($B460,#REF!,5,FALSE))</f>
        <v>#REF!</v>
      </c>
      <c r="G460" s="34" t="e">
        <f>IF(F460="","",VLOOKUP($B460,#REF!,6,FALSE))</f>
        <v>#REF!</v>
      </c>
      <c r="H460" s="34" t="e">
        <f>IF(G460="","",VLOOKUP($B460,#REF!,7,FALSE))</f>
        <v>#REF!</v>
      </c>
      <c r="I460" s="25"/>
      <c r="J460" s="25"/>
      <c r="K460" s="25"/>
      <c r="L460" s="25"/>
      <c r="M460" s="25"/>
      <c r="N460" s="25"/>
      <c r="O460" s="33">
        <f t="shared" si="15"/>
        <v>0</v>
      </c>
      <c r="P460" s="25"/>
      <c r="Q460" s="25">
        <v>0</v>
      </c>
      <c r="R460" s="25"/>
      <c r="S460" s="25"/>
      <c r="T460" s="25"/>
      <c r="U460" s="25"/>
      <c r="V460" s="39">
        <v>192</v>
      </c>
      <c r="W460" s="25"/>
      <c r="X460" s="33">
        <f t="shared" si="14"/>
        <v>192</v>
      </c>
      <c r="Y460" s="39">
        <v>46020</v>
      </c>
      <c r="Z460" s="25">
        <v>8835840</v>
      </c>
      <c r="AA460" s="45"/>
      <c r="AB460" s="45"/>
      <c r="AC460" s="45"/>
      <c r="AD460" s="45"/>
      <c r="AE460" s="45"/>
    </row>
    <row r="461" spans="1:31" s="12" customFormat="1" ht="12">
      <c r="A461" s="27">
        <v>45610</v>
      </c>
      <c r="B461" s="53" t="s">
        <v>211</v>
      </c>
      <c r="C461" s="37" t="s">
        <v>82</v>
      </c>
      <c r="D461" s="34" t="s">
        <v>186</v>
      </c>
      <c r="E461" s="34" t="e">
        <f>IF(B461="","",VLOOKUP($B461,#REF!,4,FALSE))</f>
        <v>#REF!</v>
      </c>
      <c r="F461" s="34" t="e">
        <f>IF(E461="","",VLOOKUP($B461,#REF!,5,FALSE))</f>
        <v>#REF!</v>
      </c>
      <c r="G461" s="34" t="e">
        <f>IF(F461="","",VLOOKUP($B461,#REF!,6,FALSE))</f>
        <v>#REF!</v>
      </c>
      <c r="H461" s="34" t="e">
        <f>IF(G461="","",VLOOKUP($B461,#REF!,7,FALSE))</f>
        <v>#REF!</v>
      </c>
      <c r="I461" s="25"/>
      <c r="J461" s="25"/>
      <c r="K461" s="25"/>
      <c r="L461" s="25"/>
      <c r="M461" s="25"/>
      <c r="N461" s="25"/>
      <c r="O461" s="33">
        <f t="shared" si="15"/>
        <v>0</v>
      </c>
      <c r="P461" s="25"/>
      <c r="Q461" s="25">
        <v>0</v>
      </c>
      <c r="R461" s="25"/>
      <c r="S461" s="25"/>
      <c r="T461" s="25"/>
      <c r="U461" s="25"/>
      <c r="V461" s="39">
        <v>156</v>
      </c>
      <c r="W461" s="25"/>
      <c r="X461" s="33">
        <f t="shared" si="14"/>
        <v>156</v>
      </c>
      <c r="Y461" s="39">
        <v>46020</v>
      </c>
      <c r="Z461" s="25">
        <v>7179120</v>
      </c>
      <c r="AA461" s="45"/>
      <c r="AB461" s="45"/>
      <c r="AC461" s="45"/>
      <c r="AD461" s="45"/>
      <c r="AE461" s="45"/>
    </row>
    <row r="462" spans="1:31" s="12" customFormat="1" ht="12">
      <c r="A462" s="27">
        <v>45610</v>
      </c>
      <c r="B462" s="41" t="s">
        <v>211</v>
      </c>
      <c r="C462" s="37" t="s">
        <v>82</v>
      </c>
      <c r="D462" s="34" t="s">
        <v>186</v>
      </c>
      <c r="E462" s="34" t="e">
        <f>IF(B462="","",VLOOKUP($B462,#REF!,4,FALSE))</f>
        <v>#REF!</v>
      </c>
      <c r="F462" s="34" t="e">
        <f>IF(E462="","",VLOOKUP($B462,#REF!,5,FALSE))</f>
        <v>#REF!</v>
      </c>
      <c r="G462" s="34" t="e">
        <f>IF(F462="","",VLOOKUP($B462,#REF!,6,FALSE))</f>
        <v>#REF!</v>
      </c>
      <c r="H462" s="34" t="e">
        <f>IF(G462="","",VLOOKUP($B462,#REF!,7,FALSE))</f>
        <v>#REF!</v>
      </c>
      <c r="I462" s="25"/>
      <c r="J462" s="25"/>
      <c r="K462" s="25"/>
      <c r="L462" s="25"/>
      <c r="M462" s="25"/>
      <c r="N462" s="25"/>
      <c r="O462" s="33">
        <f t="shared" si="15"/>
        <v>0</v>
      </c>
      <c r="P462" s="25"/>
      <c r="Q462" s="25">
        <v>0</v>
      </c>
      <c r="R462" s="25"/>
      <c r="S462" s="25"/>
      <c r="T462" s="25"/>
      <c r="U462" s="25"/>
      <c r="V462" s="39">
        <v>72</v>
      </c>
      <c r="W462" s="25"/>
      <c r="X462" s="33">
        <f t="shared" si="14"/>
        <v>72</v>
      </c>
      <c r="Y462" s="39">
        <v>46020</v>
      </c>
      <c r="Z462" s="25">
        <v>3313440</v>
      </c>
      <c r="AA462" s="45"/>
      <c r="AB462" s="45"/>
      <c r="AC462" s="45"/>
      <c r="AD462" s="45"/>
      <c r="AE462" s="45"/>
    </row>
    <row r="463" spans="1:31" s="12" customFormat="1" ht="12">
      <c r="A463" s="27">
        <v>45610</v>
      </c>
      <c r="B463" s="53" t="s">
        <v>28</v>
      </c>
      <c r="C463" s="37" t="s">
        <v>82</v>
      </c>
      <c r="D463" s="34" t="s">
        <v>186</v>
      </c>
      <c r="E463" s="34" t="e">
        <f>IF(B463="","",VLOOKUP($B463,#REF!,4,FALSE))</f>
        <v>#REF!</v>
      </c>
      <c r="F463" s="34" t="e">
        <f>IF(E463="","",VLOOKUP($B463,#REF!,5,FALSE))</f>
        <v>#REF!</v>
      </c>
      <c r="G463" s="34" t="e">
        <f>IF(F463="","",VLOOKUP($B463,#REF!,6,FALSE))</f>
        <v>#REF!</v>
      </c>
      <c r="H463" s="34" t="e">
        <f>IF(G463="","",VLOOKUP($B463,#REF!,7,FALSE))</f>
        <v>#REF!</v>
      </c>
      <c r="I463" s="25"/>
      <c r="J463" s="25"/>
      <c r="K463" s="25"/>
      <c r="L463" s="25"/>
      <c r="M463" s="25"/>
      <c r="N463" s="25"/>
      <c r="O463" s="33">
        <f t="shared" si="15"/>
        <v>0</v>
      </c>
      <c r="P463" s="25"/>
      <c r="Q463" s="25">
        <v>0</v>
      </c>
      <c r="R463" s="25"/>
      <c r="S463" s="25"/>
      <c r="T463" s="25"/>
      <c r="U463" s="25"/>
      <c r="V463" s="39">
        <v>12</v>
      </c>
      <c r="W463" s="25"/>
      <c r="X463" s="33">
        <f t="shared" si="14"/>
        <v>12</v>
      </c>
      <c r="Y463" s="39">
        <v>186150</v>
      </c>
      <c r="Z463" s="25">
        <v>2233800</v>
      </c>
      <c r="AA463" s="45"/>
      <c r="AB463" s="45"/>
      <c r="AC463" s="45"/>
      <c r="AD463" s="45"/>
      <c r="AE463" s="45"/>
    </row>
    <row r="464" spans="1:31" s="12" customFormat="1" ht="12">
      <c r="A464" s="27">
        <v>45610</v>
      </c>
      <c r="B464" s="53" t="s">
        <v>160</v>
      </c>
      <c r="C464" s="37" t="s">
        <v>82</v>
      </c>
      <c r="D464" s="34" t="s">
        <v>186</v>
      </c>
      <c r="E464" s="34" t="e">
        <f>IF(B464="","",VLOOKUP($B464,#REF!,4,FALSE))</f>
        <v>#REF!</v>
      </c>
      <c r="F464" s="34" t="e">
        <f>IF(E464="","",VLOOKUP($B464,#REF!,5,FALSE))</f>
        <v>#REF!</v>
      </c>
      <c r="G464" s="34" t="e">
        <f>IF(F464="","",VLOOKUP($B464,#REF!,6,FALSE))</f>
        <v>#REF!</v>
      </c>
      <c r="H464" s="34" t="e">
        <f>IF(G464="","",VLOOKUP($B464,#REF!,7,FALSE))</f>
        <v>#REF!</v>
      </c>
      <c r="I464" s="25"/>
      <c r="J464" s="25"/>
      <c r="K464" s="25"/>
      <c r="L464" s="25"/>
      <c r="M464" s="25"/>
      <c r="N464" s="25"/>
      <c r="O464" s="33">
        <f t="shared" si="15"/>
        <v>0</v>
      </c>
      <c r="P464" s="25"/>
      <c r="Q464" s="25">
        <v>0</v>
      </c>
      <c r="R464" s="25"/>
      <c r="S464" s="25"/>
      <c r="T464" s="25"/>
      <c r="U464" s="25"/>
      <c r="V464" s="39">
        <v>24</v>
      </c>
      <c r="W464" s="25"/>
      <c r="X464" s="33">
        <f t="shared" si="14"/>
        <v>24</v>
      </c>
      <c r="Y464" s="39">
        <v>97900</v>
      </c>
      <c r="Z464" s="25">
        <v>2349600</v>
      </c>
      <c r="AA464" s="45"/>
      <c r="AB464" s="45"/>
      <c r="AC464" s="45"/>
      <c r="AD464" s="45"/>
      <c r="AE464" s="45"/>
    </row>
    <row r="465" spans="1:31" s="12" customFormat="1" ht="12">
      <c r="A465" s="27">
        <v>45610</v>
      </c>
      <c r="B465" s="53" t="s">
        <v>35</v>
      </c>
      <c r="C465" s="37" t="s">
        <v>141</v>
      </c>
      <c r="D465" s="34" t="s">
        <v>173</v>
      </c>
      <c r="E465" s="34" t="e">
        <f>IF(B465="","",VLOOKUP($B465,#REF!,4,FALSE))</f>
        <v>#REF!</v>
      </c>
      <c r="F465" s="34" t="e">
        <f>IF(E465="","",VLOOKUP($B465,#REF!,5,FALSE))</f>
        <v>#REF!</v>
      </c>
      <c r="G465" s="34" t="e">
        <f>IF(F465="","",VLOOKUP($B465,#REF!,6,FALSE))</f>
        <v>#REF!</v>
      </c>
      <c r="H465" s="34" t="e">
        <f>IF(G465="","",VLOOKUP($B465,#REF!,7,FALSE))</f>
        <v>#REF!</v>
      </c>
      <c r="I465" s="25"/>
      <c r="J465" s="25"/>
      <c r="K465" s="25"/>
      <c r="L465" s="25"/>
      <c r="M465" s="25"/>
      <c r="N465" s="25"/>
      <c r="O465" s="33">
        <f t="shared" si="15"/>
        <v>0</v>
      </c>
      <c r="P465" s="25"/>
      <c r="Q465" s="25">
        <v>0</v>
      </c>
      <c r="R465" s="25">
        <v>960</v>
      </c>
      <c r="S465" s="25"/>
      <c r="T465" s="25"/>
      <c r="U465" s="25"/>
      <c r="V465" s="39"/>
      <c r="W465" s="25"/>
      <c r="X465" s="33">
        <f t="shared" si="14"/>
        <v>960</v>
      </c>
      <c r="Y465" s="39">
        <f>Z465/X465</f>
        <v>87074.273958333331</v>
      </c>
      <c r="Z465" s="39">
        <v>83591303</v>
      </c>
      <c r="AA465" s="45" t="s">
        <v>206</v>
      </c>
      <c r="AB465" s="45" t="s">
        <v>141</v>
      </c>
      <c r="AC465" s="45" t="s">
        <v>173</v>
      </c>
      <c r="AD465" s="45"/>
      <c r="AE465" s="45"/>
    </row>
    <row r="466" spans="1:31" s="12" customFormat="1" ht="12">
      <c r="A466" s="27">
        <v>45610</v>
      </c>
      <c r="B466" s="53" t="s">
        <v>15</v>
      </c>
      <c r="C466" s="37" t="s">
        <v>83</v>
      </c>
      <c r="D466" s="34" t="s">
        <v>185</v>
      </c>
      <c r="E466" s="34" t="e">
        <f>IF(B466="","",VLOOKUP($B466,#REF!,4,FALSE))</f>
        <v>#REF!</v>
      </c>
      <c r="F466" s="34" t="e">
        <f>IF(E466="","",VLOOKUP($B466,#REF!,5,FALSE))</f>
        <v>#REF!</v>
      </c>
      <c r="G466" s="34" t="e">
        <f>IF(F466="","",VLOOKUP($B466,#REF!,6,FALSE))</f>
        <v>#REF!</v>
      </c>
      <c r="H466" s="34" t="e">
        <f>IF(G466="","",VLOOKUP($B466,#REF!,7,FALSE))</f>
        <v>#REF!</v>
      </c>
      <c r="I466" s="25"/>
      <c r="J466" s="25"/>
      <c r="K466" s="25"/>
      <c r="L466" s="25"/>
      <c r="M466" s="25"/>
      <c r="N466" s="25"/>
      <c r="O466" s="33">
        <f t="shared" si="15"/>
        <v>0</v>
      </c>
      <c r="P466" s="25"/>
      <c r="Q466" s="25">
        <v>0</v>
      </c>
      <c r="R466" s="25"/>
      <c r="S466" s="25"/>
      <c r="T466" s="25">
        <v>6</v>
      </c>
      <c r="U466" s="25"/>
      <c r="V466" s="39"/>
      <c r="W466" s="25"/>
      <c r="X466" s="33">
        <f t="shared" si="14"/>
        <v>6</v>
      </c>
      <c r="Y466" s="39">
        <v>69600</v>
      </c>
      <c r="Z466" s="25">
        <v>417600</v>
      </c>
      <c r="AA466" s="45"/>
      <c r="AB466" s="45"/>
      <c r="AC466" s="45"/>
      <c r="AD466" s="45"/>
      <c r="AE466" s="45"/>
    </row>
    <row r="467" spans="1:31" s="12" customFormat="1" ht="12">
      <c r="A467" s="27">
        <v>45610</v>
      </c>
      <c r="B467" s="47" t="s">
        <v>10</v>
      </c>
      <c r="C467" s="37" t="s">
        <v>83</v>
      </c>
      <c r="D467" s="34" t="s">
        <v>185</v>
      </c>
      <c r="E467" s="34" t="e">
        <f>IF(B467="","",VLOOKUP($B467,#REF!,4,FALSE))</f>
        <v>#REF!</v>
      </c>
      <c r="F467" s="34" t="e">
        <f>IF(E467="","",VLOOKUP($B467,#REF!,5,FALSE))</f>
        <v>#REF!</v>
      </c>
      <c r="G467" s="34" t="e">
        <f>IF(F467="","",VLOOKUP($B467,#REF!,6,FALSE))</f>
        <v>#REF!</v>
      </c>
      <c r="H467" s="34" t="e">
        <f>IF(G467="","",VLOOKUP($B467,#REF!,7,FALSE))</f>
        <v>#REF!</v>
      </c>
      <c r="I467" s="25"/>
      <c r="J467" s="25"/>
      <c r="K467" s="25"/>
      <c r="L467" s="25"/>
      <c r="M467" s="25"/>
      <c r="N467" s="25"/>
      <c r="O467" s="33">
        <f t="shared" si="15"/>
        <v>0</v>
      </c>
      <c r="P467" s="25"/>
      <c r="Q467" s="25">
        <v>0</v>
      </c>
      <c r="R467" s="25"/>
      <c r="S467" s="25"/>
      <c r="T467" s="25">
        <v>1</v>
      </c>
      <c r="U467" s="25"/>
      <c r="V467" s="39"/>
      <c r="W467" s="25"/>
      <c r="X467" s="33">
        <f t="shared" si="14"/>
        <v>1</v>
      </c>
      <c r="Y467" s="39">
        <v>57000</v>
      </c>
      <c r="Z467" s="25">
        <v>57000</v>
      </c>
      <c r="AA467" s="45"/>
      <c r="AB467" s="45"/>
      <c r="AC467" s="45"/>
      <c r="AD467" s="45"/>
      <c r="AE467" s="45"/>
    </row>
    <row r="468" spans="1:31" s="12" customFormat="1" ht="12">
      <c r="A468" s="27">
        <v>45610</v>
      </c>
      <c r="B468" s="53" t="s">
        <v>25</v>
      </c>
      <c r="C468" s="37" t="s">
        <v>83</v>
      </c>
      <c r="D468" s="34" t="s">
        <v>185</v>
      </c>
      <c r="E468" s="34" t="e">
        <f>IF(B468="","",VLOOKUP($B468,#REF!,4,FALSE))</f>
        <v>#REF!</v>
      </c>
      <c r="F468" s="34" t="e">
        <f>IF(E468="","",VLOOKUP($B468,#REF!,5,FALSE))</f>
        <v>#REF!</v>
      </c>
      <c r="G468" s="34" t="e">
        <f>IF(F468="","",VLOOKUP($B468,#REF!,6,FALSE))</f>
        <v>#REF!</v>
      </c>
      <c r="H468" s="34" t="e">
        <f>IF(G468="","",VLOOKUP($B468,#REF!,7,FALSE))</f>
        <v>#REF!</v>
      </c>
      <c r="I468" s="25"/>
      <c r="J468" s="25"/>
      <c r="K468" s="25"/>
      <c r="L468" s="25"/>
      <c r="M468" s="25"/>
      <c r="N468" s="25"/>
      <c r="O468" s="33">
        <f t="shared" si="15"/>
        <v>0</v>
      </c>
      <c r="P468" s="25"/>
      <c r="Q468" s="25">
        <v>0</v>
      </c>
      <c r="R468" s="25"/>
      <c r="S468" s="25"/>
      <c r="T468" s="25">
        <v>1</v>
      </c>
      <c r="U468" s="25"/>
      <c r="V468" s="39"/>
      <c r="W468" s="25"/>
      <c r="X468" s="33">
        <f t="shared" si="14"/>
        <v>1</v>
      </c>
      <c r="Y468" s="39">
        <v>57000</v>
      </c>
      <c r="Z468" s="25">
        <v>57000</v>
      </c>
      <c r="AA468" s="45"/>
      <c r="AB468" s="45"/>
      <c r="AC468" s="45"/>
      <c r="AD468" s="45"/>
      <c r="AE468" s="45"/>
    </row>
    <row r="469" spans="1:31" s="12" customFormat="1" ht="12">
      <c r="A469" s="27">
        <v>45610</v>
      </c>
      <c r="B469" s="28" t="s">
        <v>38</v>
      </c>
      <c r="C469" s="37" t="s">
        <v>83</v>
      </c>
      <c r="D469" s="34" t="s">
        <v>185</v>
      </c>
      <c r="E469" s="34" t="e">
        <f>IF(B469="","",VLOOKUP($B469,#REF!,4,FALSE))</f>
        <v>#REF!</v>
      </c>
      <c r="F469" s="34" t="e">
        <f>IF(E469="","",VLOOKUP($B469,#REF!,5,FALSE))</f>
        <v>#REF!</v>
      </c>
      <c r="G469" s="34" t="e">
        <f>IF(F469="","",VLOOKUP($B469,#REF!,6,FALSE))</f>
        <v>#REF!</v>
      </c>
      <c r="H469" s="34" t="e">
        <f>IF(G469="","",VLOOKUP($B469,#REF!,7,FALSE))</f>
        <v>#REF!</v>
      </c>
      <c r="I469" s="25"/>
      <c r="J469" s="25"/>
      <c r="K469" s="25"/>
      <c r="L469" s="25"/>
      <c r="M469" s="25"/>
      <c r="N469" s="25"/>
      <c r="O469" s="33">
        <f t="shared" si="15"/>
        <v>0</v>
      </c>
      <c r="P469" s="25"/>
      <c r="Q469" s="25">
        <v>0</v>
      </c>
      <c r="R469" s="25"/>
      <c r="S469" s="25"/>
      <c r="T469" s="25">
        <v>17</v>
      </c>
      <c r="U469" s="25"/>
      <c r="V469" s="39"/>
      <c r="W469" s="25"/>
      <c r="X469" s="33">
        <f t="shared" si="14"/>
        <v>17</v>
      </c>
      <c r="Y469" s="39">
        <v>54600</v>
      </c>
      <c r="Z469" s="25">
        <v>928200</v>
      </c>
      <c r="AA469" s="45"/>
      <c r="AB469" s="45"/>
      <c r="AC469" s="45"/>
      <c r="AD469" s="45"/>
      <c r="AE469" s="45"/>
    </row>
    <row r="470" spans="1:31" s="12" customFormat="1" ht="12">
      <c r="A470" s="27">
        <v>45610</v>
      </c>
      <c r="B470" s="53" t="s">
        <v>23</v>
      </c>
      <c r="C470" s="37" t="s">
        <v>83</v>
      </c>
      <c r="D470" s="34" t="s">
        <v>185</v>
      </c>
      <c r="E470" s="34" t="e">
        <f>IF(B470="","",VLOOKUP($B470,#REF!,4,FALSE))</f>
        <v>#REF!</v>
      </c>
      <c r="F470" s="34" t="e">
        <f>IF(E470="","",VLOOKUP($B470,#REF!,5,FALSE))</f>
        <v>#REF!</v>
      </c>
      <c r="G470" s="34" t="e">
        <f>IF(F470="","",VLOOKUP($B470,#REF!,6,FALSE))</f>
        <v>#REF!</v>
      </c>
      <c r="H470" s="34" t="e">
        <f>IF(G470="","",VLOOKUP($B470,#REF!,7,FALSE))</f>
        <v>#REF!</v>
      </c>
      <c r="I470" s="25"/>
      <c r="J470" s="25"/>
      <c r="K470" s="25"/>
      <c r="L470" s="25"/>
      <c r="M470" s="25"/>
      <c r="N470" s="25"/>
      <c r="O470" s="33">
        <f t="shared" si="15"/>
        <v>0</v>
      </c>
      <c r="P470" s="25"/>
      <c r="Q470" s="25">
        <v>0</v>
      </c>
      <c r="R470" s="25"/>
      <c r="S470" s="25"/>
      <c r="T470" s="25">
        <v>19</v>
      </c>
      <c r="U470" s="25"/>
      <c r="V470" s="39"/>
      <c r="W470" s="25"/>
      <c r="X470" s="33">
        <f t="shared" si="14"/>
        <v>19</v>
      </c>
      <c r="Y470" s="39">
        <v>46080</v>
      </c>
      <c r="Z470" s="25">
        <v>875520</v>
      </c>
      <c r="AA470" s="45"/>
      <c r="AB470" s="45"/>
      <c r="AC470" s="45"/>
      <c r="AD470" s="45"/>
      <c r="AE470" s="45"/>
    </row>
    <row r="471" spans="1:31" s="12" customFormat="1" ht="12">
      <c r="A471" s="27">
        <v>45610</v>
      </c>
      <c r="B471" s="53" t="s">
        <v>61</v>
      </c>
      <c r="C471" s="37" t="s">
        <v>83</v>
      </c>
      <c r="D471" s="34" t="s">
        <v>185</v>
      </c>
      <c r="E471" s="34" t="e">
        <f>IF(B471="","",VLOOKUP($B471,#REF!,4,FALSE))</f>
        <v>#REF!</v>
      </c>
      <c r="F471" s="34" t="e">
        <f>IF(E471="","",VLOOKUP($B471,#REF!,5,FALSE))</f>
        <v>#REF!</v>
      </c>
      <c r="G471" s="34" t="e">
        <f>IF(F471="","",VLOOKUP($B471,#REF!,6,FALSE))</f>
        <v>#REF!</v>
      </c>
      <c r="H471" s="34" t="e">
        <f>IF(G471="","",VLOOKUP($B471,#REF!,7,FALSE))</f>
        <v>#REF!</v>
      </c>
      <c r="I471" s="25"/>
      <c r="J471" s="25"/>
      <c r="K471" s="25"/>
      <c r="L471" s="25"/>
      <c r="M471" s="25"/>
      <c r="N471" s="25"/>
      <c r="O471" s="33">
        <f t="shared" si="15"/>
        <v>0</v>
      </c>
      <c r="P471" s="25"/>
      <c r="Q471" s="25">
        <v>0</v>
      </c>
      <c r="R471" s="25"/>
      <c r="S471" s="25"/>
      <c r="T471" s="25">
        <v>27</v>
      </c>
      <c r="U471" s="25"/>
      <c r="V471" s="39"/>
      <c r="W471" s="25"/>
      <c r="X471" s="33">
        <f t="shared" si="14"/>
        <v>27</v>
      </c>
      <c r="Y471" s="39">
        <v>67500</v>
      </c>
      <c r="Z471" s="25">
        <v>1822500</v>
      </c>
      <c r="AA471" s="45"/>
      <c r="AB471" s="45"/>
      <c r="AC471" s="45"/>
      <c r="AD471" s="45"/>
      <c r="AE471" s="45"/>
    </row>
    <row r="472" spans="1:31" s="12" customFormat="1" ht="12">
      <c r="A472" s="27">
        <v>45610</v>
      </c>
      <c r="B472" s="53" t="s">
        <v>26</v>
      </c>
      <c r="C472" s="37" t="s">
        <v>83</v>
      </c>
      <c r="D472" s="34" t="s">
        <v>185</v>
      </c>
      <c r="E472" s="34" t="e">
        <f>IF(B472="","",VLOOKUP($B472,#REF!,4,FALSE))</f>
        <v>#REF!</v>
      </c>
      <c r="F472" s="34" t="e">
        <f>IF(E472="","",VLOOKUP($B472,#REF!,5,FALSE))</f>
        <v>#REF!</v>
      </c>
      <c r="G472" s="34" t="e">
        <f>IF(F472="","",VLOOKUP($B472,#REF!,6,FALSE))</f>
        <v>#REF!</v>
      </c>
      <c r="H472" s="34" t="e">
        <f>IF(G472="","",VLOOKUP($B472,#REF!,7,FALSE))</f>
        <v>#REF!</v>
      </c>
      <c r="I472" s="25"/>
      <c r="J472" s="25"/>
      <c r="K472" s="25"/>
      <c r="L472" s="25"/>
      <c r="M472" s="25"/>
      <c r="N472" s="25"/>
      <c r="O472" s="33">
        <f t="shared" si="15"/>
        <v>0</v>
      </c>
      <c r="P472" s="25"/>
      <c r="Q472" s="25">
        <v>0</v>
      </c>
      <c r="R472" s="25"/>
      <c r="S472" s="25"/>
      <c r="T472" s="25">
        <v>4</v>
      </c>
      <c r="U472" s="25"/>
      <c r="V472" s="39"/>
      <c r="W472" s="25"/>
      <c r="X472" s="33">
        <f t="shared" si="14"/>
        <v>4</v>
      </c>
      <c r="Y472" s="39">
        <v>23200</v>
      </c>
      <c r="Z472" s="25">
        <v>92800</v>
      </c>
      <c r="AA472" s="45"/>
      <c r="AB472" s="45"/>
      <c r="AC472" s="45"/>
      <c r="AD472" s="45"/>
      <c r="AE472" s="45"/>
    </row>
    <row r="473" spans="1:31" s="12" customFormat="1" ht="12">
      <c r="A473" s="27">
        <v>45610</v>
      </c>
      <c r="B473" s="53" t="s">
        <v>10</v>
      </c>
      <c r="C473" s="37" t="s">
        <v>83</v>
      </c>
      <c r="D473" s="34" t="s">
        <v>185</v>
      </c>
      <c r="E473" s="34" t="e">
        <f>IF(B473="","",VLOOKUP($B473,#REF!,4,FALSE))</f>
        <v>#REF!</v>
      </c>
      <c r="F473" s="34" t="e">
        <f>IF(E473="","",VLOOKUP($B473,#REF!,5,FALSE))</f>
        <v>#REF!</v>
      </c>
      <c r="G473" s="34" t="e">
        <f>IF(F473="","",VLOOKUP($B473,#REF!,6,FALSE))</f>
        <v>#REF!</v>
      </c>
      <c r="H473" s="34" t="e">
        <f>IF(G473="","",VLOOKUP($B473,#REF!,7,FALSE))</f>
        <v>#REF!</v>
      </c>
      <c r="I473" s="25"/>
      <c r="J473" s="25"/>
      <c r="K473" s="25"/>
      <c r="L473" s="25"/>
      <c r="M473" s="25"/>
      <c r="N473" s="25"/>
      <c r="O473" s="33">
        <f t="shared" si="15"/>
        <v>0</v>
      </c>
      <c r="P473" s="25"/>
      <c r="Q473" s="25">
        <v>0</v>
      </c>
      <c r="R473" s="25"/>
      <c r="S473" s="25"/>
      <c r="T473" s="25">
        <v>2</v>
      </c>
      <c r="U473" s="25"/>
      <c r="V473" s="39"/>
      <c r="W473" s="25"/>
      <c r="X473" s="33">
        <f t="shared" si="14"/>
        <v>2</v>
      </c>
      <c r="Y473" s="39"/>
      <c r="Z473" s="25">
        <v>0</v>
      </c>
      <c r="AA473" s="45"/>
      <c r="AB473" s="45"/>
      <c r="AC473" s="45"/>
      <c r="AD473" s="45"/>
      <c r="AE473" s="45"/>
    </row>
    <row r="474" spans="1:31" s="12" customFormat="1" ht="12">
      <c r="A474" s="27">
        <v>45610</v>
      </c>
      <c r="B474" s="53" t="s">
        <v>161</v>
      </c>
      <c r="C474" s="37" t="s">
        <v>83</v>
      </c>
      <c r="D474" s="34" t="s">
        <v>185</v>
      </c>
      <c r="E474" s="34" t="e">
        <f>IF(B474="","",VLOOKUP($B474,#REF!,4,FALSE))</f>
        <v>#REF!</v>
      </c>
      <c r="F474" s="34" t="e">
        <f>IF(E474="","",VLOOKUP($B474,#REF!,5,FALSE))</f>
        <v>#REF!</v>
      </c>
      <c r="G474" s="34" t="e">
        <f>IF(F474="","",VLOOKUP($B474,#REF!,6,FALSE))</f>
        <v>#REF!</v>
      </c>
      <c r="H474" s="34" t="e">
        <f>IF(G474="","",VLOOKUP($B474,#REF!,7,FALSE))</f>
        <v>#REF!</v>
      </c>
      <c r="I474" s="25"/>
      <c r="J474" s="25"/>
      <c r="K474" s="25">
        <v>2</v>
      </c>
      <c r="L474" s="25"/>
      <c r="M474" s="25"/>
      <c r="N474" s="25"/>
      <c r="O474" s="33">
        <f t="shared" si="15"/>
        <v>2</v>
      </c>
      <c r="P474" s="25"/>
      <c r="Q474" s="25">
        <v>0</v>
      </c>
      <c r="R474" s="25"/>
      <c r="S474" s="25"/>
      <c r="T474" s="25">
        <v>2</v>
      </c>
      <c r="U474" s="25"/>
      <c r="V474" s="39"/>
      <c r="W474" s="25"/>
      <c r="X474" s="33">
        <f t="shared" si="14"/>
        <v>2</v>
      </c>
      <c r="Y474" s="39">
        <v>44280</v>
      </c>
      <c r="Z474" s="25">
        <v>88560</v>
      </c>
      <c r="AA474" s="45"/>
      <c r="AB474" s="45"/>
      <c r="AC474" s="45"/>
      <c r="AD474" s="45"/>
      <c r="AE474" s="45"/>
    </row>
    <row r="475" spans="1:31" s="12" customFormat="1" ht="12">
      <c r="A475" s="27">
        <v>45610</v>
      </c>
      <c r="B475" s="53" t="s">
        <v>204</v>
      </c>
      <c r="C475" s="37">
        <v>0</v>
      </c>
      <c r="D475" s="34" t="s">
        <v>187</v>
      </c>
      <c r="E475" s="34" t="e">
        <f>IF(B475="","",VLOOKUP($B475,#REF!,4,FALSE))</f>
        <v>#REF!</v>
      </c>
      <c r="F475" s="34" t="e">
        <f>IF(E475="","",VLOOKUP($B475,#REF!,5,FALSE))</f>
        <v>#REF!</v>
      </c>
      <c r="G475" s="34" t="e">
        <f>IF(F475="","",VLOOKUP($B475,#REF!,6,FALSE))</f>
        <v>#REF!</v>
      </c>
      <c r="H475" s="34" t="e">
        <f>IF(G475="","",VLOOKUP($B475,#REF!,7,FALSE))</f>
        <v>#REF!</v>
      </c>
      <c r="I475" s="25"/>
      <c r="J475" s="25"/>
      <c r="K475" s="25"/>
      <c r="L475" s="25"/>
      <c r="M475" s="25"/>
      <c r="N475" s="25"/>
      <c r="O475" s="33">
        <f t="shared" si="15"/>
        <v>0</v>
      </c>
      <c r="P475" s="25"/>
      <c r="Q475" s="25">
        <v>0</v>
      </c>
      <c r="R475" s="25"/>
      <c r="S475" s="25"/>
      <c r="T475" s="25">
        <v>3</v>
      </c>
      <c r="U475" s="25"/>
      <c r="V475" s="39"/>
      <c r="W475" s="25"/>
      <c r="X475" s="33">
        <f t="shared" si="14"/>
        <v>3</v>
      </c>
      <c r="Y475" s="39"/>
      <c r="Z475" s="25">
        <v>0</v>
      </c>
      <c r="AA475" s="45" t="s">
        <v>272</v>
      </c>
      <c r="AB475" s="45"/>
      <c r="AC475" s="45"/>
      <c r="AD475" s="45"/>
      <c r="AE475" s="45"/>
    </row>
    <row r="476" spans="1:31" s="12" customFormat="1" ht="12">
      <c r="A476" s="27">
        <v>45610</v>
      </c>
      <c r="B476" s="73" t="s">
        <v>10</v>
      </c>
      <c r="C476" s="37" t="s">
        <v>83</v>
      </c>
      <c r="D476" s="34" t="s">
        <v>185</v>
      </c>
      <c r="E476" s="34" t="e">
        <f>IF(B476="","",VLOOKUP($B476,#REF!,4,FALSE))</f>
        <v>#REF!</v>
      </c>
      <c r="F476" s="34" t="e">
        <f>IF(E476="","",VLOOKUP($B476,#REF!,5,FALSE))</f>
        <v>#REF!</v>
      </c>
      <c r="G476" s="34" t="e">
        <f>IF(F476="","",VLOOKUP($B476,#REF!,6,FALSE))</f>
        <v>#REF!</v>
      </c>
      <c r="H476" s="34" t="e">
        <f>IF(G476="","",VLOOKUP($B476,#REF!,7,FALSE))</f>
        <v>#REF!</v>
      </c>
      <c r="I476" s="25"/>
      <c r="J476" s="25"/>
      <c r="K476" s="25"/>
      <c r="L476" s="25"/>
      <c r="M476" s="25"/>
      <c r="N476" s="25"/>
      <c r="O476" s="33">
        <f t="shared" si="15"/>
        <v>0</v>
      </c>
      <c r="P476" s="25"/>
      <c r="Q476" s="25">
        <v>0</v>
      </c>
      <c r="R476" s="25"/>
      <c r="S476" s="25"/>
      <c r="T476" s="25">
        <v>1</v>
      </c>
      <c r="U476" s="25"/>
      <c r="V476" s="39"/>
      <c r="W476" s="25"/>
      <c r="X476" s="33">
        <f t="shared" si="14"/>
        <v>1</v>
      </c>
      <c r="Y476" s="39"/>
      <c r="Z476" s="25">
        <v>0</v>
      </c>
      <c r="AA476" s="45"/>
      <c r="AB476" s="45"/>
      <c r="AC476" s="45"/>
      <c r="AD476" s="45"/>
      <c r="AE476" s="45"/>
    </row>
    <row r="477" spans="1:31" s="12" customFormat="1" ht="12">
      <c r="A477" s="27">
        <v>45610</v>
      </c>
      <c r="B477" s="53" t="s">
        <v>165</v>
      </c>
      <c r="C477" s="37" t="s">
        <v>86</v>
      </c>
      <c r="D477" s="34" t="s">
        <v>51</v>
      </c>
      <c r="E477" s="34" t="e">
        <f>IF(B477="","",VLOOKUP($B477,#REF!,4,FALSE))</f>
        <v>#REF!</v>
      </c>
      <c r="F477" s="34" t="e">
        <f>IF(E477="","",VLOOKUP($B477,#REF!,5,FALSE))</f>
        <v>#REF!</v>
      </c>
      <c r="G477" s="34" t="e">
        <f>IF(F477="","",VLOOKUP($B477,#REF!,6,FALSE))</f>
        <v>#REF!</v>
      </c>
      <c r="H477" s="34" t="e">
        <f>IF(G477="","",VLOOKUP($B477,#REF!,7,FALSE))</f>
        <v>#REF!</v>
      </c>
      <c r="I477" s="25"/>
      <c r="J477" s="25"/>
      <c r="K477" s="25">
        <v>1</v>
      </c>
      <c r="L477" s="25"/>
      <c r="M477" s="25"/>
      <c r="N477" s="25"/>
      <c r="O477" s="33">
        <f t="shared" si="15"/>
        <v>1</v>
      </c>
      <c r="P477" s="25"/>
      <c r="Q477" s="25">
        <v>0</v>
      </c>
      <c r="R477" s="25"/>
      <c r="S477" s="25"/>
      <c r="T477" s="25">
        <v>1</v>
      </c>
      <c r="U477" s="25"/>
      <c r="V477" s="39"/>
      <c r="W477" s="25"/>
      <c r="X477" s="33">
        <f t="shared" si="14"/>
        <v>1</v>
      </c>
      <c r="Y477" s="39">
        <v>67200</v>
      </c>
      <c r="Z477" s="25">
        <v>67200</v>
      </c>
      <c r="AA477" s="45"/>
      <c r="AB477" s="45"/>
      <c r="AC477" s="45"/>
      <c r="AD477" s="45"/>
      <c r="AE477" s="45"/>
    </row>
    <row r="478" spans="1:31" s="12" customFormat="1" ht="12">
      <c r="A478" s="27">
        <v>45610</v>
      </c>
      <c r="B478" s="28" t="s">
        <v>25</v>
      </c>
      <c r="C478" s="37" t="s">
        <v>83</v>
      </c>
      <c r="D478" s="34" t="s">
        <v>185</v>
      </c>
      <c r="E478" s="34" t="e">
        <f>IF(B478="","",VLOOKUP($B478,#REF!,4,FALSE))</f>
        <v>#REF!</v>
      </c>
      <c r="F478" s="34" t="e">
        <f>IF(E478="","",VLOOKUP($B478,#REF!,5,FALSE))</f>
        <v>#REF!</v>
      </c>
      <c r="G478" s="34" t="e">
        <f>IF(F478="","",VLOOKUP($B478,#REF!,6,FALSE))</f>
        <v>#REF!</v>
      </c>
      <c r="H478" s="34" t="e">
        <f>IF(G478="","",VLOOKUP($B478,#REF!,7,FALSE))</f>
        <v>#REF!</v>
      </c>
      <c r="I478" s="25"/>
      <c r="J478" s="25"/>
      <c r="K478" s="25"/>
      <c r="L478" s="25"/>
      <c r="M478" s="25"/>
      <c r="N478" s="25"/>
      <c r="O478" s="33">
        <f t="shared" si="15"/>
        <v>0</v>
      </c>
      <c r="P478" s="25"/>
      <c r="Q478" s="25">
        <v>0</v>
      </c>
      <c r="R478" s="25"/>
      <c r="S478" s="25"/>
      <c r="T478" s="25">
        <v>2</v>
      </c>
      <c r="U478" s="25"/>
      <c r="V478" s="39"/>
      <c r="W478" s="25"/>
      <c r="X478" s="33">
        <f t="shared" si="14"/>
        <v>2</v>
      </c>
      <c r="Y478" s="25"/>
      <c r="Z478" s="25">
        <v>0</v>
      </c>
      <c r="AA478" s="45"/>
      <c r="AB478" s="45"/>
      <c r="AC478" s="45"/>
      <c r="AD478" s="45"/>
      <c r="AE478" s="45"/>
    </row>
    <row r="479" spans="1:31" s="12" customFormat="1" ht="12">
      <c r="A479" s="27">
        <v>45610</v>
      </c>
      <c r="B479" s="73" t="s">
        <v>170</v>
      </c>
      <c r="C479" s="37" t="s">
        <v>86</v>
      </c>
      <c r="D479" s="34" t="s">
        <v>51</v>
      </c>
      <c r="E479" s="34" t="e">
        <f>IF(B479="","",VLOOKUP($B479,#REF!,4,FALSE))</f>
        <v>#REF!</v>
      </c>
      <c r="F479" s="34" t="e">
        <f>IF(E479="","",VLOOKUP($B479,#REF!,5,FALSE))</f>
        <v>#REF!</v>
      </c>
      <c r="G479" s="34" t="e">
        <f>IF(F479="","",VLOOKUP($B479,#REF!,6,FALSE))</f>
        <v>#REF!</v>
      </c>
      <c r="H479" s="34" t="e">
        <f>IF(G479="","",VLOOKUP($B479,#REF!,7,FALSE))</f>
        <v>#REF!</v>
      </c>
      <c r="I479" s="25"/>
      <c r="J479" s="25"/>
      <c r="K479" s="25">
        <v>2</v>
      </c>
      <c r="L479" s="25"/>
      <c r="M479" s="25"/>
      <c r="N479" s="25"/>
      <c r="O479" s="33">
        <f t="shared" si="15"/>
        <v>2</v>
      </c>
      <c r="P479" s="25"/>
      <c r="Q479" s="25">
        <v>0</v>
      </c>
      <c r="R479" s="25"/>
      <c r="S479" s="25"/>
      <c r="T479" s="25">
        <v>2</v>
      </c>
      <c r="U479" s="25"/>
      <c r="V479" s="39"/>
      <c r="W479" s="25"/>
      <c r="X479" s="33">
        <f t="shared" si="14"/>
        <v>2</v>
      </c>
      <c r="Y479" s="25">
        <v>42000</v>
      </c>
      <c r="Z479" s="25">
        <v>84000</v>
      </c>
      <c r="AA479" s="45"/>
      <c r="AB479" s="45"/>
      <c r="AC479" s="45"/>
      <c r="AD479" s="45"/>
      <c r="AE479" s="45"/>
    </row>
    <row r="480" spans="1:31" s="12" customFormat="1" ht="12">
      <c r="A480" s="27">
        <v>45610</v>
      </c>
      <c r="B480" s="28" t="s">
        <v>32</v>
      </c>
      <c r="C480" s="37" t="s">
        <v>84</v>
      </c>
      <c r="D480" s="34" t="s">
        <v>184</v>
      </c>
      <c r="E480" s="34" t="e">
        <f>IF(B480="","",VLOOKUP($B480,#REF!,4,FALSE))</f>
        <v>#REF!</v>
      </c>
      <c r="F480" s="34" t="e">
        <f>IF(E480="","",VLOOKUP($B480,#REF!,5,FALSE))</f>
        <v>#REF!</v>
      </c>
      <c r="G480" s="34" t="e">
        <f>IF(F480="","",VLOOKUP($B480,#REF!,6,FALSE))</f>
        <v>#REF!</v>
      </c>
      <c r="H480" s="34" t="e">
        <f>IF(G480="","",VLOOKUP($B480,#REF!,7,FALSE))</f>
        <v>#REF!</v>
      </c>
      <c r="I480" s="25"/>
      <c r="J480" s="25"/>
      <c r="K480" s="25"/>
      <c r="L480" s="25"/>
      <c r="M480" s="25"/>
      <c r="N480" s="25"/>
      <c r="O480" s="33">
        <f t="shared" si="15"/>
        <v>0</v>
      </c>
      <c r="P480" s="25"/>
      <c r="Q480" s="25">
        <v>0</v>
      </c>
      <c r="R480" s="25"/>
      <c r="S480" s="25"/>
      <c r="T480" s="25">
        <v>1</v>
      </c>
      <c r="U480" s="25"/>
      <c r="V480" s="39"/>
      <c r="W480" s="25"/>
      <c r="X480" s="33">
        <f t="shared" si="14"/>
        <v>1</v>
      </c>
      <c r="Y480" s="39"/>
      <c r="Z480" s="25">
        <v>0</v>
      </c>
      <c r="AA480" s="45"/>
      <c r="AB480" s="45"/>
      <c r="AC480" s="45"/>
      <c r="AD480" s="45"/>
      <c r="AE480" s="45"/>
    </row>
    <row r="481" spans="1:31" s="12" customFormat="1" ht="12">
      <c r="A481" s="27">
        <v>45610</v>
      </c>
      <c r="B481" s="28" t="s">
        <v>172</v>
      </c>
      <c r="C481" s="37" t="s">
        <v>86</v>
      </c>
      <c r="D481" s="34" t="s">
        <v>51</v>
      </c>
      <c r="E481" s="34" t="e">
        <f>IF(B481="","",VLOOKUP($B481,#REF!,4,FALSE))</f>
        <v>#REF!</v>
      </c>
      <c r="F481" s="34" t="e">
        <f>IF(E481="","",VLOOKUP($B481,#REF!,5,FALSE))</f>
        <v>#REF!</v>
      </c>
      <c r="G481" s="34" t="e">
        <f>IF(F481="","",VLOOKUP($B481,#REF!,6,FALSE))</f>
        <v>#REF!</v>
      </c>
      <c r="H481" s="34" t="e">
        <f>IF(G481="","",VLOOKUP($B481,#REF!,7,FALSE))</f>
        <v>#REF!</v>
      </c>
      <c r="I481" s="25"/>
      <c r="J481" s="25"/>
      <c r="K481" s="25">
        <v>1</v>
      </c>
      <c r="L481" s="25"/>
      <c r="M481" s="25"/>
      <c r="N481" s="25"/>
      <c r="O481" s="33">
        <f t="shared" si="15"/>
        <v>1</v>
      </c>
      <c r="P481" s="25"/>
      <c r="Q481" s="25">
        <v>0</v>
      </c>
      <c r="R481" s="25"/>
      <c r="S481" s="25"/>
      <c r="T481" s="25">
        <v>1</v>
      </c>
      <c r="U481" s="25"/>
      <c r="V481" s="39"/>
      <c r="W481" s="25"/>
      <c r="X481" s="33">
        <f t="shared" si="14"/>
        <v>1</v>
      </c>
      <c r="Y481" s="39">
        <v>72000</v>
      </c>
      <c r="Z481" s="25">
        <v>72000</v>
      </c>
      <c r="AA481" s="45"/>
      <c r="AB481" s="45"/>
      <c r="AC481" s="45"/>
      <c r="AD481" s="45"/>
      <c r="AE481" s="45"/>
    </row>
    <row r="482" spans="1:31" s="12" customFormat="1" ht="12">
      <c r="A482" s="27">
        <v>45610</v>
      </c>
      <c r="B482" s="28" t="s">
        <v>58</v>
      </c>
      <c r="C482" s="37" t="s">
        <v>82</v>
      </c>
      <c r="D482" s="34" t="s">
        <v>186</v>
      </c>
      <c r="E482" s="34" t="e">
        <f>IF(B482="","",VLOOKUP($B482,#REF!,4,FALSE))</f>
        <v>#REF!</v>
      </c>
      <c r="F482" s="34" t="e">
        <f>IF(E482="","",VLOOKUP($B482,#REF!,5,FALSE))</f>
        <v>#REF!</v>
      </c>
      <c r="G482" s="34" t="e">
        <f>IF(F482="","",VLOOKUP($B482,#REF!,6,FALSE))</f>
        <v>#REF!</v>
      </c>
      <c r="H482" s="34" t="e">
        <f>IF(G482="","",VLOOKUP($B482,#REF!,7,FALSE))</f>
        <v>#REF!</v>
      </c>
      <c r="I482" s="25"/>
      <c r="J482" s="25"/>
      <c r="K482" s="25"/>
      <c r="L482" s="25"/>
      <c r="M482" s="25"/>
      <c r="N482" s="25"/>
      <c r="O482" s="33">
        <f t="shared" si="15"/>
        <v>0</v>
      </c>
      <c r="P482" s="25"/>
      <c r="Q482" s="25">
        <v>0</v>
      </c>
      <c r="R482" s="25"/>
      <c r="S482" s="25"/>
      <c r="T482" s="25">
        <v>1</v>
      </c>
      <c r="U482" s="25"/>
      <c r="V482" s="39"/>
      <c r="W482" s="25"/>
      <c r="X482" s="33">
        <f t="shared" si="14"/>
        <v>1</v>
      </c>
      <c r="Y482" s="39"/>
      <c r="Z482" s="25">
        <v>0</v>
      </c>
      <c r="AA482" s="45"/>
      <c r="AB482" s="45"/>
      <c r="AC482" s="45"/>
      <c r="AD482" s="45"/>
      <c r="AE482" s="45"/>
    </row>
    <row r="483" spans="1:31" s="12" customFormat="1" ht="12">
      <c r="A483" s="27">
        <v>45610</v>
      </c>
      <c r="B483" s="29" t="s">
        <v>75</v>
      </c>
      <c r="C483" s="37" t="s">
        <v>86</v>
      </c>
      <c r="D483" s="34" t="s">
        <v>51</v>
      </c>
      <c r="E483" s="34" t="e">
        <f>IF(B483="","",VLOOKUP($B483,#REF!,4,FALSE))</f>
        <v>#REF!</v>
      </c>
      <c r="F483" s="34" t="e">
        <f>IF(E483="","",VLOOKUP($B483,#REF!,5,FALSE))</f>
        <v>#REF!</v>
      </c>
      <c r="G483" s="34" t="e">
        <f>IF(F483="","",VLOOKUP($B483,#REF!,6,FALSE))</f>
        <v>#REF!</v>
      </c>
      <c r="H483" s="34" t="e">
        <f>IF(G483="","",VLOOKUP($B483,#REF!,7,FALSE))</f>
        <v>#REF!</v>
      </c>
      <c r="I483" s="25"/>
      <c r="J483" s="25"/>
      <c r="K483" s="25">
        <v>1</v>
      </c>
      <c r="L483" s="25"/>
      <c r="M483" s="25"/>
      <c r="N483" s="25"/>
      <c r="O483" s="33">
        <f t="shared" si="15"/>
        <v>1</v>
      </c>
      <c r="P483" s="25"/>
      <c r="Q483" s="25">
        <v>0</v>
      </c>
      <c r="R483" s="25"/>
      <c r="S483" s="25"/>
      <c r="T483" s="25">
        <v>1</v>
      </c>
      <c r="U483" s="25"/>
      <c r="V483" s="39"/>
      <c r="W483" s="25"/>
      <c r="X483" s="33">
        <f t="shared" si="14"/>
        <v>1</v>
      </c>
      <c r="Y483" s="39">
        <v>144000</v>
      </c>
      <c r="Z483" s="25">
        <v>144000</v>
      </c>
      <c r="AA483" s="45"/>
      <c r="AB483" s="45"/>
      <c r="AC483" s="45"/>
      <c r="AD483" s="45"/>
      <c r="AE483" s="45"/>
    </row>
    <row r="484" spans="1:31" s="12" customFormat="1" ht="12">
      <c r="A484" s="27">
        <v>45610</v>
      </c>
      <c r="B484" s="53" t="s">
        <v>211</v>
      </c>
      <c r="C484" s="37">
        <v>0</v>
      </c>
      <c r="D484" s="34" t="s">
        <v>187</v>
      </c>
      <c r="E484" s="34" t="e">
        <f>IF(B484="","",VLOOKUP($B484,#REF!,4,FALSE))</f>
        <v>#REF!</v>
      </c>
      <c r="F484" s="34" t="e">
        <f>IF(E484="","",VLOOKUP($B484,#REF!,5,FALSE))</f>
        <v>#REF!</v>
      </c>
      <c r="G484" s="34" t="e">
        <f>IF(F484="","",VLOOKUP($B484,#REF!,6,FALSE))</f>
        <v>#REF!</v>
      </c>
      <c r="H484" s="34" t="e">
        <f>IF(G484="","",VLOOKUP($B484,#REF!,7,FALSE))</f>
        <v>#REF!</v>
      </c>
      <c r="I484" s="25"/>
      <c r="J484" s="25"/>
      <c r="K484" s="25"/>
      <c r="L484" s="25">
        <v>948</v>
      </c>
      <c r="M484" s="25"/>
      <c r="N484" s="25"/>
      <c r="O484" s="33">
        <f t="shared" si="15"/>
        <v>948</v>
      </c>
      <c r="P484" s="25"/>
      <c r="Q484" s="25">
        <v>0</v>
      </c>
      <c r="R484" s="25"/>
      <c r="S484" s="25"/>
      <c r="T484" s="25"/>
      <c r="U484" s="25"/>
      <c r="V484" s="39"/>
      <c r="W484" s="25"/>
      <c r="X484" s="33">
        <f t="shared" si="14"/>
        <v>0</v>
      </c>
      <c r="Y484" s="39"/>
      <c r="Z484" s="25">
        <v>0</v>
      </c>
      <c r="AA484" s="45"/>
      <c r="AB484" s="45"/>
      <c r="AC484" s="45"/>
      <c r="AD484" s="45"/>
      <c r="AE484" s="45"/>
    </row>
    <row r="485" spans="1:31" s="12" customFormat="1" ht="12">
      <c r="A485" s="27">
        <v>45610</v>
      </c>
      <c r="B485" s="76" t="s">
        <v>229</v>
      </c>
      <c r="C485" s="37">
        <v>0</v>
      </c>
      <c r="D485" s="34" t="s">
        <v>187</v>
      </c>
      <c r="E485" s="34" t="e">
        <f>IF(B485="","",VLOOKUP($B485,#REF!,4,FALSE))</f>
        <v>#REF!</v>
      </c>
      <c r="F485" s="34" t="e">
        <f>IF(E485="","",VLOOKUP($B485,#REF!,5,FALSE))</f>
        <v>#REF!</v>
      </c>
      <c r="G485" s="34" t="e">
        <f>IF(F485="","",VLOOKUP($B485,#REF!,6,FALSE))</f>
        <v>#REF!</v>
      </c>
      <c r="H485" s="34" t="e">
        <f>IF(G485="","",VLOOKUP($B485,#REF!,7,FALSE))</f>
        <v>#REF!</v>
      </c>
      <c r="I485" s="25"/>
      <c r="J485" s="25"/>
      <c r="K485" s="25"/>
      <c r="L485" s="25">
        <v>2845</v>
      </c>
      <c r="M485" s="25"/>
      <c r="N485" s="25"/>
      <c r="O485" s="33">
        <f t="shared" si="15"/>
        <v>2845</v>
      </c>
      <c r="P485" s="25"/>
      <c r="Q485" s="25">
        <v>0</v>
      </c>
      <c r="R485" s="25"/>
      <c r="S485" s="25"/>
      <c r="T485" s="25"/>
      <c r="U485" s="25"/>
      <c r="V485" s="39"/>
      <c r="W485" s="25"/>
      <c r="X485" s="33">
        <f t="shared" si="14"/>
        <v>0</v>
      </c>
      <c r="Y485" s="39"/>
      <c r="Z485" s="25">
        <v>0</v>
      </c>
      <c r="AA485" s="45"/>
      <c r="AB485" s="45"/>
      <c r="AC485" s="45"/>
      <c r="AD485" s="45"/>
      <c r="AE485" s="45"/>
    </row>
    <row r="486" spans="1:31" s="12" customFormat="1" ht="12">
      <c r="A486" s="27">
        <v>45610</v>
      </c>
      <c r="B486" s="53" t="s">
        <v>164</v>
      </c>
      <c r="C486" s="37">
        <v>0</v>
      </c>
      <c r="D486" s="34" t="s">
        <v>187</v>
      </c>
      <c r="E486" s="34" t="e">
        <f>IF(B486="","",VLOOKUP($B486,#REF!,4,FALSE))</f>
        <v>#REF!</v>
      </c>
      <c r="F486" s="34" t="e">
        <f>IF(E486="","",VLOOKUP($B486,#REF!,5,FALSE))</f>
        <v>#REF!</v>
      </c>
      <c r="G486" s="34" t="e">
        <f>IF(F486="","",VLOOKUP($B486,#REF!,6,FALSE))</f>
        <v>#REF!</v>
      </c>
      <c r="H486" s="34" t="e">
        <f>IF(G486="","",VLOOKUP($B486,#REF!,7,FALSE))</f>
        <v>#REF!</v>
      </c>
      <c r="I486" s="25"/>
      <c r="J486" s="25"/>
      <c r="K486" s="25"/>
      <c r="L486" s="25">
        <v>71</v>
      </c>
      <c r="M486" s="25"/>
      <c r="N486" s="25"/>
      <c r="O486" s="33">
        <f t="shared" si="15"/>
        <v>71</v>
      </c>
      <c r="P486" s="25"/>
      <c r="Q486" s="25">
        <v>0</v>
      </c>
      <c r="R486" s="25"/>
      <c r="S486" s="25"/>
      <c r="T486" s="25"/>
      <c r="U486" s="25"/>
      <c r="V486" s="39"/>
      <c r="W486" s="25"/>
      <c r="X486" s="33">
        <f t="shared" si="14"/>
        <v>0</v>
      </c>
      <c r="Y486" s="39"/>
      <c r="Z486" s="25">
        <v>0</v>
      </c>
      <c r="AA486" s="45"/>
      <c r="AB486" s="45"/>
      <c r="AC486" s="45"/>
      <c r="AD486" s="45"/>
      <c r="AE486" s="45"/>
    </row>
    <row r="487" spans="1:31" s="12" customFormat="1" ht="12">
      <c r="A487" s="27">
        <v>45610</v>
      </c>
      <c r="B487" s="53" t="s">
        <v>57</v>
      </c>
      <c r="C487" s="37">
        <v>0</v>
      </c>
      <c r="D487" s="34" t="s">
        <v>187</v>
      </c>
      <c r="E487" s="34" t="e">
        <f>IF(B487="","",VLOOKUP($B487,#REF!,4,FALSE))</f>
        <v>#REF!</v>
      </c>
      <c r="F487" s="34" t="e">
        <f>IF(E487="","",VLOOKUP($B487,#REF!,5,FALSE))</f>
        <v>#REF!</v>
      </c>
      <c r="G487" s="34" t="e">
        <f>IF(F487="","",VLOOKUP($B487,#REF!,6,FALSE))</f>
        <v>#REF!</v>
      </c>
      <c r="H487" s="34" t="e">
        <f>IF(G487="","",VLOOKUP($B487,#REF!,7,FALSE))</f>
        <v>#REF!</v>
      </c>
      <c r="I487" s="25"/>
      <c r="J487" s="25"/>
      <c r="K487" s="25"/>
      <c r="L487" s="25">
        <v>140</v>
      </c>
      <c r="M487" s="25"/>
      <c r="N487" s="25"/>
      <c r="O487" s="33">
        <f t="shared" si="15"/>
        <v>140</v>
      </c>
      <c r="P487" s="25"/>
      <c r="Q487" s="25">
        <v>0</v>
      </c>
      <c r="R487" s="25"/>
      <c r="S487" s="25"/>
      <c r="T487" s="25"/>
      <c r="U487" s="25"/>
      <c r="V487" s="39"/>
      <c r="W487" s="25"/>
      <c r="X487" s="33">
        <f t="shared" si="14"/>
        <v>0</v>
      </c>
      <c r="Y487" s="39"/>
      <c r="Z487" s="25">
        <v>0</v>
      </c>
      <c r="AA487" s="45"/>
      <c r="AB487" s="45"/>
      <c r="AC487" s="45"/>
      <c r="AD487" s="45"/>
      <c r="AE487" s="45"/>
    </row>
    <row r="488" spans="1:31" s="12" customFormat="1" ht="12">
      <c r="A488" s="27">
        <v>45610</v>
      </c>
      <c r="B488" s="53" t="s">
        <v>20</v>
      </c>
      <c r="C488" s="37">
        <v>0</v>
      </c>
      <c r="D488" s="34" t="s">
        <v>187</v>
      </c>
      <c r="E488" s="34" t="e">
        <f>IF(B488="","",VLOOKUP($B488,#REF!,4,FALSE))</f>
        <v>#REF!</v>
      </c>
      <c r="F488" s="34" t="e">
        <f>IF(E488="","",VLOOKUP($B488,#REF!,5,FALSE))</f>
        <v>#REF!</v>
      </c>
      <c r="G488" s="34" t="e">
        <f>IF(F488="","",VLOOKUP($B488,#REF!,6,FALSE))</f>
        <v>#REF!</v>
      </c>
      <c r="H488" s="34" t="e">
        <f>IF(G488="","",VLOOKUP($B488,#REF!,7,FALSE))</f>
        <v>#REF!</v>
      </c>
      <c r="I488" s="25"/>
      <c r="J488" s="25"/>
      <c r="K488" s="25"/>
      <c r="L488" s="25">
        <v>2146</v>
      </c>
      <c r="M488" s="25"/>
      <c r="N488" s="25"/>
      <c r="O488" s="33">
        <f t="shared" si="15"/>
        <v>2146</v>
      </c>
      <c r="P488" s="25"/>
      <c r="Q488" s="25">
        <v>0</v>
      </c>
      <c r="R488" s="25"/>
      <c r="S488" s="25"/>
      <c r="T488" s="25"/>
      <c r="U488" s="25"/>
      <c r="V488" s="39"/>
      <c r="W488" s="25"/>
      <c r="X488" s="33">
        <f t="shared" si="14"/>
        <v>0</v>
      </c>
      <c r="Y488" s="39"/>
      <c r="Z488" s="25">
        <v>0</v>
      </c>
      <c r="AA488" s="45"/>
      <c r="AB488" s="45"/>
      <c r="AC488" s="45"/>
      <c r="AD488" s="45"/>
      <c r="AE488" s="45"/>
    </row>
    <row r="489" spans="1:31" s="12" customFormat="1" ht="12">
      <c r="A489" s="27">
        <v>45610</v>
      </c>
      <c r="B489" s="53" t="s">
        <v>58</v>
      </c>
      <c r="C489" s="37">
        <v>0</v>
      </c>
      <c r="D489" s="34" t="s">
        <v>187</v>
      </c>
      <c r="E489" s="34" t="e">
        <f>IF(B489="","",VLOOKUP($B489,#REF!,4,FALSE))</f>
        <v>#REF!</v>
      </c>
      <c r="F489" s="34" t="e">
        <f>IF(E489="","",VLOOKUP($B489,#REF!,5,FALSE))</f>
        <v>#REF!</v>
      </c>
      <c r="G489" s="34" t="e">
        <f>IF(F489="","",VLOOKUP($B489,#REF!,6,FALSE))</f>
        <v>#REF!</v>
      </c>
      <c r="H489" s="34" t="e">
        <f>IF(G489="","",VLOOKUP($B489,#REF!,7,FALSE))</f>
        <v>#REF!</v>
      </c>
      <c r="I489" s="25"/>
      <c r="J489" s="25"/>
      <c r="K489" s="25"/>
      <c r="L489" s="25">
        <v>128</v>
      </c>
      <c r="M489" s="25"/>
      <c r="N489" s="25"/>
      <c r="O489" s="33">
        <f t="shared" si="15"/>
        <v>128</v>
      </c>
      <c r="P489" s="25"/>
      <c r="Q489" s="25">
        <v>0</v>
      </c>
      <c r="R489" s="25"/>
      <c r="S489" s="25"/>
      <c r="T489" s="25"/>
      <c r="U489" s="25"/>
      <c r="V489" s="39"/>
      <c r="W489" s="25"/>
      <c r="X489" s="33">
        <f t="shared" si="14"/>
        <v>0</v>
      </c>
      <c r="Y489" s="39"/>
      <c r="Z489" s="25">
        <v>0</v>
      </c>
      <c r="AA489" s="45"/>
      <c r="AB489" s="45"/>
      <c r="AC489" s="45"/>
      <c r="AD489" s="45"/>
      <c r="AE489" s="45"/>
    </row>
    <row r="490" spans="1:31" s="12" customFormat="1" ht="12">
      <c r="A490" s="27">
        <v>45610</v>
      </c>
      <c r="B490" s="53" t="s">
        <v>35</v>
      </c>
      <c r="C490" s="37">
        <v>0</v>
      </c>
      <c r="D490" s="34" t="s">
        <v>187</v>
      </c>
      <c r="E490" s="34" t="e">
        <f>IF(B490="","",VLOOKUP($B490,#REF!,4,FALSE))</f>
        <v>#REF!</v>
      </c>
      <c r="F490" s="34" t="e">
        <f>IF(E490="","",VLOOKUP($B490,#REF!,5,FALSE))</f>
        <v>#REF!</v>
      </c>
      <c r="G490" s="34" t="e">
        <f>IF(F490="","",VLOOKUP($B490,#REF!,6,FALSE))</f>
        <v>#REF!</v>
      </c>
      <c r="H490" s="34" t="e">
        <f>IF(G490="","",VLOOKUP($B490,#REF!,7,FALSE))</f>
        <v>#REF!</v>
      </c>
      <c r="I490" s="25">
        <v>440</v>
      </c>
      <c r="J490" s="25"/>
      <c r="K490" s="25"/>
      <c r="L490" s="25"/>
      <c r="M490" s="25"/>
      <c r="N490" s="25"/>
      <c r="O490" s="33">
        <f t="shared" si="15"/>
        <v>440</v>
      </c>
      <c r="P490" s="25"/>
      <c r="Q490" s="25">
        <v>0</v>
      </c>
      <c r="R490" s="25"/>
      <c r="S490" s="25"/>
      <c r="T490" s="25"/>
      <c r="U490" s="25"/>
      <c r="V490" s="39"/>
      <c r="W490" s="25"/>
      <c r="X490" s="33">
        <f t="shared" si="14"/>
        <v>0</v>
      </c>
      <c r="Y490" s="39"/>
      <c r="Z490" s="25">
        <v>0</v>
      </c>
      <c r="AA490" s="45"/>
      <c r="AB490" s="45"/>
      <c r="AC490" s="45"/>
      <c r="AD490" s="45"/>
      <c r="AE490" s="45"/>
    </row>
    <row r="491" spans="1:31" s="12" customFormat="1" ht="12">
      <c r="A491" s="27">
        <v>45611</v>
      </c>
      <c r="B491" s="28" t="s">
        <v>229</v>
      </c>
      <c r="C491" s="37" t="s">
        <v>117</v>
      </c>
      <c r="D491" s="34" t="s">
        <v>225</v>
      </c>
      <c r="E491" s="34" t="e">
        <f>IF(B491="","",VLOOKUP($B491,#REF!,4,FALSE))</f>
        <v>#REF!</v>
      </c>
      <c r="F491" s="34" t="e">
        <f>IF(E491="","",VLOOKUP($B491,#REF!,5,FALSE))</f>
        <v>#REF!</v>
      </c>
      <c r="G491" s="34" t="e">
        <f>IF(F491="","",VLOOKUP($B491,#REF!,6,FALSE))</f>
        <v>#REF!</v>
      </c>
      <c r="H491" s="34" t="e">
        <f>IF(G491="","",VLOOKUP($B491,#REF!,7,FALSE))</f>
        <v>#REF!</v>
      </c>
      <c r="I491" s="25"/>
      <c r="J491" s="25"/>
      <c r="K491" s="25"/>
      <c r="L491" s="25"/>
      <c r="M491" s="25"/>
      <c r="N491" s="25"/>
      <c r="O491" s="33">
        <f t="shared" si="15"/>
        <v>0</v>
      </c>
      <c r="P491" s="25"/>
      <c r="Q491" s="25">
        <v>0</v>
      </c>
      <c r="R491" s="25"/>
      <c r="S491" s="25"/>
      <c r="T491" s="25"/>
      <c r="U491" s="25">
        <v>8064</v>
      </c>
      <c r="V491" s="39"/>
      <c r="W491" s="25"/>
      <c r="X491" s="33">
        <f t="shared" si="14"/>
        <v>8064</v>
      </c>
      <c r="Y491" s="39">
        <v>9800</v>
      </c>
      <c r="Z491" s="25">
        <v>79027200</v>
      </c>
      <c r="AA491" s="45" t="s">
        <v>117</v>
      </c>
      <c r="AB491" s="45" t="s">
        <v>158</v>
      </c>
      <c r="AC491" s="45"/>
      <c r="AD491" s="45"/>
      <c r="AE491" s="45"/>
    </row>
    <row r="492" spans="1:31" s="12" customFormat="1" ht="12">
      <c r="A492" s="27">
        <v>45611</v>
      </c>
      <c r="B492" s="53" t="s">
        <v>229</v>
      </c>
      <c r="C492" s="37" t="s">
        <v>117</v>
      </c>
      <c r="D492" s="34" t="s">
        <v>225</v>
      </c>
      <c r="E492" s="34" t="e">
        <f>IF(B492="","",VLOOKUP($B492,#REF!,4,FALSE))</f>
        <v>#REF!</v>
      </c>
      <c r="F492" s="34" t="e">
        <f>IF(E492="","",VLOOKUP($B492,#REF!,5,FALSE))</f>
        <v>#REF!</v>
      </c>
      <c r="G492" s="34" t="e">
        <f>IF(F492="","",VLOOKUP($B492,#REF!,6,FALSE))</f>
        <v>#REF!</v>
      </c>
      <c r="H492" s="34" t="e">
        <f>IF(G492="","",VLOOKUP($B492,#REF!,7,FALSE))</f>
        <v>#REF!</v>
      </c>
      <c r="I492" s="25"/>
      <c r="J492" s="25"/>
      <c r="K492" s="25"/>
      <c r="L492" s="25"/>
      <c r="M492" s="25"/>
      <c r="N492" s="25"/>
      <c r="O492" s="33">
        <f t="shared" si="15"/>
        <v>0</v>
      </c>
      <c r="P492" s="25"/>
      <c r="Q492" s="25">
        <v>0</v>
      </c>
      <c r="R492" s="25"/>
      <c r="S492" s="25"/>
      <c r="T492" s="25"/>
      <c r="U492" s="25">
        <v>8064</v>
      </c>
      <c r="V492" s="39"/>
      <c r="W492" s="25"/>
      <c r="X492" s="33">
        <f t="shared" si="14"/>
        <v>8064</v>
      </c>
      <c r="Y492" s="39">
        <v>9800</v>
      </c>
      <c r="Z492" s="25">
        <v>79027200</v>
      </c>
      <c r="AA492" s="45" t="s">
        <v>117</v>
      </c>
      <c r="AB492" s="45" t="s">
        <v>158</v>
      </c>
      <c r="AC492" s="45"/>
      <c r="AD492" s="45"/>
      <c r="AE492" s="45"/>
    </row>
    <row r="493" spans="1:31" s="12" customFormat="1" ht="12">
      <c r="A493" s="27">
        <v>45611</v>
      </c>
      <c r="B493" s="53" t="s">
        <v>45</v>
      </c>
      <c r="C493" s="37" t="s">
        <v>117</v>
      </c>
      <c r="D493" s="34" t="s">
        <v>225</v>
      </c>
      <c r="E493" s="34" t="e">
        <f>IF(B493="","",VLOOKUP($B493,#REF!,4,FALSE))</f>
        <v>#REF!</v>
      </c>
      <c r="F493" s="34" t="e">
        <f>IF(E493="","",VLOOKUP($B493,#REF!,5,FALSE))</f>
        <v>#REF!</v>
      </c>
      <c r="G493" s="34" t="e">
        <f>IF(F493="","",VLOOKUP($B493,#REF!,6,FALSE))</f>
        <v>#REF!</v>
      </c>
      <c r="H493" s="34" t="e">
        <f>IF(G493="","",VLOOKUP($B493,#REF!,7,FALSE))</f>
        <v>#REF!</v>
      </c>
      <c r="I493" s="25"/>
      <c r="J493" s="25">
        <v>504</v>
      </c>
      <c r="K493" s="25"/>
      <c r="L493" s="25"/>
      <c r="M493" s="25"/>
      <c r="N493" s="25"/>
      <c r="O493" s="33">
        <f t="shared" si="15"/>
        <v>504</v>
      </c>
      <c r="P493" s="25">
        <v>78000</v>
      </c>
      <c r="Q493" s="25">
        <v>39312000</v>
      </c>
      <c r="R493" s="25"/>
      <c r="S493" s="25"/>
      <c r="T493" s="25"/>
      <c r="U493" s="25"/>
      <c r="V493" s="39"/>
      <c r="W493" s="25"/>
      <c r="X493" s="33">
        <f t="shared" si="14"/>
        <v>0</v>
      </c>
      <c r="Y493" s="39"/>
      <c r="Z493" s="25">
        <v>0</v>
      </c>
      <c r="AA493" s="45" t="s">
        <v>206</v>
      </c>
      <c r="AB493" s="45" t="s">
        <v>141</v>
      </c>
      <c r="AC493" s="45" t="s">
        <v>173</v>
      </c>
      <c r="AD493" s="45"/>
      <c r="AE493" s="45"/>
    </row>
    <row r="494" spans="1:31" s="12" customFormat="1" ht="12">
      <c r="A494" s="27">
        <v>45611</v>
      </c>
      <c r="B494" s="53" t="s">
        <v>45</v>
      </c>
      <c r="C494" s="37" t="s">
        <v>141</v>
      </c>
      <c r="D494" s="34" t="s">
        <v>173</v>
      </c>
      <c r="E494" s="34" t="e">
        <f>IF(B494="","",VLOOKUP($B494,#REF!,4,FALSE))</f>
        <v>#REF!</v>
      </c>
      <c r="F494" s="34" t="e">
        <f>IF(E494="","",VLOOKUP($B494,#REF!,5,FALSE))</f>
        <v>#REF!</v>
      </c>
      <c r="G494" s="34" t="e">
        <f>IF(F494="","",VLOOKUP($B494,#REF!,6,FALSE))</f>
        <v>#REF!</v>
      </c>
      <c r="H494" s="34" t="e">
        <f>IF(G494="","",VLOOKUP($B494,#REF!,7,FALSE))</f>
        <v>#REF!</v>
      </c>
      <c r="I494" s="25"/>
      <c r="J494" s="25"/>
      <c r="K494" s="25"/>
      <c r="L494" s="25"/>
      <c r="M494" s="25"/>
      <c r="N494" s="25"/>
      <c r="O494" s="33">
        <f t="shared" si="15"/>
        <v>0</v>
      </c>
      <c r="P494" s="25"/>
      <c r="Q494" s="25">
        <v>0</v>
      </c>
      <c r="R494" s="25"/>
      <c r="S494" s="25">
        <v>504</v>
      </c>
      <c r="T494" s="25"/>
      <c r="U494" s="25"/>
      <c r="V494" s="39"/>
      <c r="W494" s="25"/>
      <c r="X494" s="33">
        <f t="shared" si="14"/>
        <v>504</v>
      </c>
      <c r="Y494" s="39">
        <f>Z494/X494</f>
        <v>130355.27976190476</v>
      </c>
      <c r="Z494" s="39">
        <v>65699061</v>
      </c>
      <c r="AA494" s="45" t="s">
        <v>206</v>
      </c>
      <c r="AB494" s="45" t="s">
        <v>141</v>
      </c>
      <c r="AC494" s="45"/>
      <c r="AD494" s="45"/>
      <c r="AE494" s="45"/>
    </row>
    <row r="495" spans="1:31" s="12" customFormat="1" ht="12">
      <c r="A495" s="27">
        <v>45611</v>
      </c>
      <c r="B495" s="53" t="s">
        <v>20</v>
      </c>
      <c r="C495" s="37" t="s">
        <v>129</v>
      </c>
      <c r="D495" s="34" t="s">
        <v>181</v>
      </c>
      <c r="E495" s="34" t="e">
        <f>IF(B495="","",VLOOKUP($B495,#REF!,4,FALSE))</f>
        <v>#REF!</v>
      </c>
      <c r="F495" s="34" t="e">
        <f>IF(E495="","",VLOOKUP($B495,#REF!,5,FALSE))</f>
        <v>#REF!</v>
      </c>
      <c r="G495" s="34" t="e">
        <f>IF(F495="","",VLOOKUP($B495,#REF!,6,FALSE))</f>
        <v>#REF!</v>
      </c>
      <c r="H495" s="34" t="e">
        <f>IF(G495="","",VLOOKUP($B495,#REF!,7,FALSE))</f>
        <v>#REF!</v>
      </c>
      <c r="I495" s="25"/>
      <c r="J495" s="25"/>
      <c r="K495" s="25"/>
      <c r="L495" s="25"/>
      <c r="M495" s="25"/>
      <c r="N495" s="25"/>
      <c r="O495" s="33">
        <f t="shared" si="15"/>
        <v>0</v>
      </c>
      <c r="P495" s="25"/>
      <c r="Q495" s="25">
        <v>0</v>
      </c>
      <c r="R495" s="25"/>
      <c r="S495" s="25">
        <v>2400</v>
      </c>
      <c r="T495" s="25"/>
      <c r="U495" s="25"/>
      <c r="V495" s="39"/>
      <c r="W495" s="25"/>
      <c r="X495" s="33">
        <f t="shared" si="14"/>
        <v>2400</v>
      </c>
      <c r="Y495" s="39">
        <f>Z495/X495</f>
        <v>5776.1070833333333</v>
      </c>
      <c r="Z495" s="39">
        <v>13862657</v>
      </c>
      <c r="AA495" s="45" t="s">
        <v>154</v>
      </c>
      <c r="AB495" s="45" t="s">
        <v>129</v>
      </c>
      <c r="AC495" s="45" t="s">
        <v>181</v>
      </c>
      <c r="AD495" s="45"/>
      <c r="AE495" s="45"/>
    </row>
    <row r="496" spans="1:31" s="12" customFormat="1" ht="12">
      <c r="A496" s="27">
        <v>45611</v>
      </c>
      <c r="B496" s="53" t="s">
        <v>43</v>
      </c>
      <c r="C496" s="37" t="s">
        <v>145</v>
      </c>
      <c r="D496" s="34" t="s">
        <v>176</v>
      </c>
      <c r="E496" s="34" t="e">
        <f>IF(B496="","",VLOOKUP($B496,#REF!,4,FALSE))</f>
        <v>#REF!</v>
      </c>
      <c r="F496" s="34" t="e">
        <f>IF(E496="","",VLOOKUP($B496,#REF!,5,FALSE))</f>
        <v>#REF!</v>
      </c>
      <c r="G496" s="34" t="e">
        <f>IF(F496="","",VLOOKUP($B496,#REF!,6,FALSE))</f>
        <v>#REF!</v>
      </c>
      <c r="H496" s="34" t="e">
        <f>IF(G496="","",VLOOKUP($B496,#REF!,7,FALSE))</f>
        <v>#REF!</v>
      </c>
      <c r="I496" s="25"/>
      <c r="J496" s="25"/>
      <c r="K496" s="25"/>
      <c r="L496" s="25"/>
      <c r="M496" s="25"/>
      <c r="N496" s="25"/>
      <c r="O496" s="33">
        <f t="shared" si="15"/>
        <v>0</v>
      </c>
      <c r="P496" s="25"/>
      <c r="Q496" s="25">
        <v>0</v>
      </c>
      <c r="R496" s="25"/>
      <c r="S496" s="25">
        <v>1240</v>
      </c>
      <c r="T496" s="25"/>
      <c r="U496" s="25"/>
      <c r="V496" s="39"/>
      <c r="W496" s="25"/>
      <c r="X496" s="33">
        <f t="shared" si="14"/>
        <v>1240</v>
      </c>
      <c r="Y496" s="39">
        <f>Z496/X496</f>
        <v>4318.1282258064521</v>
      </c>
      <c r="Z496" s="39">
        <v>5354479</v>
      </c>
      <c r="AA496" s="45" t="s">
        <v>154</v>
      </c>
      <c r="AB496" s="45" t="s">
        <v>145</v>
      </c>
      <c r="AC496" s="45" t="s">
        <v>176</v>
      </c>
      <c r="AD496" s="45"/>
      <c r="AE496" s="45"/>
    </row>
    <row r="497" spans="1:31" s="12" customFormat="1" ht="12">
      <c r="A497" s="27">
        <v>45611</v>
      </c>
      <c r="B497" s="53" t="s">
        <v>40</v>
      </c>
      <c r="C497" s="37" t="s">
        <v>145</v>
      </c>
      <c r="D497" s="34" t="s">
        <v>176</v>
      </c>
      <c r="E497" s="34" t="e">
        <f>IF(B497="","",VLOOKUP($B497,#REF!,4,FALSE))</f>
        <v>#REF!</v>
      </c>
      <c r="F497" s="34" t="e">
        <f>IF(E497="","",VLOOKUP($B497,#REF!,5,FALSE))</f>
        <v>#REF!</v>
      </c>
      <c r="G497" s="34" t="e">
        <f>IF(F497="","",VLOOKUP($B497,#REF!,6,FALSE))</f>
        <v>#REF!</v>
      </c>
      <c r="H497" s="34" t="e">
        <f>IF(G497="","",VLOOKUP($B497,#REF!,7,FALSE))</f>
        <v>#REF!</v>
      </c>
      <c r="I497" s="25"/>
      <c r="J497" s="25"/>
      <c r="K497" s="25"/>
      <c r="L497" s="25"/>
      <c r="M497" s="25"/>
      <c r="N497" s="25"/>
      <c r="O497" s="33">
        <f t="shared" si="15"/>
        <v>0</v>
      </c>
      <c r="P497" s="25"/>
      <c r="Q497" s="25">
        <v>0</v>
      </c>
      <c r="R497" s="25"/>
      <c r="S497" s="25">
        <v>100</v>
      </c>
      <c r="T497" s="25"/>
      <c r="U497" s="25"/>
      <c r="V497" s="39"/>
      <c r="W497" s="25"/>
      <c r="X497" s="33">
        <f t="shared" si="14"/>
        <v>100</v>
      </c>
      <c r="Y497" s="39">
        <f>Z497/X497</f>
        <v>6207.31</v>
      </c>
      <c r="Z497" s="39">
        <v>620731</v>
      </c>
      <c r="AA497" s="45" t="s">
        <v>154</v>
      </c>
      <c r="AB497" s="45" t="s">
        <v>145</v>
      </c>
      <c r="AC497" s="45" t="s">
        <v>176</v>
      </c>
      <c r="AD497" s="45"/>
      <c r="AE497" s="45"/>
    </row>
    <row r="498" spans="1:31" s="12" customFormat="1" ht="12">
      <c r="A498" s="27">
        <v>45611</v>
      </c>
      <c r="B498" s="53" t="s">
        <v>36</v>
      </c>
      <c r="C498" s="37" t="s">
        <v>88</v>
      </c>
      <c r="D498" s="34" t="s">
        <v>189</v>
      </c>
      <c r="E498" s="34" t="e">
        <f>IF(B498="","",VLOOKUP($B498,#REF!,4,FALSE))</f>
        <v>#REF!</v>
      </c>
      <c r="F498" s="34" t="e">
        <f>IF(E498="","",VLOOKUP($B498,#REF!,5,FALSE))</f>
        <v>#REF!</v>
      </c>
      <c r="G498" s="34" t="e">
        <f>IF(F498="","",VLOOKUP($B498,#REF!,6,FALSE))</f>
        <v>#REF!</v>
      </c>
      <c r="H498" s="34" t="e">
        <f>IF(G498="","",VLOOKUP($B498,#REF!,7,FALSE))</f>
        <v>#REF!</v>
      </c>
      <c r="I498" s="25"/>
      <c r="J498" s="25">
        <v>700</v>
      </c>
      <c r="K498" s="25"/>
      <c r="L498" s="25"/>
      <c r="M498" s="25"/>
      <c r="N498" s="25"/>
      <c r="O498" s="33">
        <f t="shared" si="15"/>
        <v>700</v>
      </c>
      <c r="P498" s="25">
        <v>2520</v>
      </c>
      <c r="Q498" s="25">
        <v>1764000</v>
      </c>
      <c r="R498" s="25"/>
      <c r="S498" s="25"/>
      <c r="T498" s="25"/>
      <c r="U498" s="25"/>
      <c r="V498" s="39"/>
      <c r="W498" s="25"/>
      <c r="X498" s="33">
        <f>SUM(R498:W498)</f>
        <v>0</v>
      </c>
      <c r="Y498" s="39"/>
      <c r="Z498" s="25">
        <v>0</v>
      </c>
      <c r="AA498" s="45"/>
      <c r="AB498" s="45"/>
      <c r="AC498" s="45"/>
      <c r="AD498" s="45"/>
      <c r="AE498" s="45"/>
    </row>
    <row r="499" spans="1:31" s="12" customFormat="1" ht="12">
      <c r="A499" s="27">
        <v>45611</v>
      </c>
      <c r="B499" s="47" t="s">
        <v>36</v>
      </c>
      <c r="C499" s="37" t="s">
        <v>146</v>
      </c>
      <c r="D499" s="34" t="s">
        <v>174</v>
      </c>
      <c r="E499" s="34" t="e">
        <f>IF(B499="","",VLOOKUP($B499,#REF!,4,FALSE))</f>
        <v>#REF!</v>
      </c>
      <c r="F499" s="34" t="e">
        <f>IF(E499="","",VLOOKUP($B499,#REF!,5,FALSE))</f>
        <v>#REF!</v>
      </c>
      <c r="G499" s="34" t="e">
        <f>IF(F499="","",VLOOKUP($B499,#REF!,6,FALSE))</f>
        <v>#REF!</v>
      </c>
      <c r="H499" s="34" t="e">
        <f>IF(G499="","",VLOOKUP($B499,#REF!,7,FALSE))</f>
        <v>#REF!</v>
      </c>
      <c r="I499" s="25"/>
      <c r="J499" s="25"/>
      <c r="K499" s="25"/>
      <c r="L499" s="25"/>
      <c r="M499" s="25"/>
      <c r="N499" s="25"/>
      <c r="O499" s="33">
        <f t="shared" si="15"/>
        <v>0</v>
      </c>
      <c r="P499" s="25"/>
      <c r="Q499" s="25">
        <v>0</v>
      </c>
      <c r="R499" s="25"/>
      <c r="S499" s="25">
        <v>700</v>
      </c>
      <c r="T499" s="25"/>
      <c r="U499" s="25"/>
      <c r="V499" s="39"/>
      <c r="W499" s="25"/>
      <c r="X499" s="33">
        <f t="shared" si="14"/>
        <v>700</v>
      </c>
      <c r="Y499" s="39">
        <f>Z499/X499</f>
        <v>23068.65</v>
      </c>
      <c r="Z499" s="39">
        <v>16148055</v>
      </c>
      <c r="AA499" s="45" t="s">
        <v>155</v>
      </c>
      <c r="AB499" s="45" t="s">
        <v>146</v>
      </c>
      <c r="AC499" s="45" t="s">
        <v>174</v>
      </c>
      <c r="AD499" s="45"/>
      <c r="AE499" s="45"/>
    </row>
    <row r="500" spans="1:31" s="12" customFormat="1" ht="12">
      <c r="A500" s="27">
        <v>45611</v>
      </c>
      <c r="B500" s="53" t="s">
        <v>19</v>
      </c>
      <c r="C500" s="37" t="s">
        <v>88</v>
      </c>
      <c r="D500" s="34" t="s">
        <v>189</v>
      </c>
      <c r="E500" s="34" t="e">
        <f>IF(B500="","",VLOOKUP($B500,#REF!,4,FALSE))</f>
        <v>#REF!</v>
      </c>
      <c r="F500" s="34" t="e">
        <f>IF(E500="","",VLOOKUP($B500,#REF!,5,FALSE))</f>
        <v>#REF!</v>
      </c>
      <c r="G500" s="34" t="e">
        <f>IF(F500="","",VLOOKUP($B500,#REF!,6,FALSE))</f>
        <v>#REF!</v>
      </c>
      <c r="H500" s="34" t="e">
        <f>IF(G500="","",VLOOKUP($B500,#REF!,7,FALSE))</f>
        <v>#REF!</v>
      </c>
      <c r="I500" s="25"/>
      <c r="J500" s="25">
        <v>400</v>
      </c>
      <c r="K500" s="25"/>
      <c r="L500" s="25"/>
      <c r="M500" s="25"/>
      <c r="N500" s="25"/>
      <c r="O500" s="33">
        <f t="shared" si="15"/>
        <v>400</v>
      </c>
      <c r="P500" s="25">
        <v>2520</v>
      </c>
      <c r="Q500" s="25">
        <v>1008000</v>
      </c>
      <c r="R500" s="25"/>
      <c r="S500" s="25"/>
      <c r="T500" s="25"/>
      <c r="U500" s="25"/>
      <c r="V500" s="39"/>
      <c r="W500" s="25"/>
      <c r="X500" s="33">
        <f t="shared" si="14"/>
        <v>0</v>
      </c>
      <c r="Y500" s="39"/>
      <c r="Z500" s="25">
        <v>0</v>
      </c>
      <c r="AA500" s="45"/>
      <c r="AB500" s="45"/>
      <c r="AC500" s="45"/>
      <c r="AD500" s="45"/>
      <c r="AE500" s="45"/>
    </row>
    <row r="501" spans="1:31" s="12" customFormat="1" ht="12">
      <c r="A501" s="27">
        <v>45611</v>
      </c>
      <c r="B501" s="53" t="s">
        <v>19</v>
      </c>
      <c r="C501" s="37" t="s">
        <v>146</v>
      </c>
      <c r="D501" s="34" t="s">
        <v>174</v>
      </c>
      <c r="E501" s="34" t="e">
        <f>IF(B501="","",VLOOKUP($B501,#REF!,4,FALSE))</f>
        <v>#REF!</v>
      </c>
      <c r="F501" s="34" t="e">
        <f>IF(E501="","",VLOOKUP($B501,#REF!,5,FALSE))</f>
        <v>#REF!</v>
      </c>
      <c r="G501" s="34" t="e">
        <f>IF(F501="","",VLOOKUP($B501,#REF!,6,FALSE))</f>
        <v>#REF!</v>
      </c>
      <c r="H501" s="34" t="e">
        <f>IF(G501="","",VLOOKUP($B501,#REF!,7,FALSE))</f>
        <v>#REF!</v>
      </c>
      <c r="I501" s="25"/>
      <c r="J501" s="25"/>
      <c r="K501" s="25"/>
      <c r="L501" s="25"/>
      <c r="M501" s="25"/>
      <c r="N501" s="25"/>
      <c r="O501" s="33">
        <f t="shared" si="15"/>
        <v>0</v>
      </c>
      <c r="P501" s="25"/>
      <c r="Q501" s="25">
        <v>0</v>
      </c>
      <c r="R501" s="25"/>
      <c r="S501" s="25">
        <v>400</v>
      </c>
      <c r="T501" s="25"/>
      <c r="U501" s="25"/>
      <c r="V501" s="39"/>
      <c r="W501" s="25"/>
      <c r="X501" s="33">
        <f t="shared" si="14"/>
        <v>400</v>
      </c>
      <c r="Y501" s="39">
        <f>Z501/X501</f>
        <v>24606.560000000001</v>
      </c>
      <c r="Z501" s="39">
        <v>9842624</v>
      </c>
      <c r="AA501" s="45" t="s">
        <v>155</v>
      </c>
      <c r="AB501" s="45" t="s">
        <v>146</v>
      </c>
      <c r="AC501" s="45" t="s">
        <v>174</v>
      </c>
      <c r="AD501" s="45"/>
      <c r="AE501" s="45"/>
    </row>
    <row r="502" spans="1:31" s="12" customFormat="1" ht="12">
      <c r="A502" s="27">
        <v>45611</v>
      </c>
      <c r="B502" s="53" t="s">
        <v>211</v>
      </c>
      <c r="C502" s="37" t="s">
        <v>82</v>
      </c>
      <c r="D502" s="34" t="s">
        <v>186</v>
      </c>
      <c r="E502" s="34" t="e">
        <f>IF(B502="","",VLOOKUP($B502,#REF!,4,FALSE))</f>
        <v>#REF!</v>
      </c>
      <c r="F502" s="34" t="e">
        <f>IF(E502="","",VLOOKUP($B502,#REF!,5,FALSE))</f>
        <v>#REF!</v>
      </c>
      <c r="G502" s="34" t="e">
        <f>IF(F502="","",VLOOKUP($B502,#REF!,6,FALSE))</f>
        <v>#REF!</v>
      </c>
      <c r="H502" s="34" t="e">
        <f>IF(G502="","",VLOOKUP($B502,#REF!,7,FALSE))</f>
        <v>#REF!</v>
      </c>
      <c r="I502" s="25"/>
      <c r="J502" s="25"/>
      <c r="K502" s="25"/>
      <c r="L502" s="25"/>
      <c r="M502" s="25"/>
      <c r="N502" s="25"/>
      <c r="O502" s="33">
        <f t="shared" si="15"/>
        <v>0</v>
      </c>
      <c r="P502" s="25"/>
      <c r="Q502" s="25">
        <v>0</v>
      </c>
      <c r="R502" s="25"/>
      <c r="S502" s="25"/>
      <c r="T502" s="25"/>
      <c r="U502" s="25"/>
      <c r="V502" s="39">
        <v>144</v>
      </c>
      <c r="W502" s="25"/>
      <c r="X502" s="33">
        <f t="shared" si="14"/>
        <v>144</v>
      </c>
      <c r="Y502" s="39">
        <v>46020</v>
      </c>
      <c r="Z502" s="25">
        <v>6626880</v>
      </c>
      <c r="AA502" s="45"/>
      <c r="AB502" s="45"/>
      <c r="AC502" s="45"/>
      <c r="AD502" s="45"/>
      <c r="AE502" s="45"/>
    </row>
    <row r="503" spans="1:31" s="12" customFormat="1" ht="12">
      <c r="A503" s="27">
        <v>45611</v>
      </c>
      <c r="B503" s="53" t="s">
        <v>211</v>
      </c>
      <c r="C503" s="37" t="s">
        <v>82</v>
      </c>
      <c r="D503" s="34" t="s">
        <v>186</v>
      </c>
      <c r="E503" s="34" t="e">
        <f>IF(B503="","",VLOOKUP($B503,#REF!,4,FALSE))</f>
        <v>#REF!</v>
      </c>
      <c r="F503" s="34" t="e">
        <f>IF(E503="","",VLOOKUP($B503,#REF!,5,FALSE))</f>
        <v>#REF!</v>
      </c>
      <c r="G503" s="34" t="e">
        <f>IF(F503="","",VLOOKUP($B503,#REF!,6,FALSE))</f>
        <v>#REF!</v>
      </c>
      <c r="H503" s="34" t="e">
        <f>IF(G503="","",VLOOKUP($B503,#REF!,7,FALSE))</f>
        <v>#REF!</v>
      </c>
      <c r="I503" s="25"/>
      <c r="J503" s="25"/>
      <c r="K503" s="25"/>
      <c r="L503" s="25"/>
      <c r="M503" s="25"/>
      <c r="N503" s="25"/>
      <c r="O503" s="33">
        <f t="shared" si="15"/>
        <v>0</v>
      </c>
      <c r="P503" s="25"/>
      <c r="Q503" s="25">
        <v>0</v>
      </c>
      <c r="R503" s="25"/>
      <c r="S503" s="25"/>
      <c r="T503" s="25"/>
      <c r="U503" s="25"/>
      <c r="V503" s="39">
        <v>120</v>
      </c>
      <c r="W503" s="25"/>
      <c r="X503" s="33">
        <f t="shared" si="14"/>
        <v>120</v>
      </c>
      <c r="Y503" s="39">
        <v>46020</v>
      </c>
      <c r="Z503" s="25">
        <v>5522400</v>
      </c>
      <c r="AA503" s="45"/>
      <c r="AB503" s="45"/>
      <c r="AC503" s="45"/>
      <c r="AD503" s="45"/>
      <c r="AE503" s="45"/>
    </row>
    <row r="504" spans="1:31" s="12" customFormat="1" ht="12">
      <c r="A504" s="27">
        <v>45611</v>
      </c>
      <c r="B504" s="28" t="s">
        <v>211</v>
      </c>
      <c r="C504" s="37" t="s">
        <v>82</v>
      </c>
      <c r="D504" s="34" t="s">
        <v>186</v>
      </c>
      <c r="E504" s="34" t="e">
        <f>IF(B504="","",VLOOKUP($B504,#REF!,4,FALSE))</f>
        <v>#REF!</v>
      </c>
      <c r="F504" s="34" t="e">
        <f>IF(E504="","",VLOOKUP($B504,#REF!,5,FALSE))</f>
        <v>#REF!</v>
      </c>
      <c r="G504" s="34" t="e">
        <f>IF(F504="","",VLOOKUP($B504,#REF!,6,FALSE))</f>
        <v>#REF!</v>
      </c>
      <c r="H504" s="34" t="e">
        <f>IF(G504="","",VLOOKUP($B504,#REF!,7,FALSE))</f>
        <v>#REF!</v>
      </c>
      <c r="I504" s="25"/>
      <c r="J504" s="25"/>
      <c r="K504" s="25"/>
      <c r="L504" s="25"/>
      <c r="M504" s="25"/>
      <c r="N504" s="25"/>
      <c r="O504" s="33">
        <f t="shared" si="15"/>
        <v>0</v>
      </c>
      <c r="P504" s="25"/>
      <c r="Q504" s="25">
        <v>0</v>
      </c>
      <c r="R504" s="25"/>
      <c r="S504" s="25"/>
      <c r="T504" s="25"/>
      <c r="U504" s="25"/>
      <c r="V504" s="39">
        <v>72</v>
      </c>
      <c r="W504" s="25"/>
      <c r="X504" s="33">
        <f t="shared" si="14"/>
        <v>72</v>
      </c>
      <c r="Y504" s="39">
        <v>46020</v>
      </c>
      <c r="Z504" s="25">
        <v>3313440</v>
      </c>
      <c r="AA504" s="45"/>
      <c r="AB504" s="45"/>
      <c r="AC504" s="45"/>
      <c r="AD504" s="45"/>
      <c r="AE504" s="45"/>
    </row>
    <row r="505" spans="1:31" s="12" customFormat="1" ht="12">
      <c r="A505" s="27">
        <v>45611</v>
      </c>
      <c r="B505" s="53" t="s">
        <v>211</v>
      </c>
      <c r="C505" s="37" t="s">
        <v>82</v>
      </c>
      <c r="D505" s="34" t="s">
        <v>186</v>
      </c>
      <c r="E505" s="34" t="e">
        <f>IF(B505="","",VLOOKUP($B505,#REF!,4,FALSE))</f>
        <v>#REF!</v>
      </c>
      <c r="F505" s="34" t="e">
        <f>IF(E505="","",VLOOKUP($B505,#REF!,5,FALSE))</f>
        <v>#REF!</v>
      </c>
      <c r="G505" s="34" t="e">
        <f>IF(F505="","",VLOOKUP($B505,#REF!,6,FALSE))</f>
        <v>#REF!</v>
      </c>
      <c r="H505" s="34" t="e">
        <f>IF(G505="","",VLOOKUP($B505,#REF!,7,FALSE))</f>
        <v>#REF!</v>
      </c>
      <c r="I505" s="25"/>
      <c r="J505" s="25"/>
      <c r="K505" s="25"/>
      <c r="L505" s="25"/>
      <c r="M505" s="25"/>
      <c r="N505" s="25"/>
      <c r="O505" s="33">
        <f t="shared" si="15"/>
        <v>0</v>
      </c>
      <c r="P505" s="25"/>
      <c r="Q505" s="25">
        <v>0</v>
      </c>
      <c r="R505" s="25"/>
      <c r="S505" s="25"/>
      <c r="T505" s="25"/>
      <c r="U505" s="25"/>
      <c r="V505" s="39">
        <v>24</v>
      </c>
      <c r="W505" s="25"/>
      <c r="X505" s="33">
        <f t="shared" si="14"/>
        <v>24</v>
      </c>
      <c r="Y505" s="39">
        <v>46020</v>
      </c>
      <c r="Z505" s="25">
        <v>1104480</v>
      </c>
      <c r="AA505" s="45"/>
      <c r="AB505" s="45"/>
      <c r="AC505" s="45"/>
      <c r="AD505" s="45"/>
      <c r="AE505" s="45"/>
    </row>
    <row r="506" spans="1:31" s="12" customFormat="1" ht="12">
      <c r="A506" s="27">
        <v>45611</v>
      </c>
      <c r="B506" s="53" t="s">
        <v>21</v>
      </c>
      <c r="C506" s="37" t="s">
        <v>82</v>
      </c>
      <c r="D506" s="34" t="s">
        <v>186</v>
      </c>
      <c r="E506" s="34" t="e">
        <f>IF(B506="","",VLOOKUP($B506,#REF!,4,FALSE))</f>
        <v>#REF!</v>
      </c>
      <c r="F506" s="34" t="e">
        <f>IF(E506="","",VLOOKUP($B506,#REF!,5,FALSE))</f>
        <v>#REF!</v>
      </c>
      <c r="G506" s="34" t="e">
        <f>IF(F506="","",VLOOKUP($B506,#REF!,6,FALSE))</f>
        <v>#REF!</v>
      </c>
      <c r="H506" s="34" t="e">
        <f>IF(G506="","",VLOOKUP($B506,#REF!,7,FALSE))</f>
        <v>#REF!</v>
      </c>
      <c r="I506" s="25"/>
      <c r="J506" s="25"/>
      <c r="K506" s="25"/>
      <c r="L506" s="25"/>
      <c r="M506" s="25"/>
      <c r="N506" s="25"/>
      <c r="O506" s="33">
        <f t="shared" si="15"/>
        <v>0</v>
      </c>
      <c r="P506" s="25"/>
      <c r="Q506" s="25">
        <v>0</v>
      </c>
      <c r="R506" s="25"/>
      <c r="S506" s="25"/>
      <c r="T506" s="25"/>
      <c r="U506" s="25"/>
      <c r="V506" s="39">
        <v>24</v>
      </c>
      <c r="W506" s="25"/>
      <c r="X506" s="33">
        <f t="shared" si="14"/>
        <v>24</v>
      </c>
      <c r="Y506" s="39">
        <v>81800</v>
      </c>
      <c r="Z506" s="25">
        <v>1963200</v>
      </c>
      <c r="AA506" s="45"/>
      <c r="AB506" s="45"/>
      <c r="AC506" s="45"/>
      <c r="AD506" s="45"/>
      <c r="AE506" s="45"/>
    </row>
    <row r="507" spans="1:31" s="12" customFormat="1" ht="12">
      <c r="A507" s="27">
        <v>45611</v>
      </c>
      <c r="B507" s="53" t="s">
        <v>211</v>
      </c>
      <c r="C507" s="37" t="s">
        <v>82</v>
      </c>
      <c r="D507" s="34" t="s">
        <v>186</v>
      </c>
      <c r="E507" s="34" t="e">
        <f>IF(B507="","",VLOOKUP($B507,#REF!,4,FALSE))</f>
        <v>#REF!</v>
      </c>
      <c r="F507" s="34" t="e">
        <f>IF(E507="","",VLOOKUP($B507,#REF!,5,FALSE))</f>
        <v>#REF!</v>
      </c>
      <c r="G507" s="34" t="e">
        <f>IF(F507="","",VLOOKUP($B507,#REF!,6,FALSE))</f>
        <v>#REF!</v>
      </c>
      <c r="H507" s="34" t="e">
        <f>IF(G507="","",VLOOKUP($B507,#REF!,7,FALSE))</f>
        <v>#REF!</v>
      </c>
      <c r="I507" s="25"/>
      <c r="J507" s="25"/>
      <c r="K507" s="25"/>
      <c r="L507" s="25"/>
      <c r="M507" s="25"/>
      <c r="N507" s="25"/>
      <c r="O507" s="33">
        <f t="shared" si="15"/>
        <v>0</v>
      </c>
      <c r="P507" s="25"/>
      <c r="Q507" s="25">
        <v>0</v>
      </c>
      <c r="R507" s="25"/>
      <c r="S507" s="25"/>
      <c r="T507" s="25"/>
      <c r="U507" s="25"/>
      <c r="V507" s="39">
        <v>72</v>
      </c>
      <c r="W507" s="25"/>
      <c r="X507" s="33">
        <f t="shared" si="14"/>
        <v>72</v>
      </c>
      <c r="Y507" s="39">
        <v>46020</v>
      </c>
      <c r="Z507" s="25">
        <v>3313440</v>
      </c>
      <c r="AA507" s="45"/>
      <c r="AB507" s="45"/>
      <c r="AC507" s="45"/>
      <c r="AD507" s="45"/>
      <c r="AE507" s="45"/>
    </row>
    <row r="508" spans="1:31" s="12" customFormat="1" ht="12">
      <c r="A508" s="27">
        <v>45611</v>
      </c>
      <c r="B508" s="53" t="s">
        <v>211</v>
      </c>
      <c r="C508" s="37" t="s">
        <v>82</v>
      </c>
      <c r="D508" s="34" t="s">
        <v>186</v>
      </c>
      <c r="E508" s="34" t="e">
        <f>IF(B508="","",VLOOKUP($B508,#REF!,4,FALSE))</f>
        <v>#REF!</v>
      </c>
      <c r="F508" s="34" t="e">
        <f>IF(E508="","",VLOOKUP($B508,#REF!,5,FALSE))</f>
        <v>#REF!</v>
      </c>
      <c r="G508" s="34" t="e">
        <f>IF(F508="","",VLOOKUP($B508,#REF!,6,FALSE))</f>
        <v>#REF!</v>
      </c>
      <c r="H508" s="34" t="e">
        <f>IF(G508="","",VLOOKUP($B508,#REF!,7,FALSE))</f>
        <v>#REF!</v>
      </c>
      <c r="I508" s="25"/>
      <c r="J508" s="25"/>
      <c r="K508" s="25"/>
      <c r="L508" s="25"/>
      <c r="M508" s="25"/>
      <c r="N508" s="25"/>
      <c r="O508" s="33">
        <f t="shared" si="15"/>
        <v>0</v>
      </c>
      <c r="P508" s="25"/>
      <c r="Q508" s="25">
        <v>0</v>
      </c>
      <c r="R508" s="25"/>
      <c r="S508" s="25"/>
      <c r="T508" s="25"/>
      <c r="U508" s="25"/>
      <c r="V508" s="39">
        <v>144</v>
      </c>
      <c r="W508" s="25"/>
      <c r="X508" s="33">
        <f t="shared" si="14"/>
        <v>144</v>
      </c>
      <c r="Y508" s="39">
        <v>46020</v>
      </c>
      <c r="Z508" s="25">
        <v>6626880</v>
      </c>
      <c r="AA508" s="45"/>
      <c r="AB508" s="45"/>
      <c r="AC508" s="45"/>
      <c r="AD508" s="45"/>
      <c r="AE508" s="45"/>
    </row>
    <row r="509" spans="1:31" s="12" customFormat="1" ht="12">
      <c r="A509" s="27">
        <v>45611</v>
      </c>
      <c r="B509" s="53" t="s">
        <v>211</v>
      </c>
      <c r="C509" s="37" t="s">
        <v>82</v>
      </c>
      <c r="D509" s="34" t="s">
        <v>186</v>
      </c>
      <c r="E509" s="34" t="e">
        <f>IF(B509="","",VLOOKUP($B509,#REF!,4,FALSE))</f>
        <v>#REF!</v>
      </c>
      <c r="F509" s="34" t="e">
        <f>IF(E509="","",VLOOKUP($B509,#REF!,5,FALSE))</f>
        <v>#REF!</v>
      </c>
      <c r="G509" s="34" t="e">
        <f>IF(F509="","",VLOOKUP($B509,#REF!,6,FALSE))</f>
        <v>#REF!</v>
      </c>
      <c r="H509" s="34" t="e">
        <f>IF(G509="","",VLOOKUP($B509,#REF!,7,FALSE))</f>
        <v>#REF!</v>
      </c>
      <c r="I509" s="25"/>
      <c r="J509" s="25"/>
      <c r="K509" s="25"/>
      <c r="L509" s="25"/>
      <c r="M509" s="25"/>
      <c r="N509" s="25"/>
      <c r="O509" s="33">
        <f t="shared" si="15"/>
        <v>0</v>
      </c>
      <c r="P509" s="25"/>
      <c r="Q509" s="25">
        <v>0</v>
      </c>
      <c r="R509" s="25"/>
      <c r="S509" s="25"/>
      <c r="T509" s="25"/>
      <c r="U509" s="25"/>
      <c r="V509" s="39">
        <v>12</v>
      </c>
      <c r="W509" s="25"/>
      <c r="X509" s="33">
        <f t="shared" si="14"/>
        <v>12</v>
      </c>
      <c r="Y509" s="39">
        <v>46020</v>
      </c>
      <c r="Z509" s="25">
        <v>552240</v>
      </c>
      <c r="AA509" s="45"/>
      <c r="AB509" s="45"/>
      <c r="AC509" s="45"/>
      <c r="AD509" s="45"/>
      <c r="AE509" s="45"/>
    </row>
    <row r="510" spans="1:31" s="12" customFormat="1" ht="12">
      <c r="A510" s="27">
        <v>45611</v>
      </c>
      <c r="B510" s="53" t="s">
        <v>58</v>
      </c>
      <c r="C510" s="37" t="s">
        <v>82</v>
      </c>
      <c r="D510" s="34" t="s">
        <v>186</v>
      </c>
      <c r="E510" s="34" t="e">
        <f>IF(B510="","",VLOOKUP($B510,#REF!,4,FALSE))</f>
        <v>#REF!</v>
      </c>
      <c r="F510" s="34" t="e">
        <f>IF(E510="","",VLOOKUP($B510,#REF!,5,FALSE))</f>
        <v>#REF!</v>
      </c>
      <c r="G510" s="34" t="e">
        <f>IF(F510="","",VLOOKUP($B510,#REF!,6,FALSE))</f>
        <v>#REF!</v>
      </c>
      <c r="H510" s="34" t="e">
        <f>IF(G510="","",VLOOKUP($B510,#REF!,7,FALSE))</f>
        <v>#REF!</v>
      </c>
      <c r="I510" s="25"/>
      <c r="J510" s="25"/>
      <c r="K510" s="25"/>
      <c r="L510" s="25"/>
      <c r="M510" s="25"/>
      <c r="N510" s="25"/>
      <c r="O510" s="33">
        <f t="shared" si="15"/>
        <v>0</v>
      </c>
      <c r="P510" s="25"/>
      <c r="Q510" s="25">
        <v>0</v>
      </c>
      <c r="R510" s="25"/>
      <c r="S510" s="25"/>
      <c r="T510" s="25"/>
      <c r="U510" s="25"/>
      <c r="V510" s="39">
        <v>192</v>
      </c>
      <c r="W510" s="36"/>
      <c r="X510" s="33">
        <f t="shared" si="14"/>
        <v>192</v>
      </c>
      <c r="Y510" s="39">
        <v>170880</v>
      </c>
      <c r="Z510" s="25">
        <v>32808960</v>
      </c>
      <c r="AA510" s="45"/>
      <c r="AB510" s="45"/>
      <c r="AC510" s="45"/>
      <c r="AD510" s="45"/>
      <c r="AE510" s="45"/>
    </row>
    <row r="511" spans="1:31" s="12" customFormat="1" ht="12">
      <c r="A511" s="27">
        <v>45611</v>
      </c>
      <c r="B511" s="53" t="s">
        <v>219</v>
      </c>
      <c r="C511" s="37" t="s">
        <v>82</v>
      </c>
      <c r="D511" s="34" t="s">
        <v>186</v>
      </c>
      <c r="E511" s="34" t="e">
        <f>IF(B511="","",VLOOKUP($B511,#REF!,4,FALSE))</f>
        <v>#REF!</v>
      </c>
      <c r="F511" s="34" t="e">
        <f>IF(E511="","",VLOOKUP($B511,#REF!,5,FALSE))</f>
        <v>#REF!</v>
      </c>
      <c r="G511" s="34" t="e">
        <f>IF(F511="","",VLOOKUP($B511,#REF!,6,FALSE))</f>
        <v>#REF!</v>
      </c>
      <c r="H511" s="34" t="e">
        <f>IF(G511="","",VLOOKUP($B511,#REF!,7,FALSE))</f>
        <v>#REF!</v>
      </c>
      <c r="I511" s="25"/>
      <c r="J511" s="25"/>
      <c r="K511" s="25"/>
      <c r="L511" s="25"/>
      <c r="M511" s="25"/>
      <c r="N511" s="25"/>
      <c r="O511" s="33">
        <f t="shared" si="15"/>
        <v>0</v>
      </c>
      <c r="P511" s="25"/>
      <c r="Q511" s="25">
        <v>0</v>
      </c>
      <c r="R511" s="25"/>
      <c r="S511" s="25"/>
      <c r="T511" s="25"/>
      <c r="U511" s="25"/>
      <c r="V511" s="39">
        <v>192</v>
      </c>
      <c r="W511" s="25"/>
      <c r="X511" s="33">
        <f t="shared" si="14"/>
        <v>192</v>
      </c>
      <c r="Y511" s="39">
        <v>235000</v>
      </c>
      <c r="Z511" s="25">
        <v>45120000</v>
      </c>
      <c r="AA511" s="45"/>
      <c r="AB511" s="45"/>
      <c r="AC511" s="45"/>
      <c r="AD511" s="45"/>
      <c r="AE511" s="45"/>
    </row>
    <row r="512" spans="1:31" s="12" customFormat="1" ht="12">
      <c r="A512" s="27">
        <v>45611</v>
      </c>
      <c r="B512" s="53" t="s">
        <v>57</v>
      </c>
      <c r="C512" s="37" t="s">
        <v>82</v>
      </c>
      <c r="D512" s="34" t="s">
        <v>186</v>
      </c>
      <c r="E512" s="34" t="e">
        <f>IF(B512="","",VLOOKUP($B512,#REF!,4,FALSE))</f>
        <v>#REF!</v>
      </c>
      <c r="F512" s="34" t="e">
        <f>IF(E512="","",VLOOKUP($B512,#REF!,5,FALSE))</f>
        <v>#REF!</v>
      </c>
      <c r="G512" s="34" t="e">
        <f>IF(F512="","",VLOOKUP($B512,#REF!,6,FALSE))</f>
        <v>#REF!</v>
      </c>
      <c r="H512" s="34" t="e">
        <f>IF(G512="","",VLOOKUP($B512,#REF!,7,FALSE))</f>
        <v>#REF!</v>
      </c>
      <c r="I512" s="25"/>
      <c r="J512" s="25"/>
      <c r="K512" s="25"/>
      <c r="L512" s="25"/>
      <c r="M512" s="25"/>
      <c r="N512" s="25"/>
      <c r="O512" s="33">
        <f t="shared" si="15"/>
        <v>0</v>
      </c>
      <c r="P512" s="25"/>
      <c r="Q512" s="25">
        <v>0</v>
      </c>
      <c r="R512" s="25"/>
      <c r="S512" s="25"/>
      <c r="T512" s="25"/>
      <c r="U512" s="25"/>
      <c r="V512" s="39">
        <v>224</v>
      </c>
      <c r="W512" s="25"/>
      <c r="X512" s="33">
        <f t="shared" si="14"/>
        <v>224</v>
      </c>
      <c r="Y512" s="39">
        <v>163800</v>
      </c>
      <c r="Z512" s="25">
        <v>36691200</v>
      </c>
      <c r="AA512" s="45"/>
      <c r="AB512" s="45"/>
      <c r="AC512" s="45"/>
      <c r="AD512" s="45"/>
      <c r="AE512" s="45"/>
    </row>
    <row r="513" spans="1:31" s="12" customFormat="1" ht="12">
      <c r="A513" s="27">
        <v>45611</v>
      </c>
      <c r="B513" s="56" t="s">
        <v>24</v>
      </c>
      <c r="C513" s="37" t="s">
        <v>82</v>
      </c>
      <c r="D513" s="34" t="s">
        <v>186</v>
      </c>
      <c r="E513" s="34" t="e">
        <f>IF(B513="","",VLOOKUP($B513,#REF!,4,FALSE))</f>
        <v>#REF!</v>
      </c>
      <c r="F513" s="34" t="e">
        <f>IF(E513="","",VLOOKUP($B513,#REF!,5,FALSE))</f>
        <v>#REF!</v>
      </c>
      <c r="G513" s="34" t="e">
        <f>IF(F513="","",VLOOKUP($B513,#REF!,6,FALSE))</f>
        <v>#REF!</v>
      </c>
      <c r="H513" s="34" t="e">
        <f>IF(G513="","",VLOOKUP($B513,#REF!,7,FALSE))</f>
        <v>#REF!</v>
      </c>
      <c r="I513" s="25"/>
      <c r="J513" s="25"/>
      <c r="K513" s="25"/>
      <c r="L513" s="25"/>
      <c r="M513" s="25"/>
      <c r="N513" s="25"/>
      <c r="O513" s="33">
        <f t="shared" si="15"/>
        <v>0</v>
      </c>
      <c r="P513" s="25"/>
      <c r="Q513" s="25">
        <v>0</v>
      </c>
      <c r="R513" s="25"/>
      <c r="S513" s="25"/>
      <c r="T513" s="25"/>
      <c r="U513" s="25"/>
      <c r="V513" s="39">
        <v>192</v>
      </c>
      <c r="W513" s="25"/>
      <c r="X513" s="33">
        <f t="shared" si="14"/>
        <v>192</v>
      </c>
      <c r="Y513" s="39">
        <v>124920</v>
      </c>
      <c r="Z513" s="25">
        <v>23984640</v>
      </c>
      <c r="AA513" s="45"/>
      <c r="AB513" s="45"/>
      <c r="AC513" s="45"/>
      <c r="AD513" s="45"/>
      <c r="AE513" s="45"/>
    </row>
    <row r="514" spans="1:31" s="12" customFormat="1" ht="12">
      <c r="A514" s="27">
        <v>45611</v>
      </c>
      <c r="B514" s="47" t="s">
        <v>188</v>
      </c>
      <c r="C514" s="37" t="s">
        <v>82</v>
      </c>
      <c r="D514" s="34" t="s">
        <v>186</v>
      </c>
      <c r="E514" s="34" t="e">
        <f>IF(B514="","",VLOOKUP($B514,#REF!,4,FALSE))</f>
        <v>#REF!</v>
      </c>
      <c r="F514" s="34" t="e">
        <f>IF(E514="","",VLOOKUP($B514,#REF!,5,FALSE))</f>
        <v>#REF!</v>
      </c>
      <c r="G514" s="34" t="e">
        <f>IF(F514="","",VLOOKUP($B514,#REF!,6,FALSE))</f>
        <v>#REF!</v>
      </c>
      <c r="H514" s="34" t="e">
        <f>IF(G514="","",VLOOKUP($B514,#REF!,7,FALSE))</f>
        <v>#REF!</v>
      </c>
      <c r="I514" s="25"/>
      <c r="J514" s="25"/>
      <c r="K514" s="25"/>
      <c r="L514" s="25"/>
      <c r="M514" s="25"/>
      <c r="N514" s="25"/>
      <c r="O514" s="33">
        <f t="shared" si="15"/>
        <v>0</v>
      </c>
      <c r="P514" s="25"/>
      <c r="Q514" s="25">
        <v>0</v>
      </c>
      <c r="R514" s="25"/>
      <c r="S514" s="25"/>
      <c r="T514" s="25"/>
      <c r="U514" s="25"/>
      <c r="V514" s="39">
        <v>168</v>
      </c>
      <c r="W514" s="25"/>
      <c r="X514" s="33">
        <f t="shared" si="14"/>
        <v>168</v>
      </c>
      <c r="Y514" s="39">
        <v>128000</v>
      </c>
      <c r="Z514" s="25">
        <v>21504000</v>
      </c>
      <c r="AA514" s="45"/>
      <c r="AB514" s="45"/>
      <c r="AC514" s="45"/>
      <c r="AD514" s="45"/>
      <c r="AE514" s="45"/>
    </row>
    <row r="515" spans="1:31" s="12" customFormat="1" ht="12">
      <c r="A515" s="27">
        <v>45611</v>
      </c>
      <c r="B515" s="53" t="s">
        <v>28</v>
      </c>
      <c r="C515" s="37" t="s">
        <v>82</v>
      </c>
      <c r="D515" s="34" t="s">
        <v>186</v>
      </c>
      <c r="E515" s="34" t="e">
        <f>IF(B515="","",VLOOKUP($B515,#REF!,4,FALSE))</f>
        <v>#REF!</v>
      </c>
      <c r="F515" s="34" t="e">
        <f>IF(E515="","",VLOOKUP($B515,#REF!,5,FALSE))</f>
        <v>#REF!</v>
      </c>
      <c r="G515" s="34" t="e">
        <f>IF(F515="","",VLOOKUP($B515,#REF!,6,FALSE))</f>
        <v>#REF!</v>
      </c>
      <c r="H515" s="34" t="e">
        <f>IF(G515="","",VLOOKUP($B515,#REF!,7,FALSE))</f>
        <v>#REF!</v>
      </c>
      <c r="I515" s="25"/>
      <c r="J515" s="25"/>
      <c r="K515" s="25"/>
      <c r="L515" s="25"/>
      <c r="M515" s="25"/>
      <c r="N515" s="25"/>
      <c r="O515" s="33">
        <f t="shared" si="15"/>
        <v>0</v>
      </c>
      <c r="P515" s="25"/>
      <c r="Q515" s="25">
        <v>0</v>
      </c>
      <c r="R515" s="25"/>
      <c r="S515" s="25"/>
      <c r="T515" s="25"/>
      <c r="U515" s="25"/>
      <c r="V515" s="39">
        <v>120</v>
      </c>
      <c r="W515" s="25"/>
      <c r="X515" s="33">
        <f t="shared" si="14"/>
        <v>120</v>
      </c>
      <c r="Y515" s="39">
        <v>186150</v>
      </c>
      <c r="Z515" s="25">
        <v>22338000</v>
      </c>
      <c r="AA515" s="45"/>
      <c r="AB515" s="45"/>
      <c r="AC515" s="45"/>
      <c r="AD515" s="45"/>
      <c r="AE515" s="45"/>
    </row>
    <row r="516" spans="1:31" s="12" customFormat="1" ht="12">
      <c r="A516" s="27">
        <v>45611</v>
      </c>
      <c r="B516" s="53" t="s">
        <v>44</v>
      </c>
      <c r="C516" s="37" t="s">
        <v>82</v>
      </c>
      <c r="D516" s="34" t="s">
        <v>186</v>
      </c>
      <c r="E516" s="34" t="e">
        <f>IF(B516="","",VLOOKUP($B516,#REF!,4,FALSE))</f>
        <v>#REF!</v>
      </c>
      <c r="F516" s="34" t="e">
        <f>IF(E516="","",VLOOKUP($B516,#REF!,5,FALSE))</f>
        <v>#REF!</v>
      </c>
      <c r="G516" s="34" t="e">
        <f>IF(F516="","",VLOOKUP($B516,#REF!,6,FALSE))</f>
        <v>#REF!</v>
      </c>
      <c r="H516" s="34" t="e">
        <f>IF(G516="","",VLOOKUP($B516,#REF!,7,FALSE))</f>
        <v>#REF!</v>
      </c>
      <c r="I516" s="25"/>
      <c r="J516" s="25"/>
      <c r="K516" s="25"/>
      <c r="L516" s="25"/>
      <c r="M516" s="25"/>
      <c r="N516" s="25"/>
      <c r="O516" s="33">
        <f t="shared" si="15"/>
        <v>0</v>
      </c>
      <c r="P516" s="25"/>
      <c r="Q516" s="25">
        <v>0</v>
      </c>
      <c r="R516" s="25"/>
      <c r="S516" s="25"/>
      <c r="T516" s="25"/>
      <c r="U516" s="25"/>
      <c r="V516" s="39">
        <v>36</v>
      </c>
      <c r="W516" s="25"/>
      <c r="X516" s="33">
        <f t="shared" si="14"/>
        <v>36</v>
      </c>
      <c r="Y516" s="39">
        <v>171900</v>
      </c>
      <c r="Z516" s="25">
        <v>6188400</v>
      </c>
      <c r="AA516" s="45"/>
      <c r="AB516" s="45"/>
      <c r="AC516" s="45"/>
      <c r="AD516" s="45"/>
      <c r="AE516" s="45"/>
    </row>
    <row r="517" spans="1:31" s="12" customFormat="1" ht="12">
      <c r="A517" s="27">
        <v>45611</v>
      </c>
      <c r="B517" s="73" t="s">
        <v>160</v>
      </c>
      <c r="C517" s="37" t="s">
        <v>82</v>
      </c>
      <c r="D517" s="34" t="s">
        <v>186</v>
      </c>
      <c r="E517" s="34" t="e">
        <f>IF(B517="","",VLOOKUP($B517,#REF!,4,FALSE))</f>
        <v>#REF!</v>
      </c>
      <c r="F517" s="34" t="e">
        <f>IF(E517="","",VLOOKUP($B517,#REF!,5,FALSE))</f>
        <v>#REF!</v>
      </c>
      <c r="G517" s="34" t="e">
        <f>IF(F517="","",VLOOKUP($B517,#REF!,6,FALSE))</f>
        <v>#REF!</v>
      </c>
      <c r="H517" s="34" t="e">
        <f>IF(G517="","",VLOOKUP($B517,#REF!,7,FALSE))</f>
        <v>#REF!</v>
      </c>
      <c r="I517" s="25"/>
      <c r="J517" s="25"/>
      <c r="K517" s="25"/>
      <c r="L517" s="25"/>
      <c r="M517" s="25"/>
      <c r="N517" s="25"/>
      <c r="O517" s="33">
        <f t="shared" si="15"/>
        <v>0</v>
      </c>
      <c r="P517" s="25"/>
      <c r="Q517" s="25">
        <v>0</v>
      </c>
      <c r="R517" s="25"/>
      <c r="S517" s="25"/>
      <c r="T517" s="25"/>
      <c r="U517" s="25"/>
      <c r="V517" s="39">
        <v>192</v>
      </c>
      <c r="W517" s="25"/>
      <c r="X517" s="33">
        <f t="shared" ref="X517:X580" si="16">SUM(R517:W517)</f>
        <v>192</v>
      </c>
      <c r="Y517" s="39">
        <v>100300</v>
      </c>
      <c r="Z517" s="25">
        <v>19257600</v>
      </c>
      <c r="AA517" s="45"/>
      <c r="AB517" s="45"/>
      <c r="AC517" s="45"/>
      <c r="AD517" s="45"/>
      <c r="AE517" s="45"/>
    </row>
    <row r="518" spans="1:31" s="12" customFormat="1" ht="12">
      <c r="A518" s="27">
        <v>45611</v>
      </c>
      <c r="B518" s="53" t="s">
        <v>21</v>
      </c>
      <c r="C518" s="37" t="s">
        <v>82</v>
      </c>
      <c r="D518" s="34" t="s">
        <v>186</v>
      </c>
      <c r="E518" s="34" t="e">
        <f>IF(B518="","",VLOOKUP($B518,#REF!,4,FALSE))</f>
        <v>#REF!</v>
      </c>
      <c r="F518" s="34" t="e">
        <f>IF(E518="","",VLOOKUP($B518,#REF!,5,FALSE))</f>
        <v>#REF!</v>
      </c>
      <c r="G518" s="34" t="e">
        <f>IF(F518="","",VLOOKUP($B518,#REF!,6,FALSE))</f>
        <v>#REF!</v>
      </c>
      <c r="H518" s="34" t="e">
        <f>IF(G518="","",VLOOKUP($B518,#REF!,7,FALSE))</f>
        <v>#REF!</v>
      </c>
      <c r="I518" s="25"/>
      <c r="J518" s="25"/>
      <c r="K518" s="25"/>
      <c r="L518" s="25"/>
      <c r="M518" s="25"/>
      <c r="N518" s="25"/>
      <c r="O518" s="33">
        <f t="shared" ref="O518:O581" si="17">SUM(I518:N518)</f>
        <v>0</v>
      </c>
      <c r="P518" s="25"/>
      <c r="Q518" s="25">
        <v>0</v>
      </c>
      <c r="R518" s="25"/>
      <c r="S518" s="25"/>
      <c r="T518" s="25"/>
      <c r="U518" s="25"/>
      <c r="V518" s="39">
        <v>192</v>
      </c>
      <c r="W518" s="25"/>
      <c r="X518" s="33">
        <f t="shared" si="16"/>
        <v>192</v>
      </c>
      <c r="Y518" s="39">
        <v>81800</v>
      </c>
      <c r="Z518" s="25">
        <v>15705600</v>
      </c>
      <c r="AA518" s="45"/>
      <c r="AB518" s="45"/>
      <c r="AC518" s="45"/>
      <c r="AD518" s="45"/>
      <c r="AE518" s="45"/>
    </row>
    <row r="519" spans="1:31" s="12" customFormat="1" ht="12">
      <c r="A519" s="27">
        <v>45611</v>
      </c>
      <c r="B519" s="28" t="s">
        <v>59</v>
      </c>
      <c r="C519" s="37" t="s">
        <v>82</v>
      </c>
      <c r="D519" s="34" t="s">
        <v>186</v>
      </c>
      <c r="E519" s="34" t="e">
        <f>IF(B519="","",VLOOKUP($B519,#REF!,4,FALSE))</f>
        <v>#REF!</v>
      </c>
      <c r="F519" s="34" t="e">
        <f>IF(E519="","",VLOOKUP($B519,#REF!,5,FALSE))</f>
        <v>#REF!</v>
      </c>
      <c r="G519" s="34" t="e">
        <f>IF(F519="","",VLOOKUP($B519,#REF!,6,FALSE))</f>
        <v>#REF!</v>
      </c>
      <c r="H519" s="34" t="e">
        <f>IF(G519="","",VLOOKUP($B519,#REF!,7,FALSE))</f>
        <v>#REF!</v>
      </c>
      <c r="I519" s="25"/>
      <c r="J519" s="25"/>
      <c r="K519" s="25"/>
      <c r="L519" s="25"/>
      <c r="M519" s="25"/>
      <c r="N519" s="25"/>
      <c r="O519" s="33">
        <f t="shared" si="17"/>
        <v>0</v>
      </c>
      <c r="P519" s="25"/>
      <c r="Q519" s="25">
        <v>0</v>
      </c>
      <c r="R519" s="25"/>
      <c r="S519" s="25"/>
      <c r="T519" s="25"/>
      <c r="U519" s="25"/>
      <c r="V519" s="39">
        <v>1</v>
      </c>
      <c r="W519" s="25"/>
      <c r="X519" s="33">
        <f t="shared" si="16"/>
        <v>1</v>
      </c>
      <c r="Y519" s="39">
        <v>140000</v>
      </c>
      <c r="Z519" s="25">
        <v>140000</v>
      </c>
      <c r="AA519" s="45"/>
      <c r="AB519" s="45"/>
      <c r="AC519" s="45"/>
      <c r="AD519" s="45"/>
      <c r="AE519" s="45"/>
    </row>
    <row r="520" spans="1:31" s="12" customFormat="1" ht="12">
      <c r="A520" s="27">
        <v>45611</v>
      </c>
      <c r="B520" s="73" t="s">
        <v>47</v>
      </c>
      <c r="C520" s="37" t="s">
        <v>82</v>
      </c>
      <c r="D520" s="34" t="s">
        <v>186</v>
      </c>
      <c r="E520" s="34" t="e">
        <f>IF(B520="","",VLOOKUP($B520,#REF!,4,FALSE))</f>
        <v>#REF!</v>
      </c>
      <c r="F520" s="34" t="e">
        <f>IF(E520="","",VLOOKUP($B520,#REF!,5,FALSE))</f>
        <v>#REF!</v>
      </c>
      <c r="G520" s="34" t="e">
        <f>IF(F520="","",VLOOKUP($B520,#REF!,6,FALSE))</f>
        <v>#REF!</v>
      </c>
      <c r="H520" s="34" t="e">
        <f>IF(G520="","",VLOOKUP($B520,#REF!,7,FALSE))</f>
        <v>#REF!</v>
      </c>
      <c r="I520" s="25"/>
      <c r="J520" s="25"/>
      <c r="K520" s="25"/>
      <c r="L520" s="25"/>
      <c r="M520" s="25"/>
      <c r="N520" s="25"/>
      <c r="O520" s="33">
        <f t="shared" si="17"/>
        <v>0</v>
      </c>
      <c r="P520" s="25"/>
      <c r="Q520" s="25">
        <v>0</v>
      </c>
      <c r="R520" s="25"/>
      <c r="S520" s="25"/>
      <c r="T520" s="25"/>
      <c r="U520" s="25"/>
      <c r="V520" s="39">
        <v>56</v>
      </c>
      <c r="W520" s="25"/>
      <c r="X520" s="33">
        <f t="shared" si="16"/>
        <v>56</v>
      </c>
      <c r="Y520" s="39">
        <v>18860</v>
      </c>
      <c r="Z520" s="25">
        <v>1056160</v>
      </c>
      <c r="AA520" s="45"/>
      <c r="AB520" s="45"/>
      <c r="AC520" s="45"/>
      <c r="AD520" s="45"/>
      <c r="AE520" s="45"/>
    </row>
    <row r="521" spans="1:31" s="12" customFormat="1" ht="12">
      <c r="A521" s="27">
        <v>45611</v>
      </c>
      <c r="B521" s="28" t="s">
        <v>211</v>
      </c>
      <c r="C521" s="37" t="s">
        <v>82</v>
      </c>
      <c r="D521" s="34" t="s">
        <v>186</v>
      </c>
      <c r="E521" s="34" t="e">
        <f>IF(B521="","",VLOOKUP($B521,#REF!,4,FALSE))</f>
        <v>#REF!</v>
      </c>
      <c r="F521" s="34" t="e">
        <f>IF(E521="","",VLOOKUP($B521,#REF!,5,FALSE))</f>
        <v>#REF!</v>
      </c>
      <c r="G521" s="34" t="e">
        <f>IF(F521="","",VLOOKUP($B521,#REF!,6,FALSE))</f>
        <v>#REF!</v>
      </c>
      <c r="H521" s="34" t="e">
        <f>IF(G521="","",VLOOKUP($B521,#REF!,7,FALSE))</f>
        <v>#REF!</v>
      </c>
      <c r="I521" s="25"/>
      <c r="J521" s="25"/>
      <c r="K521" s="25"/>
      <c r="L521" s="25"/>
      <c r="M521" s="25"/>
      <c r="N521" s="25"/>
      <c r="O521" s="33">
        <f t="shared" si="17"/>
        <v>0</v>
      </c>
      <c r="P521" s="25"/>
      <c r="Q521" s="25">
        <v>0</v>
      </c>
      <c r="R521" s="25"/>
      <c r="S521" s="25"/>
      <c r="T521" s="25"/>
      <c r="U521" s="25"/>
      <c r="V521" s="39">
        <v>120</v>
      </c>
      <c r="W521" s="25"/>
      <c r="X521" s="33">
        <f t="shared" si="16"/>
        <v>120</v>
      </c>
      <c r="Y521" s="39">
        <v>46020</v>
      </c>
      <c r="Z521" s="25">
        <v>5522400</v>
      </c>
      <c r="AA521" s="45" t="s">
        <v>273</v>
      </c>
      <c r="AB521" s="45"/>
      <c r="AC521" s="45"/>
      <c r="AD521" s="45"/>
      <c r="AE521" s="45"/>
    </row>
    <row r="522" spans="1:31" s="12" customFormat="1" ht="12">
      <c r="A522" s="27">
        <v>45611</v>
      </c>
      <c r="B522" s="28" t="s">
        <v>14</v>
      </c>
      <c r="C522" s="37" t="s">
        <v>84</v>
      </c>
      <c r="D522" s="34" t="s">
        <v>184</v>
      </c>
      <c r="E522" s="34" t="e">
        <f>IF(B522="","",VLOOKUP($B522,#REF!,4,FALSE))</f>
        <v>#REF!</v>
      </c>
      <c r="F522" s="34" t="e">
        <f>IF(E522="","",VLOOKUP($B522,#REF!,5,FALSE))</f>
        <v>#REF!</v>
      </c>
      <c r="G522" s="34" t="e">
        <f>IF(F522="","",VLOOKUP($B522,#REF!,6,FALSE))</f>
        <v>#REF!</v>
      </c>
      <c r="H522" s="34" t="e">
        <f>IF(G522="","",VLOOKUP($B522,#REF!,7,FALSE))</f>
        <v>#REF!</v>
      </c>
      <c r="I522" s="25"/>
      <c r="J522" s="25"/>
      <c r="K522" s="25"/>
      <c r="L522" s="25"/>
      <c r="M522" s="25"/>
      <c r="N522" s="25"/>
      <c r="O522" s="33">
        <f t="shared" si="17"/>
        <v>0</v>
      </c>
      <c r="P522" s="25"/>
      <c r="Q522" s="25">
        <v>0</v>
      </c>
      <c r="R522" s="25"/>
      <c r="S522" s="25"/>
      <c r="T522" s="25">
        <v>20</v>
      </c>
      <c r="U522" s="25"/>
      <c r="V522" s="39"/>
      <c r="W522" s="25"/>
      <c r="X522" s="33">
        <f t="shared" si="16"/>
        <v>20</v>
      </c>
      <c r="Y522" s="39">
        <v>51200</v>
      </c>
      <c r="Z522" s="25">
        <v>1024000</v>
      </c>
      <c r="AA522" s="46" t="s">
        <v>274</v>
      </c>
      <c r="AB522" s="45"/>
      <c r="AC522" s="45"/>
      <c r="AD522" s="45"/>
      <c r="AE522" s="45"/>
    </row>
    <row r="523" spans="1:31" s="12" customFormat="1" ht="12">
      <c r="A523" s="27">
        <v>45611</v>
      </c>
      <c r="B523" s="28" t="s">
        <v>12</v>
      </c>
      <c r="C523" s="37" t="s">
        <v>84</v>
      </c>
      <c r="D523" s="34" t="s">
        <v>184</v>
      </c>
      <c r="E523" s="34" t="e">
        <f>IF(B523="","",VLOOKUP($B523,#REF!,4,FALSE))</f>
        <v>#REF!</v>
      </c>
      <c r="F523" s="34" t="e">
        <f>IF(E523="","",VLOOKUP($B523,#REF!,5,FALSE))</f>
        <v>#REF!</v>
      </c>
      <c r="G523" s="34" t="e">
        <f>IF(F523="","",VLOOKUP($B523,#REF!,6,FALSE))</f>
        <v>#REF!</v>
      </c>
      <c r="H523" s="34" t="e">
        <f>IF(G523="","",VLOOKUP($B523,#REF!,7,FALSE))</f>
        <v>#REF!</v>
      </c>
      <c r="I523" s="25"/>
      <c r="J523" s="25"/>
      <c r="K523" s="25"/>
      <c r="L523" s="25"/>
      <c r="M523" s="25"/>
      <c r="N523" s="25"/>
      <c r="O523" s="33">
        <f t="shared" si="17"/>
        <v>0</v>
      </c>
      <c r="P523" s="25"/>
      <c r="Q523" s="25">
        <v>0</v>
      </c>
      <c r="R523" s="25"/>
      <c r="S523" s="25"/>
      <c r="T523" s="25">
        <v>5</v>
      </c>
      <c r="U523" s="25"/>
      <c r="V523" s="39"/>
      <c r="W523" s="25"/>
      <c r="X523" s="33">
        <f t="shared" si="16"/>
        <v>5</v>
      </c>
      <c r="Y523" s="39">
        <v>41820</v>
      </c>
      <c r="Z523" s="25">
        <v>209091</v>
      </c>
      <c r="AA523" s="46" t="s">
        <v>274</v>
      </c>
      <c r="AB523" s="45"/>
      <c r="AC523" s="45"/>
      <c r="AD523" s="45"/>
      <c r="AE523" s="45"/>
    </row>
    <row r="524" spans="1:31" s="12" customFormat="1" ht="12">
      <c r="A524" s="27">
        <v>45611</v>
      </c>
      <c r="B524" s="53" t="s">
        <v>32</v>
      </c>
      <c r="C524" s="37" t="s">
        <v>84</v>
      </c>
      <c r="D524" s="34" t="s">
        <v>184</v>
      </c>
      <c r="E524" s="34" t="e">
        <f>IF(B524="","",VLOOKUP($B524,#REF!,4,FALSE))</f>
        <v>#REF!</v>
      </c>
      <c r="F524" s="34" t="e">
        <f>IF(E524="","",VLOOKUP($B524,#REF!,5,FALSE))</f>
        <v>#REF!</v>
      </c>
      <c r="G524" s="34" t="e">
        <f>IF(F524="","",VLOOKUP($B524,#REF!,6,FALSE))</f>
        <v>#REF!</v>
      </c>
      <c r="H524" s="34" t="e">
        <f>IF(G524="","",VLOOKUP($B524,#REF!,7,FALSE))</f>
        <v>#REF!</v>
      </c>
      <c r="I524" s="25"/>
      <c r="J524" s="25"/>
      <c r="K524" s="25"/>
      <c r="L524" s="25"/>
      <c r="M524" s="25"/>
      <c r="N524" s="25"/>
      <c r="O524" s="33">
        <f t="shared" si="17"/>
        <v>0</v>
      </c>
      <c r="P524" s="25"/>
      <c r="Q524" s="25">
        <v>0</v>
      </c>
      <c r="R524" s="25"/>
      <c r="S524" s="25"/>
      <c r="T524" s="25">
        <v>14</v>
      </c>
      <c r="U524" s="25"/>
      <c r="V524" s="39"/>
      <c r="W524" s="25"/>
      <c r="X524" s="33">
        <f t="shared" si="16"/>
        <v>14</v>
      </c>
      <c r="Y524" s="39">
        <v>81816</v>
      </c>
      <c r="Z524" s="25">
        <v>1145455</v>
      </c>
      <c r="AA524" s="46" t="s">
        <v>274</v>
      </c>
      <c r="AB524" s="45"/>
      <c r="AC524" s="45"/>
      <c r="AD524" s="45"/>
      <c r="AE524" s="45"/>
    </row>
    <row r="525" spans="1:31" s="12" customFormat="1" ht="12">
      <c r="A525" s="27">
        <v>45611</v>
      </c>
      <c r="B525" s="53" t="s">
        <v>198</v>
      </c>
      <c r="C525" s="37" t="s">
        <v>84</v>
      </c>
      <c r="D525" s="34" t="s">
        <v>184</v>
      </c>
      <c r="E525" s="34" t="e">
        <f>IF(B525="","",VLOOKUP($B525,#REF!,4,FALSE))</f>
        <v>#REF!</v>
      </c>
      <c r="F525" s="34" t="e">
        <f>IF(E525="","",VLOOKUP($B525,#REF!,5,FALSE))</f>
        <v>#REF!</v>
      </c>
      <c r="G525" s="34" t="e">
        <f>IF(F525="","",VLOOKUP($B525,#REF!,6,FALSE))</f>
        <v>#REF!</v>
      </c>
      <c r="H525" s="34" t="e">
        <f>IF(G525="","",VLOOKUP($B525,#REF!,7,FALSE))</f>
        <v>#REF!</v>
      </c>
      <c r="I525" s="25"/>
      <c r="J525" s="25"/>
      <c r="K525" s="25"/>
      <c r="L525" s="25"/>
      <c r="M525" s="25"/>
      <c r="N525" s="25"/>
      <c r="O525" s="33">
        <f t="shared" si="17"/>
        <v>0</v>
      </c>
      <c r="P525" s="25"/>
      <c r="Q525" s="25">
        <v>0</v>
      </c>
      <c r="R525" s="25"/>
      <c r="S525" s="25"/>
      <c r="T525" s="25">
        <v>4</v>
      </c>
      <c r="U525" s="25"/>
      <c r="V525" s="39"/>
      <c r="W525" s="25"/>
      <c r="X525" s="33">
        <f t="shared" si="16"/>
        <v>4</v>
      </c>
      <c r="Y525" s="39">
        <v>76360</v>
      </c>
      <c r="Z525" s="25">
        <v>305455</v>
      </c>
      <c r="AA525" s="46" t="s">
        <v>274</v>
      </c>
      <c r="AB525" s="45"/>
      <c r="AC525" s="45"/>
      <c r="AD525" s="45"/>
      <c r="AE525" s="45"/>
    </row>
    <row r="526" spans="1:31" s="12" customFormat="1" ht="12">
      <c r="A526" s="27">
        <v>45611</v>
      </c>
      <c r="B526" s="53" t="s">
        <v>63</v>
      </c>
      <c r="C526" s="37" t="s">
        <v>84</v>
      </c>
      <c r="D526" s="34" t="s">
        <v>184</v>
      </c>
      <c r="E526" s="34" t="e">
        <f>IF(B526="","",VLOOKUP($B526,#REF!,4,FALSE))</f>
        <v>#REF!</v>
      </c>
      <c r="F526" s="34" t="e">
        <f>IF(E526="","",VLOOKUP($B526,#REF!,5,FALSE))</f>
        <v>#REF!</v>
      </c>
      <c r="G526" s="34" t="e">
        <f>IF(F526="","",VLOOKUP($B526,#REF!,6,FALSE))</f>
        <v>#REF!</v>
      </c>
      <c r="H526" s="34" t="e">
        <f>IF(G526="","",VLOOKUP($B526,#REF!,7,FALSE))</f>
        <v>#REF!</v>
      </c>
      <c r="I526" s="25"/>
      <c r="J526" s="25"/>
      <c r="K526" s="25"/>
      <c r="L526" s="25"/>
      <c r="M526" s="25"/>
      <c r="N526" s="25"/>
      <c r="O526" s="33">
        <f t="shared" si="17"/>
        <v>0</v>
      </c>
      <c r="P526" s="25"/>
      <c r="Q526" s="25">
        <v>0</v>
      </c>
      <c r="R526" s="25"/>
      <c r="S526" s="25"/>
      <c r="T526" s="25">
        <v>10</v>
      </c>
      <c r="U526" s="25"/>
      <c r="V526" s="39"/>
      <c r="W526" s="25"/>
      <c r="X526" s="33">
        <f t="shared" si="16"/>
        <v>10</v>
      </c>
      <c r="Y526" s="39">
        <v>130000</v>
      </c>
      <c r="Z526" s="25">
        <v>1300000</v>
      </c>
      <c r="AA526" s="46" t="s">
        <v>274</v>
      </c>
      <c r="AB526" s="45"/>
      <c r="AC526" s="45"/>
      <c r="AD526" s="45"/>
      <c r="AE526" s="45"/>
    </row>
    <row r="527" spans="1:31" s="12" customFormat="1" ht="12">
      <c r="A527" s="27">
        <v>45611</v>
      </c>
      <c r="B527" s="74" t="s">
        <v>64</v>
      </c>
      <c r="C527" s="37" t="s">
        <v>84</v>
      </c>
      <c r="D527" s="34" t="s">
        <v>184</v>
      </c>
      <c r="E527" s="34" t="e">
        <f>IF(B527="","",VLOOKUP($B527,#REF!,4,FALSE))</f>
        <v>#REF!</v>
      </c>
      <c r="F527" s="34" t="e">
        <f>IF(E527="","",VLOOKUP($B527,#REF!,5,FALSE))</f>
        <v>#REF!</v>
      </c>
      <c r="G527" s="34" t="e">
        <f>IF(F527="","",VLOOKUP($B527,#REF!,6,FALSE))</f>
        <v>#REF!</v>
      </c>
      <c r="H527" s="34" t="e">
        <f>IF(G527="","",VLOOKUP($B527,#REF!,7,FALSE))</f>
        <v>#REF!</v>
      </c>
      <c r="I527" s="25"/>
      <c r="J527" s="25"/>
      <c r="K527" s="25"/>
      <c r="L527" s="25"/>
      <c r="M527" s="25"/>
      <c r="N527" s="25"/>
      <c r="O527" s="33">
        <f t="shared" si="17"/>
        <v>0</v>
      </c>
      <c r="P527" s="25"/>
      <c r="Q527" s="25">
        <v>0</v>
      </c>
      <c r="R527" s="25"/>
      <c r="S527" s="25"/>
      <c r="T527" s="25">
        <v>25</v>
      </c>
      <c r="U527" s="25"/>
      <c r="V527" s="39"/>
      <c r="W527" s="25"/>
      <c r="X527" s="33">
        <f t="shared" si="16"/>
        <v>25</v>
      </c>
      <c r="Y527" s="39">
        <v>94550</v>
      </c>
      <c r="Z527" s="25">
        <v>2363636</v>
      </c>
      <c r="AA527" s="46" t="s">
        <v>274</v>
      </c>
      <c r="AB527" s="45"/>
      <c r="AC527" s="45"/>
      <c r="AD527" s="45"/>
      <c r="AE527" s="45"/>
    </row>
    <row r="528" spans="1:31" s="12" customFormat="1" ht="12">
      <c r="A528" s="27">
        <v>45611</v>
      </c>
      <c r="B528" s="53" t="s">
        <v>15</v>
      </c>
      <c r="C528" s="37" t="s">
        <v>83</v>
      </c>
      <c r="D528" s="34" t="s">
        <v>185</v>
      </c>
      <c r="E528" s="34" t="e">
        <f>IF(B528="","",VLOOKUP($B528,#REF!,4,FALSE))</f>
        <v>#REF!</v>
      </c>
      <c r="F528" s="34" t="e">
        <f>IF(E528="","",VLOOKUP($B528,#REF!,5,FALSE))</f>
        <v>#REF!</v>
      </c>
      <c r="G528" s="34" t="e">
        <f>IF(F528="","",VLOOKUP($B528,#REF!,6,FALSE))</f>
        <v>#REF!</v>
      </c>
      <c r="H528" s="34" t="e">
        <f>IF(G528="","",VLOOKUP($B528,#REF!,7,FALSE))</f>
        <v>#REF!</v>
      </c>
      <c r="I528" s="25"/>
      <c r="J528" s="25"/>
      <c r="K528" s="25"/>
      <c r="L528" s="25"/>
      <c r="M528" s="25"/>
      <c r="N528" s="25"/>
      <c r="O528" s="33">
        <f t="shared" si="17"/>
        <v>0</v>
      </c>
      <c r="P528" s="25"/>
      <c r="Q528" s="25">
        <v>0</v>
      </c>
      <c r="R528" s="25"/>
      <c r="S528" s="25"/>
      <c r="T528" s="25">
        <v>8</v>
      </c>
      <c r="U528" s="25"/>
      <c r="V528" s="39"/>
      <c r="W528" s="25"/>
      <c r="X528" s="33">
        <f t="shared" si="16"/>
        <v>8</v>
      </c>
      <c r="Y528" s="39">
        <v>69600</v>
      </c>
      <c r="Z528" s="25">
        <v>556800</v>
      </c>
      <c r="AA528" s="45"/>
      <c r="AB528" s="45"/>
      <c r="AC528" s="45"/>
      <c r="AD528" s="45"/>
      <c r="AE528" s="45"/>
    </row>
    <row r="529" spans="1:31" s="12" customFormat="1" ht="12">
      <c r="A529" s="27">
        <v>45611</v>
      </c>
      <c r="B529" s="53" t="s">
        <v>25</v>
      </c>
      <c r="C529" s="37" t="s">
        <v>83</v>
      </c>
      <c r="D529" s="34" t="s">
        <v>185</v>
      </c>
      <c r="E529" s="34" t="e">
        <f>IF(B529="","",VLOOKUP($B529,#REF!,4,FALSE))</f>
        <v>#REF!</v>
      </c>
      <c r="F529" s="34" t="e">
        <f>IF(E529="","",VLOOKUP($B529,#REF!,5,FALSE))</f>
        <v>#REF!</v>
      </c>
      <c r="G529" s="34" t="e">
        <f>IF(F529="","",VLOOKUP($B529,#REF!,6,FALSE))</f>
        <v>#REF!</v>
      </c>
      <c r="H529" s="34" t="e">
        <f>IF(G529="","",VLOOKUP($B529,#REF!,7,FALSE))</f>
        <v>#REF!</v>
      </c>
      <c r="I529" s="25"/>
      <c r="J529" s="25"/>
      <c r="K529" s="25"/>
      <c r="L529" s="25"/>
      <c r="M529" s="25"/>
      <c r="N529" s="25"/>
      <c r="O529" s="33">
        <f t="shared" si="17"/>
        <v>0</v>
      </c>
      <c r="P529" s="25"/>
      <c r="Q529" s="25">
        <v>0</v>
      </c>
      <c r="R529" s="25"/>
      <c r="S529" s="25"/>
      <c r="T529" s="25">
        <v>4</v>
      </c>
      <c r="U529" s="25"/>
      <c r="V529" s="39"/>
      <c r="W529" s="25"/>
      <c r="X529" s="33">
        <f t="shared" si="16"/>
        <v>4</v>
      </c>
      <c r="Y529" s="39">
        <v>57000</v>
      </c>
      <c r="Z529" s="25">
        <v>228000</v>
      </c>
      <c r="AA529" s="45"/>
      <c r="AB529" s="45"/>
      <c r="AC529" s="45"/>
      <c r="AD529" s="45"/>
      <c r="AE529" s="45"/>
    </row>
    <row r="530" spans="1:31" s="12" customFormat="1" ht="12">
      <c r="A530" s="27">
        <v>45611</v>
      </c>
      <c r="B530" s="53" t="s">
        <v>38</v>
      </c>
      <c r="C530" s="37" t="s">
        <v>83</v>
      </c>
      <c r="D530" s="34" t="s">
        <v>185</v>
      </c>
      <c r="E530" s="34" t="e">
        <f>IF(B530="","",VLOOKUP($B530,#REF!,4,FALSE))</f>
        <v>#REF!</v>
      </c>
      <c r="F530" s="34" t="e">
        <f>IF(E530="","",VLOOKUP($B530,#REF!,5,FALSE))</f>
        <v>#REF!</v>
      </c>
      <c r="G530" s="34" t="e">
        <f>IF(F530="","",VLOOKUP($B530,#REF!,6,FALSE))</f>
        <v>#REF!</v>
      </c>
      <c r="H530" s="34" t="e">
        <f>IF(G530="","",VLOOKUP($B530,#REF!,7,FALSE))</f>
        <v>#REF!</v>
      </c>
      <c r="I530" s="25"/>
      <c r="J530" s="25"/>
      <c r="K530" s="25"/>
      <c r="L530" s="25"/>
      <c r="M530" s="25"/>
      <c r="N530" s="25"/>
      <c r="O530" s="33">
        <f t="shared" si="17"/>
        <v>0</v>
      </c>
      <c r="P530" s="25"/>
      <c r="Q530" s="25">
        <v>0</v>
      </c>
      <c r="R530" s="25"/>
      <c r="S530" s="25"/>
      <c r="T530" s="25">
        <v>16</v>
      </c>
      <c r="U530" s="25"/>
      <c r="V530" s="39"/>
      <c r="W530" s="25"/>
      <c r="X530" s="33">
        <f t="shared" si="16"/>
        <v>16</v>
      </c>
      <c r="Y530" s="39">
        <v>54600</v>
      </c>
      <c r="Z530" s="25">
        <v>873600</v>
      </c>
      <c r="AA530" s="45"/>
      <c r="AB530" s="45"/>
      <c r="AC530" s="45"/>
      <c r="AD530" s="45"/>
      <c r="AE530" s="45"/>
    </row>
    <row r="531" spans="1:31" s="12" customFormat="1" ht="12">
      <c r="A531" s="27">
        <v>45611</v>
      </c>
      <c r="B531" s="53" t="s">
        <v>23</v>
      </c>
      <c r="C531" s="37" t="s">
        <v>83</v>
      </c>
      <c r="D531" s="34" t="s">
        <v>185</v>
      </c>
      <c r="E531" s="34" t="e">
        <f>IF(B531="","",VLOOKUP($B531,#REF!,4,FALSE))</f>
        <v>#REF!</v>
      </c>
      <c r="F531" s="34" t="e">
        <f>IF(E531="","",VLOOKUP($B531,#REF!,5,FALSE))</f>
        <v>#REF!</v>
      </c>
      <c r="G531" s="34" t="e">
        <f>IF(F531="","",VLOOKUP($B531,#REF!,6,FALSE))</f>
        <v>#REF!</v>
      </c>
      <c r="H531" s="34" t="e">
        <f>IF(G531="","",VLOOKUP($B531,#REF!,7,FALSE))</f>
        <v>#REF!</v>
      </c>
      <c r="I531" s="25"/>
      <c r="J531" s="25"/>
      <c r="K531" s="25"/>
      <c r="L531" s="25"/>
      <c r="M531" s="25"/>
      <c r="N531" s="25"/>
      <c r="O531" s="33">
        <f t="shared" si="17"/>
        <v>0</v>
      </c>
      <c r="P531" s="25"/>
      <c r="Q531" s="25">
        <v>0</v>
      </c>
      <c r="R531" s="25"/>
      <c r="S531" s="25"/>
      <c r="T531" s="25">
        <v>2</v>
      </c>
      <c r="U531" s="25"/>
      <c r="V531" s="39"/>
      <c r="W531" s="25"/>
      <c r="X531" s="33">
        <f t="shared" si="16"/>
        <v>2</v>
      </c>
      <c r="Y531" s="39">
        <v>46080</v>
      </c>
      <c r="Z531" s="25">
        <v>92160</v>
      </c>
      <c r="AA531" s="55" t="s">
        <v>275</v>
      </c>
      <c r="AB531" s="45"/>
      <c r="AC531" s="45"/>
      <c r="AD531" s="45"/>
      <c r="AE531" s="45"/>
    </row>
    <row r="532" spans="1:31" s="12" customFormat="1" ht="11.25" customHeight="1">
      <c r="A532" s="27">
        <v>45611</v>
      </c>
      <c r="B532" s="47" t="s">
        <v>61</v>
      </c>
      <c r="C532" s="37" t="s">
        <v>83</v>
      </c>
      <c r="D532" s="34" t="s">
        <v>185</v>
      </c>
      <c r="E532" s="34" t="e">
        <f>IF(B532="","",VLOOKUP($B532,#REF!,4,FALSE))</f>
        <v>#REF!</v>
      </c>
      <c r="F532" s="34" t="e">
        <f>IF(E532="","",VLOOKUP($B532,#REF!,5,FALSE))</f>
        <v>#REF!</v>
      </c>
      <c r="G532" s="34" t="e">
        <f>IF(F532="","",VLOOKUP($B532,#REF!,6,FALSE))</f>
        <v>#REF!</v>
      </c>
      <c r="H532" s="34" t="e">
        <f>IF(G532="","",VLOOKUP($B532,#REF!,7,FALSE))</f>
        <v>#REF!</v>
      </c>
      <c r="I532" s="25"/>
      <c r="J532" s="25"/>
      <c r="K532" s="25"/>
      <c r="L532" s="25"/>
      <c r="M532" s="25"/>
      <c r="N532" s="25"/>
      <c r="O532" s="33">
        <f t="shared" si="17"/>
        <v>0</v>
      </c>
      <c r="P532" s="25"/>
      <c r="Q532" s="25">
        <v>0</v>
      </c>
      <c r="R532" s="25"/>
      <c r="S532" s="25"/>
      <c r="T532" s="25">
        <v>23</v>
      </c>
      <c r="U532" s="25"/>
      <c r="V532" s="39"/>
      <c r="W532" s="25"/>
      <c r="X532" s="33">
        <f t="shared" si="16"/>
        <v>23</v>
      </c>
      <c r="Y532" s="39">
        <v>67500</v>
      </c>
      <c r="Z532" s="25">
        <v>1552500</v>
      </c>
      <c r="AA532" s="45"/>
      <c r="AB532" s="45"/>
      <c r="AC532" s="45"/>
      <c r="AD532" s="45"/>
      <c r="AE532" s="45"/>
    </row>
    <row r="533" spans="1:31" s="12" customFormat="1" ht="12">
      <c r="A533" s="27">
        <v>45611</v>
      </c>
      <c r="B533" s="53" t="s">
        <v>26</v>
      </c>
      <c r="C533" s="37" t="s">
        <v>83</v>
      </c>
      <c r="D533" s="34" t="s">
        <v>185</v>
      </c>
      <c r="E533" s="34" t="e">
        <f>IF(B533="","",VLOOKUP($B533,#REF!,4,FALSE))</f>
        <v>#REF!</v>
      </c>
      <c r="F533" s="34" t="e">
        <f>IF(E533="","",VLOOKUP($B533,#REF!,5,FALSE))</f>
        <v>#REF!</v>
      </c>
      <c r="G533" s="34" t="e">
        <f>IF(F533="","",VLOOKUP($B533,#REF!,6,FALSE))</f>
        <v>#REF!</v>
      </c>
      <c r="H533" s="34" t="e">
        <f>IF(G533="","",VLOOKUP($B533,#REF!,7,FALSE))</f>
        <v>#REF!</v>
      </c>
      <c r="I533" s="25"/>
      <c r="J533" s="25"/>
      <c r="K533" s="25"/>
      <c r="L533" s="25"/>
      <c r="M533" s="25"/>
      <c r="N533" s="25"/>
      <c r="O533" s="33">
        <f t="shared" si="17"/>
        <v>0</v>
      </c>
      <c r="P533" s="25"/>
      <c r="Q533" s="25">
        <v>0</v>
      </c>
      <c r="R533" s="25"/>
      <c r="S533" s="25"/>
      <c r="T533" s="25">
        <v>16</v>
      </c>
      <c r="U533" s="25"/>
      <c r="V533" s="39"/>
      <c r="W533" s="25"/>
      <c r="X533" s="33">
        <f t="shared" si="16"/>
        <v>16</v>
      </c>
      <c r="Y533" s="39">
        <v>23200</v>
      </c>
      <c r="Z533" s="25">
        <v>371200</v>
      </c>
      <c r="AA533" s="45"/>
      <c r="AB533" s="45"/>
      <c r="AC533" s="45"/>
      <c r="AD533" s="45"/>
      <c r="AE533" s="45"/>
    </row>
    <row r="534" spans="1:31" s="12" customFormat="1" ht="12">
      <c r="A534" s="27">
        <v>45611</v>
      </c>
      <c r="B534" s="53" t="s">
        <v>10</v>
      </c>
      <c r="C534" s="37" t="s">
        <v>83</v>
      </c>
      <c r="D534" s="34" t="s">
        <v>185</v>
      </c>
      <c r="E534" s="34" t="e">
        <f>IF(B534="","",VLOOKUP($B534,#REF!,4,FALSE))</f>
        <v>#REF!</v>
      </c>
      <c r="F534" s="34" t="e">
        <f>IF(E534="","",VLOOKUP($B534,#REF!,5,FALSE))</f>
        <v>#REF!</v>
      </c>
      <c r="G534" s="34" t="e">
        <f>IF(F534="","",VLOOKUP($B534,#REF!,6,FALSE))</f>
        <v>#REF!</v>
      </c>
      <c r="H534" s="34" t="e">
        <f>IF(G534="","",VLOOKUP($B534,#REF!,7,FALSE))</f>
        <v>#REF!</v>
      </c>
      <c r="I534" s="25"/>
      <c r="J534" s="25"/>
      <c r="K534" s="25"/>
      <c r="L534" s="25"/>
      <c r="M534" s="25"/>
      <c r="N534" s="25"/>
      <c r="O534" s="33">
        <f t="shared" si="17"/>
        <v>0</v>
      </c>
      <c r="P534" s="25"/>
      <c r="Q534" s="25">
        <v>0</v>
      </c>
      <c r="R534" s="25"/>
      <c r="S534" s="25"/>
      <c r="T534" s="25">
        <v>2</v>
      </c>
      <c r="U534" s="25"/>
      <c r="V534" s="39"/>
      <c r="W534" s="25"/>
      <c r="X534" s="33">
        <f t="shared" si="16"/>
        <v>2</v>
      </c>
      <c r="Y534" s="39"/>
      <c r="Z534" s="25">
        <v>0</v>
      </c>
      <c r="AA534" s="45"/>
      <c r="AB534" s="45"/>
      <c r="AC534" s="45"/>
      <c r="AD534" s="45"/>
      <c r="AE534" s="45"/>
    </row>
    <row r="535" spans="1:31" s="12" customFormat="1" ht="12">
      <c r="A535" s="27">
        <v>45611</v>
      </c>
      <c r="B535" s="53" t="s">
        <v>161</v>
      </c>
      <c r="C535" s="37" t="s">
        <v>83</v>
      </c>
      <c r="D535" s="34" t="s">
        <v>185</v>
      </c>
      <c r="E535" s="34" t="e">
        <f>IF(B535="","",VLOOKUP($B535,#REF!,4,FALSE))</f>
        <v>#REF!</v>
      </c>
      <c r="F535" s="34" t="e">
        <f>IF(E535="","",VLOOKUP($B535,#REF!,5,FALSE))</f>
        <v>#REF!</v>
      </c>
      <c r="G535" s="34" t="e">
        <f>IF(F535="","",VLOOKUP($B535,#REF!,6,FALSE))</f>
        <v>#REF!</v>
      </c>
      <c r="H535" s="34" t="e">
        <f>IF(G535="","",VLOOKUP($B535,#REF!,7,FALSE))</f>
        <v>#REF!</v>
      </c>
      <c r="I535" s="25"/>
      <c r="J535" s="25"/>
      <c r="K535" s="25">
        <v>2</v>
      </c>
      <c r="L535" s="25"/>
      <c r="M535" s="25"/>
      <c r="N535" s="25"/>
      <c r="O535" s="33">
        <f t="shared" si="17"/>
        <v>2</v>
      </c>
      <c r="P535" s="25"/>
      <c r="Q535" s="25">
        <v>0</v>
      </c>
      <c r="R535" s="25"/>
      <c r="S535" s="25"/>
      <c r="T535" s="25">
        <v>2</v>
      </c>
      <c r="U535" s="25"/>
      <c r="V535" s="39"/>
      <c r="W535" s="25"/>
      <c r="X535" s="33">
        <f t="shared" si="16"/>
        <v>2</v>
      </c>
      <c r="Y535" s="39">
        <v>44280</v>
      </c>
      <c r="Z535" s="25">
        <v>88560</v>
      </c>
      <c r="AA535" s="45"/>
      <c r="AB535" s="45"/>
      <c r="AC535" s="45"/>
      <c r="AD535" s="45"/>
      <c r="AE535" s="45"/>
    </row>
    <row r="536" spans="1:31" s="12" customFormat="1" ht="12">
      <c r="A536" s="27">
        <v>45611</v>
      </c>
      <c r="B536" s="53" t="s">
        <v>229</v>
      </c>
      <c r="C536" s="37">
        <v>0</v>
      </c>
      <c r="D536" s="34" t="s">
        <v>187</v>
      </c>
      <c r="E536" s="34" t="e">
        <f>IF(B536="","",VLOOKUP($B536,#REF!,4,FALSE))</f>
        <v>#REF!</v>
      </c>
      <c r="F536" s="34" t="e">
        <f>IF(E536="","",VLOOKUP($B536,#REF!,5,FALSE))</f>
        <v>#REF!</v>
      </c>
      <c r="G536" s="34" t="e">
        <f>IF(F536="","",VLOOKUP($B536,#REF!,6,FALSE))</f>
        <v>#REF!</v>
      </c>
      <c r="H536" s="34" t="e">
        <f>IF(G536="","",VLOOKUP($B536,#REF!,7,FALSE))</f>
        <v>#REF!</v>
      </c>
      <c r="I536" s="25"/>
      <c r="J536" s="25"/>
      <c r="K536" s="25"/>
      <c r="L536" s="25"/>
      <c r="M536" s="25"/>
      <c r="N536" s="25"/>
      <c r="O536" s="33">
        <f t="shared" si="17"/>
        <v>0</v>
      </c>
      <c r="P536" s="25"/>
      <c r="Q536" s="25">
        <v>0</v>
      </c>
      <c r="R536" s="25"/>
      <c r="S536" s="25"/>
      <c r="T536" s="25">
        <v>5</v>
      </c>
      <c r="U536" s="25"/>
      <c r="V536" s="39"/>
      <c r="W536" s="25"/>
      <c r="X536" s="33">
        <f t="shared" si="16"/>
        <v>5</v>
      </c>
      <c r="Y536" s="39"/>
      <c r="Z536" s="25">
        <v>0</v>
      </c>
      <c r="AA536" s="45" t="s">
        <v>272</v>
      </c>
      <c r="AB536" s="45"/>
      <c r="AC536" s="45"/>
      <c r="AD536" s="45"/>
      <c r="AE536" s="45"/>
    </row>
    <row r="537" spans="1:31" s="12" customFormat="1" ht="12">
      <c r="A537" s="27">
        <v>45611</v>
      </c>
      <c r="B537" s="53" t="s">
        <v>77</v>
      </c>
      <c r="C537" s="37" t="s">
        <v>87</v>
      </c>
      <c r="D537" s="34" t="s">
        <v>111</v>
      </c>
      <c r="E537" s="34" t="e">
        <f>IF(B537="","",VLOOKUP($B537,#REF!,4,FALSE))</f>
        <v>#REF!</v>
      </c>
      <c r="F537" s="34" t="e">
        <f>IF(E537="","",VLOOKUP($B537,#REF!,5,FALSE))</f>
        <v>#REF!</v>
      </c>
      <c r="G537" s="34" t="e">
        <f>IF(F537="","",VLOOKUP($B537,#REF!,6,FALSE))</f>
        <v>#REF!</v>
      </c>
      <c r="H537" s="34" t="e">
        <f>IF(G537="","",VLOOKUP($B537,#REF!,7,FALSE))</f>
        <v>#REF!</v>
      </c>
      <c r="I537" s="25"/>
      <c r="J537" s="25"/>
      <c r="K537" s="25"/>
      <c r="L537" s="25"/>
      <c r="M537" s="25"/>
      <c r="N537" s="25"/>
      <c r="O537" s="33">
        <f t="shared" si="17"/>
        <v>0</v>
      </c>
      <c r="P537" s="25"/>
      <c r="Q537" s="25">
        <v>0</v>
      </c>
      <c r="R537" s="25"/>
      <c r="S537" s="25"/>
      <c r="T537" s="25">
        <v>30</v>
      </c>
      <c r="U537" s="25"/>
      <c r="V537" s="39"/>
      <c r="W537" s="25"/>
      <c r="X537" s="33">
        <f t="shared" si="16"/>
        <v>30</v>
      </c>
      <c r="Y537" s="39"/>
      <c r="Z537" s="25">
        <v>0</v>
      </c>
      <c r="AA537" s="45"/>
      <c r="AB537" s="45"/>
      <c r="AC537" s="45"/>
      <c r="AD537" s="45"/>
      <c r="AE537" s="45"/>
    </row>
    <row r="538" spans="1:31" s="12" customFormat="1" ht="12">
      <c r="A538" s="27">
        <v>45611</v>
      </c>
      <c r="B538" s="53" t="s">
        <v>71</v>
      </c>
      <c r="C538" s="37" t="s">
        <v>86</v>
      </c>
      <c r="D538" s="34" t="s">
        <v>51</v>
      </c>
      <c r="E538" s="34" t="e">
        <f>IF(B538="","",VLOOKUP($B538,#REF!,4,FALSE))</f>
        <v>#REF!</v>
      </c>
      <c r="F538" s="34" t="e">
        <f>IF(E538="","",VLOOKUP($B538,#REF!,5,FALSE))</f>
        <v>#REF!</v>
      </c>
      <c r="G538" s="34" t="e">
        <f>IF(F538="","",VLOOKUP($B538,#REF!,6,FALSE))</f>
        <v>#REF!</v>
      </c>
      <c r="H538" s="34" t="e">
        <f>IF(G538="","",VLOOKUP($B538,#REF!,7,FALSE))</f>
        <v>#REF!</v>
      </c>
      <c r="I538" s="25"/>
      <c r="J538" s="25"/>
      <c r="K538" s="25">
        <v>30</v>
      </c>
      <c r="L538" s="25"/>
      <c r="M538" s="25"/>
      <c r="N538" s="25"/>
      <c r="O538" s="33">
        <f t="shared" si="17"/>
        <v>30</v>
      </c>
      <c r="P538" s="25"/>
      <c r="Q538" s="25">
        <v>0</v>
      </c>
      <c r="R538" s="25"/>
      <c r="S538" s="25"/>
      <c r="T538" s="25">
        <v>30</v>
      </c>
      <c r="U538" s="25"/>
      <c r="V538" s="39"/>
      <c r="W538" s="25"/>
      <c r="X538" s="33">
        <f t="shared" si="16"/>
        <v>30</v>
      </c>
      <c r="Y538" s="39">
        <v>16500</v>
      </c>
      <c r="Z538" s="25">
        <v>495000</v>
      </c>
      <c r="AA538" s="45"/>
      <c r="AB538" s="45"/>
      <c r="AC538" s="45"/>
      <c r="AD538" s="45"/>
      <c r="AE538" s="45"/>
    </row>
    <row r="539" spans="1:31" s="12" customFormat="1" ht="12">
      <c r="A539" s="27">
        <v>45611</v>
      </c>
      <c r="B539" s="53" t="s">
        <v>78</v>
      </c>
      <c r="C539" s="37" t="s">
        <v>87</v>
      </c>
      <c r="D539" s="34" t="s">
        <v>111</v>
      </c>
      <c r="E539" s="34" t="e">
        <f>IF(B539="","",VLOOKUP($B539,#REF!,4,FALSE))</f>
        <v>#REF!</v>
      </c>
      <c r="F539" s="34" t="e">
        <f>IF(E539="","",VLOOKUP($B539,#REF!,5,FALSE))</f>
        <v>#REF!</v>
      </c>
      <c r="G539" s="34" t="e">
        <f>IF(F539="","",VLOOKUP($B539,#REF!,6,FALSE))</f>
        <v>#REF!</v>
      </c>
      <c r="H539" s="34" t="e">
        <f>IF(G539="","",VLOOKUP($B539,#REF!,7,FALSE))</f>
        <v>#REF!</v>
      </c>
      <c r="I539" s="25"/>
      <c r="J539" s="25"/>
      <c r="K539" s="25"/>
      <c r="L539" s="25"/>
      <c r="M539" s="25"/>
      <c r="N539" s="25"/>
      <c r="O539" s="33">
        <f t="shared" si="17"/>
        <v>0</v>
      </c>
      <c r="P539" s="25"/>
      <c r="Q539" s="25">
        <v>0</v>
      </c>
      <c r="R539" s="25"/>
      <c r="S539" s="25"/>
      <c r="T539" s="25">
        <v>30</v>
      </c>
      <c r="U539" s="25"/>
      <c r="V539" s="39"/>
      <c r="W539" s="25"/>
      <c r="X539" s="33">
        <f t="shared" si="16"/>
        <v>30</v>
      </c>
      <c r="Y539" s="39"/>
      <c r="Z539" s="25">
        <v>0</v>
      </c>
      <c r="AA539" s="45"/>
      <c r="AB539" s="45"/>
      <c r="AC539" s="45"/>
      <c r="AD539" s="45"/>
      <c r="AE539" s="45"/>
    </row>
    <row r="540" spans="1:31" s="12" customFormat="1" ht="12">
      <c r="A540" s="27">
        <v>45611</v>
      </c>
      <c r="B540" s="54" t="s">
        <v>72</v>
      </c>
      <c r="C540" s="37" t="s">
        <v>86</v>
      </c>
      <c r="D540" s="34" t="s">
        <v>51</v>
      </c>
      <c r="E540" s="34" t="e">
        <f>IF(B540="","",VLOOKUP($B540,#REF!,4,FALSE))</f>
        <v>#REF!</v>
      </c>
      <c r="F540" s="34" t="e">
        <f>IF(E540="","",VLOOKUP($B540,#REF!,5,FALSE))</f>
        <v>#REF!</v>
      </c>
      <c r="G540" s="34" t="e">
        <f>IF(F540="","",VLOOKUP($B540,#REF!,6,FALSE))</f>
        <v>#REF!</v>
      </c>
      <c r="H540" s="34" t="e">
        <f>IF(G540="","",VLOOKUP($B540,#REF!,7,FALSE))</f>
        <v>#REF!</v>
      </c>
      <c r="I540" s="25"/>
      <c r="J540" s="25"/>
      <c r="K540" s="25">
        <v>30</v>
      </c>
      <c r="L540" s="25"/>
      <c r="M540" s="25"/>
      <c r="N540" s="25"/>
      <c r="O540" s="33">
        <f t="shared" si="17"/>
        <v>30</v>
      </c>
      <c r="P540" s="25"/>
      <c r="Q540" s="25">
        <v>0</v>
      </c>
      <c r="R540" s="25"/>
      <c r="S540" s="25"/>
      <c r="T540" s="25">
        <v>30</v>
      </c>
      <c r="U540" s="25"/>
      <c r="V540" s="39"/>
      <c r="W540" s="25"/>
      <c r="X540" s="33">
        <f t="shared" si="16"/>
        <v>30</v>
      </c>
      <c r="Y540" s="39">
        <v>16000</v>
      </c>
      <c r="Z540" s="25">
        <f>X540*Y540</f>
        <v>480000</v>
      </c>
      <c r="AA540" s="45"/>
      <c r="AB540" s="45"/>
      <c r="AC540" s="45"/>
      <c r="AD540" s="45"/>
      <c r="AE540" s="45"/>
    </row>
    <row r="541" spans="1:31" s="12" customFormat="1" ht="12">
      <c r="A541" s="27">
        <v>45611</v>
      </c>
      <c r="B541" s="53" t="s">
        <v>78</v>
      </c>
      <c r="C541" s="37">
        <v>0</v>
      </c>
      <c r="D541" s="34" t="s">
        <v>187</v>
      </c>
      <c r="E541" s="34" t="e">
        <f>IF(B541="","",VLOOKUP($B541,#REF!,4,FALSE))</f>
        <v>#REF!</v>
      </c>
      <c r="F541" s="34" t="e">
        <f>IF(E541="","",VLOOKUP($B541,#REF!,5,FALSE))</f>
        <v>#REF!</v>
      </c>
      <c r="G541" s="34" t="e">
        <f>IF(F541="","",VLOOKUP($B541,#REF!,6,FALSE))</f>
        <v>#REF!</v>
      </c>
      <c r="H541" s="34" t="e">
        <f>IF(G541="","",VLOOKUP($B541,#REF!,7,FALSE))</f>
        <v>#REF!</v>
      </c>
      <c r="I541" s="25"/>
      <c r="J541" s="25"/>
      <c r="K541" s="25"/>
      <c r="L541" s="25"/>
      <c r="M541" s="25"/>
      <c r="N541" s="25"/>
      <c r="O541" s="33">
        <f t="shared" si="17"/>
        <v>0</v>
      </c>
      <c r="P541" s="25"/>
      <c r="Q541" s="25">
        <v>0</v>
      </c>
      <c r="R541" s="25"/>
      <c r="S541" s="25"/>
      <c r="T541" s="25">
        <v>1</v>
      </c>
      <c r="U541" s="25"/>
      <c r="V541" s="39"/>
      <c r="W541" s="25"/>
      <c r="X541" s="33">
        <f t="shared" si="16"/>
        <v>1</v>
      </c>
      <c r="Y541" s="39"/>
      <c r="Z541" s="25">
        <v>0</v>
      </c>
      <c r="AA541" s="45" t="s">
        <v>215</v>
      </c>
      <c r="AB541" s="45"/>
      <c r="AC541" s="45"/>
      <c r="AD541" s="45"/>
      <c r="AE541" s="45"/>
    </row>
    <row r="542" spans="1:31" s="12" customFormat="1" ht="12">
      <c r="A542" s="27">
        <v>45611</v>
      </c>
      <c r="B542" s="53" t="s">
        <v>11</v>
      </c>
      <c r="C542" s="37" t="s">
        <v>136</v>
      </c>
      <c r="D542" s="34" t="s">
        <v>177</v>
      </c>
      <c r="E542" s="34" t="e">
        <f>IF(B542="","",VLOOKUP($B542,#REF!,4,FALSE))</f>
        <v>#REF!</v>
      </c>
      <c r="F542" s="34" t="e">
        <f>IF(E542="","",VLOOKUP($B542,#REF!,5,FALSE))</f>
        <v>#REF!</v>
      </c>
      <c r="G542" s="34" t="e">
        <f>IF(F542="","",VLOOKUP($B542,#REF!,6,FALSE))</f>
        <v>#REF!</v>
      </c>
      <c r="H542" s="34" t="e">
        <f>IF(G542="","",VLOOKUP($B542,#REF!,7,FALSE))</f>
        <v>#REF!</v>
      </c>
      <c r="I542" s="25"/>
      <c r="J542" s="25"/>
      <c r="K542" s="25"/>
      <c r="L542" s="25"/>
      <c r="M542" s="25"/>
      <c r="N542" s="25"/>
      <c r="O542" s="33">
        <f t="shared" si="17"/>
        <v>0</v>
      </c>
      <c r="P542" s="25"/>
      <c r="Q542" s="25">
        <v>0</v>
      </c>
      <c r="R542" s="25"/>
      <c r="S542" s="25"/>
      <c r="T542" s="25">
        <v>1</v>
      </c>
      <c r="U542" s="25"/>
      <c r="V542" s="39"/>
      <c r="W542" s="25"/>
      <c r="X542" s="33">
        <f t="shared" si="16"/>
        <v>1</v>
      </c>
      <c r="Y542" s="39">
        <v>44000</v>
      </c>
      <c r="Z542" s="25">
        <v>44000</v>
      </c>
      <c r="AA542" s="45" t="s">
        <v>136</v>
      </c>
      <c r="AB542" s="45" t="s">
        <v>177</v>
      </c>
      <c r="AC542" s="45"/>
      <c r="AD542" s="45"/>
      <c r="AE542" s="45"/>
    </row>
    <row r="543" spans="1:31" s="12" customFormat="1" ht="12">
      <c r="A543" s="27">
        <v>45611</v>
      </c>
      <c r="B543" s="53" t="s">
        <v>11</v>
      </c>
      <c r="C543" s="37" t="s">
        <v>136</v>
      </c>
      <c r="D543" s="34" t="s">
        <v>178</v>
      </c>
      <c r="E543" s="34" t="e">
        <f>IF(B543="","",VLOOKUP($B543,#REF!,4,FALSE))</f>
        <v>#REF!</v>
      </c>
      <c r="F543" s="34" t="e">
        <f>IF(E543="","",VLOOKUP($B543,#REF!,5,FALSE))</f>
        <v>#REF!</v>
      </c>
      <c r="G543" s="34" t="e">
        <f>IF(F543="","",VLOOKUP($B543,#REF!,6,FALSE))</f>
        <v>#REF!</v>
      </c>
      <c r="H543" s="34" t="e">
        <f>IF(G543="","",VLOOKUP($B543,#REF!,7,FALSE))</f>
        <v>#REF!</v>
      </c>
      <c r="I543" s="25"/>
      <c r="J543" s="25"/>
      <c r="K543" s="25"/>
      <c r="L543" s="25"/>
      <c r="M543" s="25"/>
      <c r="N543" s="25"/>
      <c r="O543" s="33">
        <f t="shared" si="17"/>
        <v>0</v>
      </c>
      <c r="P543" s="25"/>
      <c r="Q543" s="25">
        <v>0</v>
      </c>
      <c r="R543" s="25"/>
      <c r="S543" s="25"/>
      <c r="T543" s="25">
        <v>2</v>
      </c>
      <c r="U543" s="25"/>
      <c r="V543" s="39"/>
      <c r="W543" s="25"/>
      <c r="X543" s="33">
        <f t="shared" si="16"/>
        <v>2</v>
      </c>
      <c r="Y543" s="39">
        <v>44000</v>
      </c>
      <c r="Z543" s="25">
        <v>88000</v>
      </c>
      <c r="AA543" s="45" t="s">
        <v>136</v>
      </c>
      <c r="AB543" s="45" t="s">
        <v>178</v>
      </c>
      <c r="AC543" s="45"/>
      <c r="AD543" s="45"/>
      <c r="AE543" s="45"/>
    </row>
    <row r="544" spans="1:31" s="12" customFormat="1" ht="12">
      <c r="A544" s="27">
        <v>45611</v>
      </c>
      <c r="B544" s="47" t="s">
        <v>35</v>
      </c>
      <c r="C544" s="37">
        <v>0</v>
      </c>
      <c r="D544" s="34" t="s">
        <v>180</v>
      </c>
      <c r="E544" s="34" t="e">
        <f>IF(B544="","",VLOOKUP($B544,#REF!,4,FALSE))</f>
        <v>#REF!</v>
      </c>
      <c r="F544" s="34" t="e">
        <f>IF(E544="","",VLOOKUP($B544,#REF!,5,FALSE))</f>
        <v>#REF!</v>
      </c>
      <c r="G544" s="34" t="e">
        <f>IF(F544="","",VLOOKUP($B544,#REF!,6,FALSE))</f>
        <v>#REF!</v>
      </c>
      <c r="H544" s="34" t="e">
        <f>IF(G544="","",VLOOKUP($B544,#REF!,7,FALSE))</f>
        <v>#REF!</v>
      </c>
      <c r="I544" s="25">
        <v>507</v>
      </c>
      <c r="J544" s="25"/>
      <c r="K544" s="25"/>
      <c r="L544" s="25"/>
      <c r="M544" s="25"/>
      <c r="N544" s="25"/>
      <c r="O544" s="33">
        <f t="shared" si="17"/>
        <v>507</v>
      </c>
      <c r="P544" s="25"/>
      <c r="Q544" s="25">
        <v>0</v>
      </c>
      <c r="R544" s="25"/>
      <c r="S544" s="25"/>
      <c r="T544" s="25"/>
      <c r="U544" s="25"/>
      <c r="V544" s="39"/>
      <c r="W544" s="25"/>
      <c r="X544" s="33">
        <f t="shared" si="16"/>
        <v>0</v>
      </c>
      <c r="Y544" s="39"/>
      <c r="Z544" s="25">
        <v>0</v>
      </c>
      <c r="AA544" s="45"/>
      <c r="AB544" s="45"/>
      <c r="AC544" s="45"/>
      <c r="AD544" s="45"/>
      <c r="AE544" s="45"/>
    </row>
    <row r="545" spans="1:31" s="12" customFormat="1" ht="12">
      <c r="A545" s="27">
        <v>45611</v>
      </c>
      <c r="B545" s="53" t="s">
        <v>211</v>
      </c>
      <c r="C545" s="37">
        <v>0</v>
      </c>
      <c r="D545" s="34" t="s">
        <v>187</v>
      </c>
      <c r="E545" s="34" t="e">
        <f>IF(B545="","",VLOOKUP($B545,#REF!,4,FALSE))</f>
        <v>#REF!</v>
      </c>
      <c r="F545" s="34" t="e">
        <f>IF(E545="","",VLOOKUP($B545,#REF!,5,FALSE))</f>
        <v>#REF!</v>
      </c>
      <c r="G545" s="34" t="e">
        <f>IF(F545="","",VLOOKUP($B545,#REF!,6,FALSE))</f>
        <v>#REF!</v>
      </c>
      <c r="H545" s="34" t="e">
        <f>IF(G545="","",VLOOKUP($B545,#REF!,7,FALSE))</f>
        <v>#REF!</v>
      </c>
      <c r="I545" s="25"/>
      <c r="J545" s="25"/>
      <c r="K545" s="25"/>
      <c r="L545" s="25">
        <v>856</v>
      </c>
      <c r="M545" s="25"/>
      <c r="N545" s="25"/>
      <c r="O545" s="33">
        <f t="shared" si="17"/>
        <v>856</v>
      </c>
      <c r="P545" s="25"/>
      <c r="Q545" s="25">
        <v>0</v>
      </c>
      <c r="R545" s="25"/>
      <c r="S545" s="25"/>
      <c r="T545" s="25"/>
      <c r="U545" s="25"/>
      <c r="V545" s="39"/>
      <c r="W545" s="25"/>
      <c r="X545" s="33">
        <f t="shared" si="16"/>
        <v>0</v>
      </c>
      <c r="Y545" s="39"/>
      <c r="Z545" s="25">
        <v>0</v>
      </c>
      <c r="AA545" s="45"/>
      <c r="AB545" s="45"/>
      <c r="AC545" s="45"/>
      <c r="AD545" s="45"/>
      <c r="AE545" s="45"/>
    </row>
    <row r="546" spans="1:31" s="12" customFormat="1" ht="12">
      <c r="A546" s="27">
        <v>45611</v>
      </c>
      <c r="B546" s="53" t="s">
        <v>57</v>
      </c>
      <c r="C546" s="37">
        <v>0</v>
      </c>
      <c r="D546" s="34" t="s">
        <v>187</v>
      </c>
      <c r="E546" s="34" t="e">
        <f>IF(B546="","",VLOOKUP($B546,#REF!,4,FALSE))</f>
        <v>#REF!</v>
      </c>
      <c r="F546" s="34" t="e">
        <f>IF(E546="","",VLOOKUP($B546,#REF!,5,FALSE))</f>
        <v>#REF!</v>
      </c>
      <c r="G546" s="34" t="e">
        <f>IF(F546="","",VLOOKUP($B546,#REF!,6,FALSE))</f>
        <v>#REF!</v>
      </c>
      <c r="H546" s="34" t="e">
        <f>IF(G546="","",VLOOKUP($B546,#REF!,7,FALSE))</f>
        <v>#REF!</v>
      </c>
      <c r="I546" s="25"/>
      <c r="J546" s="25"/>
      <c r="K546" s="25"/>
      <c r="L546" s="25">
        <v>132</v>
      </c>
      <c r="M546" s="25"/>
      <c r="N546" s="25"/>
      <c r="O546" s="33">
        <f t="shared" si="17"/>
        <v>132</v>
      </c>
      <c r="P546" s="25"/>
      <c r="Q546" s="25">
        <v>0</v>
      </c>
      <c r="R546" s="25"/>
      <c r="S546" s="25"/>
      <c r="T546" s="25"/>
      <c r="U546" s="25"/>
      <c r="V546" s="39"/>
      <c r="W546" s="25"/>
      <c r="X546" s="33">
        <f t="shared" si="16"/>
        <v>0</v>
      </c>
      <c r="Y546" s="39"/>
      <c r="Z546" s="25">
        <v>0</v>
      </c>
      <c r="AA546" s="45"/>
      <c r="AB546" s="45"/>
      <c r="AC546" s="45"/>
      <c r="AD546" s="45"/>
      <c r="AE546" s="45"/>
    </row>
    <row r="547" spans="1:31" s="12" customFormat="1" ht="12">
      <c r="A547" s="27">
        <v>45611</v>
      </c>
      <c r="B547" s="53" t="s">
        <v>203</v>
      </c>
      <c r="C547" s="37">
        <v>0</v>
      </c>
      <c r="D547" s="34" t="s">
        <v>187</v>
      </c>
      <c r="E547" s="34" t="e">
        <f>IF(B547="","",VLOOKUP($B547,#REF!,4,FALSE))</f>
        <v>#REF!</v>
      </c>
      <c r="F547" s="34" t="e">
        <f>IF(E547="","",VLOOKUP($B547,#REF!,5,FALSE))</f>
        <v>#REF!</v>
      </c>
      <c r="G547" s="34" t="e">
        <f>IF(F547="","",VLOOKUP($B547,#REF!,6,FALSE))</f>
        <v>#REF!</v>
      </c>
      <c r="H547" s="34" t="e">
        <f>IF(G547="","",VLOOKUP($B547,#REF!,7,FALSE))</f>
        <v>#REF!</v>
      </c>
      <c r="I547" s="25"/>
      <c r="J547" s="25"/>
      <c r="K547" s="25">
        <v>51</v>
      </c>
      <c r="L547" s="25"/>
      <c r="M547" s="25"/>
      <c r="N547" s="25"/>
      <c r="O547" s="33">
        <f t="shared" si="17"/>
        <v>51</v>
      </c>
      <c r="P547" s="25"/>
      <c r="Q547" s="25">
        <v>0</v>
      </c>
      <c r="R547" s="25"/>
      <c r="S547" s="25"/>
      <c r="T547" s="25"/>
      <c r="U547" s="25"/>
      <c r="V547" s="39"/>
      <c r="W547" s="25"/>
      <c r="X547" s="33">
        <f t="shared" si="16"/>
        <v>0</v>
      </c>
      <c r="Y547" s="39"/>
      <c r="Z547" s="25">
        <v>0</v>
      </c>
      <c r="AA547" s="45"/>
      <c r="AB547" s="45"/>
      <c r="AC547" s="45"/>
      <c r="AD547" s="45"/>
      <c r="AE547" s="45"/>
    </row>
    <row r="548" spans="1:31" s="12" customFormat="1" ht="12">
      <c r="A548" s="27">
        <v>45612</v>
      </c>
      <c r="B548" s="47" t="s">
        <v>211</v>
      </c>
      <c r="C548" s="37" t="s">
        <v>82</v>
      </c>
      <c r="D548" s="34" t="s">
        <v>186</v>
      </c>
      <c r="E548" s="34" t="e">
        <f>IF(B548="","",VLOOKUP($B548,#REF!,4,FALSE))</f>
        <v>#REF!</v>
      </c>
      <c r="F548" s="34" t="e">
        <f>IF(E548="","",VLOOKUP($B548,#REF!,5,FALSE))</f>
        <v>#REF!</v>
      </c>
      <c r="G548" s="34" t="e">
        <f>IF(F548="","",VLOOKUP($B548,#REF!,6,FALSE))</f>
        <v>#REF!</v>
      </c>
      <c r="H548" s="34" t="e">
        <f>IF(G548="","",VLOOKUP($B548,#REF!,7,FALSE))</f>
        <v>#REF!</v>
      </c>
      <c r="I548" s="25"/>
      <c r="J548" s="25"/>
      <c r="K548" s="25"/>
      <c r="L548" s="25"/>
      <c r="M548" s="25"/>
      <c r="N548" s="25"/>
      <c r="O548" s="33">
        <f t="shared" si="17"/>
        <v>0</v>
      </c>
      <c r="P548" s="25"/>
      <c r="Q548" s="25">
        <v>0</v>
      </c>
      <c r="R548" s="25"/>
      <c r="S548" s="25"/>
      <c r="T548" s="25"/>
      <c r="U548" s="25"/>
      <c r="V548" s="39">
        <v>168</v>
      </c>
      <c r="W548" s="25"/>
      <c r="X548" s="33">
        <f t="shared" si="16"/>
        <v>168</v>
      </c>
      <c r="Y548" s="39">
        <v>46020</v>
      </c>
      <c r="Z548" s="25">
        <v>7731360</v>
      </c>
      <c r="AA548" s="45"/>
      <c r="AB548" s="45"/>
      <c r="AC548" s="45"/>
      <c r="AD548" s="45"/>
      <c r="AE548" s="45"/>
    </row>
    <row r="549" spans="1:31" s="12" customFormat="1" ht="12">
      <c r="A549" s="27">
        <v>45612</v>
      </c>
      <c r="B549" s="47" t="s">
        <v>211</v>
      </c>
      <c r="C549" s="37" t="s">
        <v>82</v>
      </c>
      <c r="D549" s="34" t="s">
        <v>186</v>
      </c>
      <c r="E549" s="34" t="e">
        <f>IF(B549="","",VLOOKUP($B549,#REF!,4,FALSE))</f>
        <v>#REF!</v>
      </c>
      <c r="F549" s="34" t="e">
        <f>IF(E549="","",VLOOKUP($B549,#REF!,5,FALSE))</f>
        <v>#REF!</v>
      </c>
      <c r="G549" s="34" t="e">
        <f>IF(F549="","",VLOOKUP($B549,#REF!,6,FALSE))</f>
        <v>#REF!</v>
      </c>
      <c r="H549" s="34" t="e">
        <f>IF(G549="","",VLOOKUP($B549,#REF!,7,FALSE))</f>
        <v>#REF!</v>
      </c>
      <c r="I549" s="25"/>
      <c r="J549" s="25"/>
      <c r="K549" s="25"/>
      <c r="L549" s="25"/>
      <c r="M549" s="25"/>
      <c r="N549" s="25"/>
      <c r="O549" s="33">
        <f t="shared" si="17"/>
        <v>0</v>
      </c>
      <c r="P549" s="25"/>
      <c r="Q549" s="25">
        <v>0</v>
      </c>
      <c r="R549" s="25"/>
      <c r="S549" s="25"/>
      <c r="T549" s="25"/>
      <c r="U549" s="25"/>
      <c r="V549" s="39">
        <v>156</v>
      </c>
      <c r="W549" s="25"/>
      <c r="X549" s="33">
        <f t="shared" si="16"/>
        <v>156</v>
      </c>
      <c r="Y549" s="39">
        <v>46020</v>
      </c>
      <c r="Z549" s="25">
        <v>7179120</v>
      </c>
      <c r="AA549" s="45"/>
      <c r="AB549" s="45"/>
      <c r="AC549" s="45"/>
      <c r="AD549" s="45"/>
      <c r="AE549" s="45"/>
    </row>
    <row r="550" spans="1:31" s="12" customFormat="1" ht="12">
      <c r="A550" s="27">
        <v>45612</v>
      </c>
      <c r="B550" s="28" t="s">
        <v>211</v>
      </c>
      <c r="C550" s="37" t="s">
        <v>82</v>
      </c>
      <c r="D550" s="34" t="s">
        <v>186</v>
      </c>
      <c r="E550" s="34" t="e">
        <f>IF(B550="","",VLOOKUP($B550,#REF!,4,FALSE))</f>
        <v>#REF!</v>
      </c>
      <c r="F550" s="34" t="e">
        <f>IF(E550="","",VLOOKUP($B550,#REF!,5,FALSE))</f>
        <v>#REF!</v>
      </c>
      <c r="G550" s="34" t="e">
        <f>IF(F550="","",VLOOKUP($B550,#REF!,6,FALSE))</f>
        <v>#REF!</v>
      </c>
      <c r="H550" s="34" t="e">
        <f>IF(G550="","",VLOOKUP($B550,#REF!,7,FALSE))</f>
        <v>#REF!</v>
      </c>
      <c r="I550" s="25"/>
      <c r="J550" s="25"/>
      <c r="K550" s="25"/>
      <c r="L550" s="25"/>
      <c r="M550" s="25"/>
      <c r="N550" s="25"/>
      <c r="O550" s="33">
        <f t="shared" si="17"/>
        <v>0</v>
      </c>
      <c r="P550" s="25"/>
      <c r="Q550" s="25">
        <v>0</v>
      </c>
      <c r="R550" s="25"/>
      <c r="S550" s="25"/>
      <c r="T550" s="25"/>
      <c r="U550" s="25"/>
      <c r="V550" s="39">
        <v>180</v>
      </c>
      <c r="W550" s="25"/>
      <c r="X550" s="33">
        <f t="shared" si="16"/>
        <v>180</v>
      </c>
      <c r="Y550" s="39">
        <v>46020</v>
      </c>
      <c r="Z550" s="25">
        <v>8283600</v>
      </c>
      <c r="AA550" s="45"/>
      <c r="AB550" s="45"/>
      <c r="AC550" s="45"/>
      <c r="AD550" s="45"/>
      <c r="AE550" s="45"/>
    </row>
    <row r="551" spans="1:31" s="12" customFormat="1" ht="12">
      <c r="A551" s="27">
        <v>45612</v>
      </c>
      <c r="B551" s="53" t="s">
        <v>211</v>
      </c>
      <c r="C551" s="37" t="s">
        <v>82</v>
      </c>
      <c r="D551" s="34" t="s">
        <v>186</v>
      </c>
      <c r="E551" s="34" t="e">
        <f>IF(B551="","",VLOOKUP($B551,#REF!,4,FALSE))</f>
        <v>#REF!</v>
      </c>
      <c r="F551" s="34" t="e">
        <f>IF(E551="","",VLOOKUP($B551,#REF!,5,FALSE))</f>
        <v>#REF!</v>
      </c>
      <c r="G551" s="34" t="e">
        <f>IF(F551="","",VLOOKUP($B551,#REF!,6,FALSE))</f>
        <v>#REF!</v>
      </c>
      <c r="H551" s="34" t="e">
        <f>IF(G551="","",VLOOKUP($B551,#REF!,7,FALSE))</f>
        <v>#REF!</v>
      </c>
      <c r="I551" s="25"/>
      <c r="J551" s="25"/>
      <c r="K551" s="25"/>
      <c r="L551" s="25"/>
      <c r="M551" s="25"/>
      <c r="N551" s="25"/>
      <c r="O551" s="33">
        <f t="shared" si="17"/>
        <v>0</v>
      </c>
      <c r="P551" s="25"/>
      <c r="Q551" s="25">
        <v>0</v>
      </c>
      <c r="R551" s="25"/>
      <c r="S551" s="25"/>
      <c r="T551" s="25"/>
      <c r="U551" s="25"/>
      <c r="V551" s="39">
        <v>156</v>
      </c>
      <c r="W551" s="25"/>
      <c r="X551" s="33">
        <f t="shared" si="16"/>
        <v>156</v>
      </c>
      <c r="Y551" s="39">
        <v>46020</v>
      </c>
      <c r="Z551" s="25">
        <v>7179120</v>
      </c>
      <c r="AA551" s="45"/>
      <c r="AB551" s="45"/>
      <c r="AC551" s="45"/>
      <c r="AD551" s="45"/>
      <c r="AE551" s="45"/>
    </row>
    <row r="552" spans="1:31" s="12" customFormat="1" ht="12">
      <c r="A552" s="27">
        <v>45612</v>
      </c>
      <c r="B552" s="28" t="s">
        <v>211</v>
      </c>
      <c r="C552" s="37" t="s">
        <v>82</v>
      </c>
      <c r="D552" s="34" t="s">
        <v>186</v>
      </c>
      <c r="E552" s="34" t="e">
        <f>IF(B552="","",VLOOKUP($B552,#REF!,4,FALSE))</f>
        <v>#REF!</v>
      </c>
      <c r="F552" s="34" t="e">
        <f>IF(E552="","",VLOOKUP($B552,#REF!,5,FALSE))</f>
        <v>#REF!</v>
      </c>
      <c r="G552" s="34" t="e">
        <f>IF(F552="","",VLOOKUP($B552,#REF!,6,FALSE))</f>
        <v>#REF!</v>
      </c>
      <c r="H552" s="34" t="e">
        <f>IF(G552="","",VLOOKUP($B552,#REF!,7,FALSE))</f>
        <v>#REF!</v>
      </c>
      <c r="I552" s="25"/>
      <c r="J552" s="25"/>
      <c r="K552" s="25"/>
      <c r="L552" s="25"/>
      <c r="M552" s="25"/>
      <c r="N552" s="25"/>
      <c r="O552" s="33">
        <f t="shared" si="17"/>
        <v>0</v>
      </c>
      <c r="P552" s="25"/>
      <c r="Q552" s="25">
        <v>0</v>
      </c>
      <c r="R552" s="25"/>
      <c r="S552" s="25"/>
      <c r="T552" s="25"/>
      <c r="U552" s="25"/>
      <c r="V552" s="39">
        <v>120</v>
      </c>
      <c r="W552" s="25"/>
      <c r="X552" s="33">
        <f t="shared" si="16"/>
        <v>120</v>
      </c>
      <c r="Y552" s="39">
        <v>46020</v>
      </c>
      <c r="Z552" s="25">
        <v>5522400</v>
      </c>
      <c r="AA552" s="45"/>
      <c r="AB552" s="45"/>
      <c r="AC552" s="45"/>
      <c r="AD552" s="45"/>
      <c r="AE552" s="45"/>
    </row>
    <row r="553" spans="1:31" s="12" customFormat="1" ht="12">
      <c r="A553" s="27">
        <v>45612</v>
      </c>
      <c r="B553" s="53" t="s">
        <v>211</v>
      </c>
      <c r="C553" s="37" t="s">
        <v>82</v>
      </c>
      <c r="D553" s="34" t="s">
        <v>186</v>
      </c>
      <c r="E553" s="34" t="e">
        <f>IF(B553="","",VLOOKUP($B553,#REF!,4,FALSE))</f>
        <v>#REF!</v>
      </c>
      <c r="F553" s="34" t="e">
        <f>IF(E553="","",VLOOKUP($B553,#REF!,5,FALSE))</f>
        <v>#REF!</v>
      </c>
      <c r="G553" s="34" t="e">
        <f>IF(F553="","",VLOOKUP($B553,#REF!,6,FALSE))</f>
        <v>#REF!</v>
      </c>
      <c r="H553" s="34" t="e">
        <f>IF(G553="","",VLOOKUP($B553,#REF!,7,FALSE))</f>
        <v>#REF!</v>
      </c>
      <c r="I553" s="25"/>
      <c r="J553" s="25"/>
      <c r="K553" s="25"/>
      <c r="L553" s="25"/>
      <c r="M553" s="25"/>
      <c r="N553" s="25"/>
      <c r="O553" s="33">
        <f t="shared" si="17"/>
        <v>0</v>
      </c>
      <c r="P553" s="25"/>
      <c r="Q553" s="25">
        <v>0</v>
      </c>
      <c r="R553" s="25"/>
      <c r="S553" s="25"/>
      <c r="T553" s="25"/>
      <c r="U553" s="25"/>
      <c r="V553" s="39">
        <v>120</v>
      </c>
      <c r="W553" s="25"/>
      <c r="X553" s="33">
        <f t="shared" si="16"/>
        <v>120</v>
      </c>
      <c r="Y553" s="39">
        <v>46020</v>
      </c>
      <c r="Z553" s="25">
        <v>5522400</v>
      </c>
      <c r="AA553" s="45"/>
      <c r="AB553" s="45"/>
      <c r="AC553" s="45"/>
      <c r="AD553" s="45"/>
      <c r="AE553" s="45"/>
    </row>
    <row r="554" spans="1:31" s="12" customFormat="1" ht="12">
      <c r="A554" s="27">
        <v>45612</v>
      </c>
      <c r="B554" s="74" t="s">
        <v>211</v>
      </c>
      <c r="C554" s="37" t="s">
        <v>82</v>
      </c>
      <c r="D554" s="34" t="s">
        <v>186</v>
      </c>
      <c r="E554" s="34" t="e">
        <f>IF(B554="","",VLOOKUP($B554,#REF!,4,FALSE))</f>
        <v>#REF!</v>
      </c>
      <c r="F554" s="34" t="e">
        <f>IF(E554="","",VLOOKUP($B554,#REF!,5,FALSE))</f>
        <v>#REF!</v>
      </c>
      <c r="G554" s="34" t="e">
        <f>IF(F554="","",VLOOKUP($B554,#REF!,6,FALSE))</f>
        <v>#REF!</v>
      </c>
      <c r="H554" s="34" t="e">
        <f>IF(G554="","",VLOOKUP($B554,#REF!,7,FALSE))</f>
        <v>#REF!</v>
      </c>
      <c r="I554" s="25"/>
      <c r="J554" s="25"/>
      <c r="K554" s="25"/>
      <c r="L554" s="25"/>
      <c r="M554" s="25"/>
      <c r="N554" s="25"/>
      <c r="O554" s="33">
        <f t="shared" si="17"/>
        <v>0</v>
      </c>
      <c r="P554" s="25"/>
      <c r="Q554" s="25">
        <v>0</v>
      </c>
      <c r="R554" s="25"/>
      <c r="S554" s="25"/>
      <c r="T554" s="25"/>
      <c r="U554" s="25"/>
      <c r="V554" s="39">
        <v>120</v>
      </c>
      <c r="W554" s="25"/>
      <c r="X554" s="33">
        <f t="shared" si="16"/>
        <v>120</v>
      </c>
      <c r="Y554" s="39">
        <v>46020</v>
      </c>
      <c r="Z554" s="25">
        <v>5522400</v>
      </c>
      <c r="AA554" s="45"/>
      <c r="AB554" s="45"/>
      <c r="AC554" s="45"/>
      <c r="AD554" s="45"/>
      <c r="AE554" s="45"/>
    </row>
    <row r="555" spans="1:31" s="12" customFormat="1" ht="12">
      <c r="A555" s="27">
        <v>45612</v>
      </c>
      <c r="B555" s="74" t="s">
        <v>211</v>
      </c>
      <c r="C555" s="37" t="s">
        <v>82</v>
      </c>
      <c r="D555" s="34" t="s">
        <v>186</v>
      </c>
      <c r="E555" s="34" t="e">
        <f>IF(B555="","",VLOOKUP($B555,#REF!,4,FALSE))</f>
        <v>#REF!</v>
      </c>
      <c r="F555" s="34" t="e">
        <f>IF(E555="","",VLOOKUP($B555,#REF!,5,FALSE))</f>
        <v>#REF!</v>
      </c>
      <c r="G555" s="34" t="e">
        <f>IF(F555="","",VLOOKUP($B555,#REF!,6,FALSE))</f>
        <v>#REF!</v>
      </c>
      <c r="H555" s="34" t="e">
        <f>IF(G555="","",VLOOKUP($B555,#REF!,7,FALSE))</f>
        <v>#REF!</v>
      </c>
      <c r="I555" s="25"/>
      <c r="J555" s="25"/>
      <c r="K555" s="25"/>
      <c r="L555" s="25"/>
      <c r="M555" s="25"/>
      <c r="N555" s="25"/>
      <c r="O555" s="33">
        <f t="shared" si="17"/>
        <v>0</v>
      </c>
      <c r="P555" s="25"/>
      <c r="Q555" s="25">
        <v>0</v>
      </c>
      <c r="R555" s="25"/>
      <c r="S555" s="25"/>
      <c r="T555" s="25"/>
      <c r="U555" s="25"/>
      <c r="V555" s="39">
        <v>108</v>
      </c>
      <c r="W555" s="25"/>
      <c r="X555" s="33">
        <f t="shared" si="16"/>
        <v>108</v>
      </c>
      <c r="Y555" s="39">
        <v>46020</v>
      </c>
      <c r="Z555" s="25">
        <v>4970160</v>
      </c>
      <c r="AA555" s="45"/>
      <c r="AB555" s="45"/>
      <c r="AC555" s="45"/>
      <c r="AD555" s="45"/>
      <c r="AE555" s="45"/>
    </row>
    <row r="556" spans="1:31" s="12" customFormat="1" ht="12">
      <c r="A556" s="27">
        <v>45612</v>
      </c>
      <c r="B556" s="74" t="s">
        <v>211</v>
      </c>
      <c r="C556" s="37" t="s">
        <v>82</v>
      </c>
      <c r="D556" s="34" t="s">
        <v>186</v>
      </c>
      <c r="E556" s="34" t="e">
        <f>IF(B556="","",VLOOKUP($B556,#REF!,4,FALSE))</f>
        <v>#REF!</v>
      </c>
      <c r="F556" s="34" t="e">
        <f>IF(E556="","",VLOOKUP($B556,#REF!,5,FALSE))</f>
        <v>#REF!</v>
      </c>
      <c r="G556" s="34" t="e">
        <f>IF(F556="","",VLOOKUP($B556,#REF!,6,FALSE))</f>
        <v>#REF!</v>
      </c>
      <c r="H556" s="34" t="e">
        <f>IF(G556="","",VLOOKUP($B556,#REF!,7,FALSE))</f>
        <v>#REF!</v>
      </c>
      <c r="I556" s="25"/>
      <c r="J556" s="25"/>
      <c r="K556" s="25"/>
      <c r="L556" s="25"/>
      <c r="M556" s="25"/>
      <c r="N556" s="25"/>
      <c r="O556" s="33">
        <f t="shared" si="17"/>
        <v>0</v>
      </c>
      <c r="P556" s="25"/>
      <c r="Q556" s="25">
        <v>0</v>
      </c>
      <c r="R556" s="25"/>
      <c r="S556" s="25"/>
      <c r="T556" s="25"/>
      <c r="U556" s="25"/>
      <c r="V556" s="39">
        <v>192</v>
      </c>
      <c r="W556" s="25"/>
      <c r="X556" s="33">
        <f t="shared" si="16"/>
        <v>192</v>
      </c>
      <c r="Y556" s="39">
        <v>46020</v>
      </c>
      <c r="Z556" s="25">
        <v>8835840</v>
      </c>
      <c r="AA556" s="45"/>
      <c r="AB556" s="45"/>
      <c r="AC556" s="45"/>
      <c r="AD556" s="45"/>
      <c r="AE556" s="45"/>
    </row>
    <row r="557" spans="1:31" s="12" customFormat="1" ht="12">
      <c r="A557" s="27">
        <v>45612</v>
      </c>
      <c r="B557" s="74" t="s">
        <v>58</v>
      </c>
      <c r="C557" s="37" t="s">
        <v>82</v>
      </c>
      <c r="D557" s="34" t="s">
        <v>186</v>
      </c>
      <c r="E557" s="34" t="e">
        <f>IF(B557="","",VLOOKUP($B557,#REF!,4,FALSE))</f>
        <v>#REF!</v>
      </c>
      <c r="F557" s="34" t="e">
        <f>IF(E557="","",VLOOKUP($B557,#REF!,5,FALSE))</f>
        <v>#REF!</v>
      </c>
      <c r="G557" s="34" t="e">
        <f>IF(F557="","",VLOOKUP($B557,#REF!,6,FALSE))</f>
        <v>#REF!</v>
      </c>
      <c r="H557" s="34" t="e">
        <f>IF(G557="","",VLOOKUP($B557,#REF!,7,FALSE))</f>
        <v>#REF!</v>
      </c>
      <c r="I557" s="25"/>
      <c r="J557" s="25"/>
      <c r="K557" s="25"/>
      <c r="L557" s="25"/>
      <c r="M557" s="25"/>
      <c r="N557" s="25"/>
      <c r="O557" s="33">
        <f t="shared" si="17"/>
        <v>0</v>
      </c>
      <c r="P557" s="25"/>
      <c r="Q557" s="25">
        <v>0</v>
      </c>
      <c r="R557" s="25"/>
      <c r="S557" s="25"/>
      <c r="T557" s="25"/>
      <c r="U557" s="25"/>
      <c r="V557" s="39">
        <v>24</v>
      </c>
      <c r="W557" s="25"/>
      <c r="X557" s="33">
        <f t="shared" si="16"/>
        <v>24</v>
      </c>
      <c r="Y557" s="39">
        <v>170880</v>
      </c>
      <c r="Z557" s="25">
        <v>4101120</v>
      </c>
      <c r="AA557" s="45"/>
      <c r="AB557" s="45"/>
      <c r="AC557" s="45"/>
      <c r="AD557" s="45"/>
      <c r="AE557" s="45"/>
    </row>
    <row r="558" spans="1:31" s="12" customFormat="1" ht="12">
      <c r="A558" s="27">
        <v>45612</v>
      </c>
      <c r="B558" s="74" t="s">
        <v>160</v>
      </c>
      <c r="C558" s="37" t="s">
        <v>82</v>
      </c>
      <c r="D558" s="34" t="s">
        <v>186</v>
      </c>
      <c r="E558" s="34" t="e">
        <f>IF(B558="","",VLOOKUP($B558,#REF!,4,FALSE))</f>
        <v>#REF!</v>
      </c>
      <c r="F558" s="34" t="e">
        <f>IF(E558="","",VLOOKUP($B558,#REF!,5,FALSE))</f>
        <v>#REF!</v>
      </c>
      <c r="G558" s="34" t="e">
        <f>IF(F558="","",VLOOKUP($B558,#REF!,6,FALSE))</f>
        <v>#REF!</v>
      </c>
      <c r="H558" s="34" t="e">
        <f>IF(G558="","",VLOOKUP($B558,#REF!,7,FALSE))</f>
        <v>#REF!</v>
      </c>
      <c r="I558" s="25"/>
      <c r="J558" s="25"/>
      <c r="K558" s="25"/>
      <c r="L558" s="25"/>
      <c r="M558" s="25"/>
      <c r="N558" s="25"/>
      <c r="O558" s="33">
        <f t="shared" si="17"/>
        <v>0</v>
      </c>
      <c r="P558" s="25"/>
      <c r="Q558" s="25">
        <v>0</v>
      </c>
      <c r="R558" s="25"/>
      <c r="S558" s="25"/>
      <c r="T558" s="25"/>
      <c r="U558" s="25"/>
      <c r="V558" s="39">
        <v>132</v>
      </c>
      <c r="W558" s="25"/>
      <c r="X558" s="33">
        <f t="shared" si="16"/>
        <v>132</v>
      </c>
      <c r="Y558" s="39">
        <v>100300</v>
      </c>
      <c r="Z558" s="25">
        <v>13239600</v>
      </c>
      <c r="AA558" s="45"/>
      <c r="AB558" s="45"/>
      <c r="AC558" s="45"/>
      <c r="AD558" s="45"/>
      <c r="AE558" s="45"/>
    </row>
    <row r="559" spans="1:31" s="12" customFormat="1" ht="12">
      <c r="A559" s="27">
        <v>45612</v>
      </c>
      <c r="B559" s="74" t="s">
        <v>24</v>
      </c>
      <c r="C559" s="37" t="s">
        <v>82</v>
      </c>
      <c r="D559" s="34" t="s">
        <v>186</v>
      </c>
      <c r="E559" s="34" t="e">
        <f>IF(B559="","",VLOOKUP($B559,#REF!,4,FALSE))</f>
        <v>#REF!</v>
      </c>
      <c r="F559" s="34" t="e">
        <f>IF(E559="","",VLOOKUP($B559,#REF!,5,FALSE))</f>
        <v>#REF!</v>
      </c>
      <c r="G559" s="34" t="e">
        <f>IF(F559="","",VLOOKUP($B559,#REF!,6,FALSE))</f>
        <v>#REF!</v>
      </c>
      <c r="H559" s="34" t="e">
        <f>IF(G559="","",VLOOKUP($B559,#REF!,7,FALSE))</f>
        <v>#REF!</v>
      </c>
      <c r="I559" s="25"/>
      <c r="J559" s="25"/>
      <c r="K559" s="25"/>
      <c r="L559" s="25"/>
      <c r="M559" s="25"/>
      <c r="N559" s="25"/>
      <c r="O559" s="33">
        <f t="shared" si="17"/>
        <v>0</v>
      </c>
      <c r="P559" s="25"/>
      <c r="Q559" s="25">
        <v>0</v>
      </c>
      <c r="R559" s="25"/>
      <c r="S559" s="25"/>
      <c r="T559" s="25"/>
      <c r="U559" s="25"/>
      <c r="V559" s="39">
        <v>132</v>
      </c>
      <c r="W559" s="25"/>
      <c r="X559" s="33">
        <f t="shared" si="16"/>
        <v>132</v>
      </c>
      <c r="Y559" s="39">
        <v>124920</v>
      </c>
      <c r="Z559" s="25">
        <v>16489440</v>
      </c>
      <c r="AA559" s="45"/>
      <c r="AB559" s="45"/>
      <c r="AC559" s="45"/>
      <c r="AD559" s="45"/>
      <c r="AE559" s="45"/>
    </row>
    <row r="560" spans="1:31" s="12" customFormat="1" ht="12">
      <c r="A560" s="27">
        <v>45612</v>
      </c>
      <c r="B560" s="74" t="s">
        <v>28</v>
      </c>
      <c r="C560" s="37" t="s">
        <v>82</v>
      </c>
      <c r="D560" s="34" t="s">
        <v>186</v>
      </c>
      <c r="E560" s="34" t="e">
        <f>IF(B560="","",VLOOKUP($B560,#REF!,4,FALSE))</f>
        <v>#REF!</v>
      </c>
      <c r="F560" s="34" t="e">
        <f>IF(E560="","",VLOOKUP($B560,#REF!,5,FALSE))</f>
        <v>#REF!</v>
      </c>
      <c r="G560" s="34" t="e">
        <f>IF(F560="","",VLOOKUP($B560,#REF!,6,FALSE))</f>
        <v>#REF!</v>
      </c>
      <c r="H560" s="34" t="e">
        <f>IF(G560="","",VLOOKUP($B560,#REF!,7,FALSE))</f>
        <v>#REF!</v>
      </c>
      <c r="I560" s="25"/>
      <c r="J560" s="25"/>
      <c r="K560" s="25"/>
      <c r="L560" s="25"/>
      <c r="M560" s="25"/>
      <c r="N560" s="25"/>
      <c r="O560" s="33">
        <f t="shared" si="17"/>
        <v>0</v>
      </c>
      <c r="P560" s="25"/>
      <c r="Q560" s="25">
        <v>0</v>
      </c>
      <c r="R560" s="25"/>
      <c r="S560" s="25"/>
      <c r="T560" s="25"/>
      <c r="U560" s="25"/>
      <c r="V560" s="39">
        <v>36</v>
      </c>
      <c r="W560" s="25"/>
      <c r="X560" s="33">
        <f t="shared" si="16"/>
        <v>36</v>
      </c>
      <c r="Y560" s="39">
        <v>186150</v>
      </c>
      <c r="Z560" s="25">
        <v>6701400</v>
      </c>
      <c r="AA560" s="45"/>
      <c r="AB560" s="45"/>
      <c r="AC560" s="45"/>
      <c r="AD560" s="45"/>
      <c r="AE560" s="45"/>
    </row>
    <row r="561" spans="1:31" s="12" customFormat="1" ht="12">
      <c r="A561" s="27">
        <v>45612</v>
      </c>
      <c r="B561" s="74" t="s">
        <v>24</v>
      </c>
      <c r="C561" s="37" t="s">
        <v>82</v>
      </c>
      <c r="D561" s="34" t="s">
        <v>186</v>
      </c>
      <c r="E561" s="34" t="e">
        <f>IF(B561="","",VLOOKUP($B561,#REF!,4,FALSE))</f>
        <v>#REF!</v>
      </c>
      <c r="F561" s="34" t="e">
        <f>IF(E561="","",VLOOKUP($B561,#REF!,5,FALSE))</f>
        <v>#REF!</v>
      </c>
      <c r="G561" s="34" t="e">
        <f>IF(F561="","",VLOOKUP($B561,#REF!,6,FALSE))</f>
        <v>#REF!</v>
      </c>
      <c r="H561" s="34" t="e">
        <f>IF(G561="","",VLOOKUP($B561,#REF!,7,FALSE))</f>
        <v>#REF!</v>
      </c>
      <c r="I561" s="25"/>
      <c r="J561" s="25"/>
      <c r="K561" s="25"/>
      <c r="L561" s="25"/>
      <c r="M561" s="25"/>
      <c r="N561" s="25"/>
      <c r="O561" s="33">
        <f t="shared" si="17"/>
        <v>0</v>
      </c>
      <c r="P561" s="25"/>
      <c r="Q561" s="25">
        <v>0</v>
      </c>
      <c r="R561" s="25"/>
      <c r="S561" s="25"/>
      <c r="T561" s="25"/>
      <c r="U561" s="25"/>
      <c r="V561" s="39">
        <v>144</v>
      </c>
      <c r="W561" s="25"/>
      <c r="X561" s="33">
        <f t="shared" si="16"/>
        <v>144</v>
      </c>
      <c r="Y561" s="39">
        <v>124920</v>
      </c>
      <c r="Z561" s="25">
        <v>17988480</v>
      </c>
      <c r="AA561" s="45"/>
      <c r="AB561" s="45"/>
      <c r="AC561" s="45"/>
      <c r="AD561" s="45"/>
      <c r="AE561" s="45"/>
    </row>
    <row r="562" spans="1:31" s="12" customFormat="1" ht="12">
      <c r="A562" s="27">
        <v>45612</v>
      </c>
      <c r="B562" s="74" t="s">
        <v>160</v>
      </c>
      <c r="C562" s="37" t="s">
        <v>82</v>
      </c>
      <c r="D562" s="34" t="s">
        <v>186</v>
      </c>
      <c r="E562" s="34" t="e">
        <f>IF(B562="","",VLOOKUP($B562,#REF!,4,FALSE))</f>
        <v>#REF!</v>
      </c>
      <c r="F562" s="34" t="e">
        <f>IF(E562="","",VLOOKUP($B562,#REF!,5,FALSE))</f>
        <v>#REF!</v>
      </c>
      <c r="G562" s="34" t="e">
        <f>IF(F562="","",VLOOKUP($B562,#REF!,6,FALSE))</f>
        <v>#REF!</v>
      </c>
      <c r="H562" s="34" t="e">
        <f>IF(G562="","",VLOOKUP($B562,#REF!,7,FALSE))</f>
        <v>#REF!</v>
      </c>
      <c r="I562" s="25"/>
      <c r="J562" s="25"/>
      <c r="K562" s="25"/>
      <c r="L562" s="25"/>
      <c r="M562" s="25"/>
      <c r="N562" s="25"/>
      <c r="O562" s="33">
        <f t="shared" si="17"/>
        <v>0</v>
      </c>
      <c r="P562" s="25"/>
      <c r="Q562" s="25">
        <v>0</v>
      </c>
      <c r="R562" s="25"/>
      <c r="S562" s="25"/>
      <c r="T562" s="25"/>
      <c r="U562" s="25"/>
      <c r="V562" s="39">
        <v>96</v>
      </c>
      <c r="W562" s="25"/>
      <c r="X562" s="33">
        <f t="shared" si="16"/>
        <v>96</v>
      </c>
      <c r="Y562" s="39">
        <v>100300</v>
      </c>
      <c r="Z562" s="25">
        <v>9628800</v>
      </c>
      <c r="AA562" s="45"/>
      <c r="AB562" s="45"/>
      <c r="AC562" s="45"/>
      <c r="AD562" s="45"/>
      <c r="AE562" s="45"/>
    </row>
    <row r="563" spans="1:31" s="12" customFormat="1" ht="12">
      <c r="A563" s="27">
        <v>45612</v>
      </c>
      <c r="B563" s="74" t="s">
        <v>21</v>
      </c>
      <c r="C563" s="37" t="s">
        <v>82</v>
      </c>
      <c r="D563" s="34" t="s">
        <v>186</v>
      </c>
      <c r="E563" s="34" t="e">
        <f>IF(B563="","",VLOOKUP($B563,#REF!,4,FALSE))</f>
        <v>#REF!</v>
      </c>
      <c r="F563" s="34" t="e">
        <f>IF(E563="","",VLOOKUP($B563,#REF!,5,FALSE))</f>
        <v>#REF!</v>
      </c>
      <c r="G563" s="34" t="e">
        <f>IF(F563="","",VLOOKUP($B563,#REF!,6,FALSE))</f>
        <v>#REF!</v>
      </c>
      <c r="H563" s="34" t="e">
        <f>IF(G563="","",VLOOKUP($B563,#REF!,7,FALSE))</f>
        <v>#REF!</v>
      </c>
      <c r="I563" s="25"/>
      <c r="J563" s="25"/>
      <c r="K563" s="25"/>
      <c r="L563" s="25"/>
      <c r="M563" s="25"/>
      <c r="N563" s="25"/>
      <c r="O563" s="33">
        <f t="shared" si="17"/>
        <v>0</v>
      </c>
      <c r="P563" s="25"/>
      <c r="Q563" s="25">
        <v>0</v>
      </c>
      <c r="R563" s="25"/>
      <c r="S563" s="25"/>
      <c r="T563" s="25"/>
      <c r="U563" s="25"/>
      <c r="V563" s="39">
        <v>144</v>
      </c>
      <c r="W563" s="25"/>
      <c r="X563" s="33">
        <f t="shared" si="16"/>
        <v>144</v>
      </c>
      <c r="Y563" s="39">
        <v>81800</v>
      </c>
      <c r="Z563" s="25">
        <v>11779200</v>
      </c>
      <c r="AA563" s="45"/>
      <c r="AB563" s="45"/>
      <c r="AC563" s="45"/>
      <c r="AD563" s="45"/>
      <c r="AE563" s="45"/>
    </row>
    <row r="564" spans="1:31" s="12" customFormat="1" ht="12">
      <c r="A564" s="27">
        <v>45612</v>
      </c>
      <c r="B564" s="74" t="s">
        <v>57</v>
      </c>
      <c r="C564" s="37" t="s">
        <v>82</v>
      </c>
      <c r="D564" s="34" t="s">
        <v>186</v>
      </c>
      <c r="E564" s="34" t="e">
        <f>IF(B564="","",VLOOKUP($B564,#REF!,4,FALSE))</f>
        <v>#REF!</v>
      </c>
      <c r="F564" s="34" t="e">
        <f>IF(E564="","",VLOOKUP($B564,#REF!,5,FALSE))</f>
        <v>#REF!</v>
      </c>
      <c r="G564" s="34" t="e">
        <f>IF(F564="","",VLOOKUP($B564,#REF!,6,FALSE))</f>
        <v>#REF!</v>
      </c>
      <c r="H564" s="34" t="e">
        <f>IF(G564="","",VLOOKUP($B564,#REF!,7,FALSE))</f>
        <v>#REF!</v>
      </c>
      <c r="I564" s="25"/>
      <c r="J564" s="25"/>
      <c r="K564" s="25"/>
      <c r="L564" s="25"/>
      <c r="M564" s="25"/>
      <c r="N564" s="25"/>
      <c r="O564" s="33">
        <f t="shared" si="17"/>
        <v>0</v>
      </c>
      <c r="P564" s="25"/>
      <c r="Q564" s="25">
        <v>0</v>
      </c>
      <c r="R564" s="25"/>
      <c r="S564" s="25"/>
      <c r="T564" s="25"/>
      <c r="U564" s="25"/>
      <c r="V564" s="39">
        <v>16</v>
      </c>
      <c r="W564" s="25"/>
      <c r="X564" s="33">
        <f t="shared" si="16"/>
        <v>16</v>
      </c>
      <c r="Y564" s="39">
        <v>158396</v>
      </c>
      <c r="Z564" s="25">
        <v>2534336</v>
      </c>
      <c r="AA564" s="45"/>
      <c r="AB564" s="45"/>
      <c r="AC564" s="45"/>
      <c r="AD564" s="45"/>
      <c r="AE564" s="45"/>
    </row>
    <row r="565" spans="1:31" s="12" customFormat="1" ht="12">
      <c r="A565" s="27">
        <v>45614</v>
      </c>
      <c r="B565" s="74" t="s">
        <v>21</v>
      </c>
      <c r="C565" s="37" t="s">
        <v>82</v>
      </c>
      <c r="D565" s="34" t="s">
        <v>186</v>
      </c>
      <c r="E565" s="34" t="e">
        <f>IF(B565="","",VLOOKUP($B565,#REF!,4,FALSE))</f>
        <v>#REF!</v>
      </c>
      <c r="F565" s="34" t="e">
        <f>IF(E565="","",VLOOKUP($B565,#REF!,5,FALSE))</f>
        <v>#REF!</v>
      </c>
      <c r="G565" s="34" t="e">
        <f>IF(F565="","",VLOOKUP($B565,#REF!,6,FALSE))</f>
        <v>#REF!</v>
      </c>
      <c r="H565" s="34" t="e">
        <f>IF(G565="","",VLOOKUP($B565,#REF!,7,FALSE))</f>
        <v>#REF!</v>
      </c>
      <c r="I565" s="25"/>
      <c r="J565" s="25"/>
      <c r="K565" s="25"/>
      <c r="L565" s="25"/>
      <c r="M565" s="25"/>
      <c r="N565" s="25"/>
      <c r="O565" s="33">
        <f t="shared" si="17"/>
        <v>0</v>
      </c>
      <c r="P565" s="25"/>
      <c r="Q565" s="25">
        <v>0</v>
      </c>
      <c r="R565" s="25"/>
      <c r="S565" s="25"/>
      <c r="T565" s="25"/>
      <c r="U565" s="25"/>
      <c r="V565" s="39">
        <v>24</v>
      </c>
      <c r="W565" s="25"/>
      <c r="X565" s="33">
        <f t="shared" si="16"/>
        <v>24</v>
      </c>
      <c r="Y565" s="39">
        <v>81800</v>
      </c>
      <c r="Z565" s="25">
        <v>1963200</v>
      </c>
      <c r="AA565" s="45"/>
      <c r="AB565" s="45"/>
      <c r="AC565" s="45"/>
      <c r="AD565" s="45"/>
      <c r="AE565" s="45"/>
    </row>
    <row r="566" spans="1:31" s="12" customFormat="1" ht="12">
      <c r="A566" s="27">
        <v>45614</v>
      </c>
      <c r="B566" s="53" t="s">
        <v>24</v>
      </c>
      <c r="C566" s="37" t="s">
        <v>82</v>
      </c>
      <c r="D566" s="34" t="s">
        <v>186</v>
      </c>
      <c r="E566" s="34" t="e">
        <f>IF(B566="","",VLOOKUP($B566,#REF!,4,FALSE))</f>
        <v>#REF!</v>
      </c>
      <c r="F566" s="34" t="e">
        <f>IF(E566="","",VLOOKUP($B566,#REF!,5,FALSE))</f>
        <v>#REF!</v>
      </c>
      <c r="G566" s="34" t="e">
        <f>IF(F566="","",VLOOKUP($B566,#REF!,6,FALSE))</f>
        <v>#REF!</v>
      </c>
      <c r="H566" s="34" t="e">
        <f>IF(G566="","",VLOOKUP($B566,#REF!,7,FALSE))</f>
        <v>#REF!</v>
      </c>
      <c r="I566" s="25"/>
      <c r="J566" s="25"/>
      <c r="K566" s="25"/>
      <c r="L566" s="25"/>
      <c r="M566" s="25"/>
      <c r="N566" s="25"/>
      <c r="O566" s="33">
        <f t="shared" si="17"/>
        <v>0</v>
      </c>
      <c r="P566" s="25"/>
      <c r="Q566" s="25">
        <v>0</v>
      </c>
      <c r="R566" s="25"/>
      <c r="S566" s="25"/>
      <c r="T566" s="25"/>
      <c r="U566" s="25"/>
      <c r="V566" s="39">
        <v>192</v>
      </c>
      <c r="W566" s="25"/>
      <c r="X566" s="33">
        <f t="shared" si="16"/>
        <v>192</v>
      </c>
      <c r="Y566" s="39">
        <v>124920</v>
      </c>
      <c r="Z566" s="25">
        <v>23984640</v>
      </c>
      <c r="AA566" s="45"/>
      <c r="AB566" s="45"/>
      <c r="AC566" s="45"/>
      <c r="AD566" s="45"/>
      <c r="AE566" s="45"/>
    </row>
    <row r="567" spans="1:31" s="12" customFormat="1" ht="12">
      <c r="A567" s="27">
        <v>45614</v>
      </c>
      <c r="B567" s="73" t="s">
        <v>160</v>
      </c>
      <c r="C567" s="37" t="s">
        <v>82</v>
      </c>
      <c r="D567" s="34" t="s">
        <v>186</v>
      </c>
      <c r="E567" s="34" t="e">
        <f>IF(B567="","",VLOOKUP($B567,#REF!,4,FALSE))</f>
        <v>#REF!</v>
      </c>
      <c r="F567" s="34" t="e">
        <f>IF(E567="","",VLOOKUP($B567,#REF!,5,FALSE))</f>
        <v>#REF!</v>
      </c>
      <c r="G567" s="34" t="e">
        <f>IF(F567="","",VLOOKUP($B567,#REF!,6,FALSE))</f>
        <v>#REF!</v>
      </c>
      <c r="H567" s="34" t="e">
        <f>IF(G567="","",VLOOKUP($B567,#REF!,7,FALSE))</f>
        <v>#REF!</v>
      </c>
      <c r="I567" s="25"/>
      <c r="J567" s="25"/>
      <c r="K567" s="25"/>
      <c r="L567" s="25"/>
      <c r="M567" s="25"/>
      <c r="N567" s="25"/>
      <c r="O567" s="33">
        <f t="shared" si="17"/>
        <v>0</v>
      </c>
      <c r="P567" s="25"/>
      <c r="Q567" s="25">
        <v>0</v>
      </c>
      <c r="R567" s="25"/>
      <c r="S567" s="25"/>
      <c r="T567" s="25"/>
      <c r="U567" s="25"/>
      <c r="V567" s="39">
        <v>12</v>
      </c>
      <c r="W567" s="25"/>
      <c r="X567" s="33">
        <f t="shared" si="16"/>
        <v>12</v>
      </c>
      <c r="Y567" s="39">
        <v>100300</v>
      </c>
      <c r="Z567" s="25">
        <v>1203600</v>
      </c>
      <c r="AA567" s="45"/>
      <c r="AB567" s="45"/>
      <c r="AC567" s="45"/>
      <c r="AD567" s="45"/>
      <c r="AE567" s="45"/>
    </row>
    <row r="568" spans="1:31" s="12" customFormat="1" ht="12">
      <c r="A568" s="27">
        <v>45614</v>
      </c>
      <c r="B568" s="53" t="s">
        <v>24</v>
      </c>
      <c r="C568" s="37" t="s">
        <v>82</v>
      </c>
      <c r="D568" s="34" t="s">
        <v>186</v>
      </c>
      <c r="E568" s="34" t="e">
        <f>IF(B568="","",VLOOKUP($B568,#REF!,4,FALSE))</f>
        <v>#REF!</v>
      </c>
      <c r="F568" s="34" t="e">
        <f>IF(E568="","",VLOOKUP($B568,#REF!,5,FALSE))</f>
        <v>#REF!</v>
      </c>
      <c r="G568" s="34" t="e">
        <f>IF(F568="","",VLOOKUP($B568,#REF!,6,FALSE))</f>
        <v>#REF!</v>
      </c>
      <c r="H568" s="34" t="e">
        <f>IF(G568="","",VLOOKUP($B568,#REF!,7,FALSE))</f>
        <v>#REF!</v>
      </c>
      <c r="I568" s="25"/>
      <c r="J568" s="25"/>
      <c r="K568" s="25"/>
      <c r="L568" s="25"/>
      <c r="M568" s="25"/>
      <c r="N568" s="25"/>
      <c r="O568" s="33">
        <f t="shared" si="17"/>
        <v>0</v>
      </c>
      <c r="P568" s="25"/>
      <c r="Q568" s="25">
        <v>0</v>
      </c>
      <c r="R568" s="25"/>
      <c r="S568" s="25"/>
      <c r="T568" s="25"/>
      <c r="U568" s="25"/>
      <c r="V568" s="39">
        <v>36</v>
      </c>
      <c r="W568" s="25"/>
      <c r="X568" s="33">
        <f t="shared" si="16"/>
        <v>36</v>
      </c>
      <c r="Y568" s="39">
        <v>124920</v>
      </c>
      <c r="Z568" s="25">
        <v>4497120</v>
      </c>
      <c r="AA568" s="45"/>
      <c r="AB568" s="45"/>
      <c r="AC568" s="45"/>
      <c r="AD568" s="45"/>
      <c r="AE568" s="45"/>
    </row>
    <row r="569" spans="1:31" s="12" customFormat="1" ht="12">
      <c r="A569" s="27">
        <v>45614</v>
      </c>
      <c r="B569" s="28" t="s">
        <v>160</v>
      </c>
      <c r="C569" s="37" t="s">
        <v>82</v>
      </c>
      <c r="D569" s="34" t="s">
        <v>186</v>
      </c>
      <c r="E569" s="34" t="e">
        <f>IF(B569="","",VLOOKUP($B569,#REF!,4,FALSE))</f>
        <v>#REF!</v>
      </c>
      <c r="F569" s="34" t="e">
        <f>IF(E569="","",VLOOKUP($B569,#REF!,5,FALSE))</f>
        <v>#REF!</v>
      </c>
      <c r="G569" s="34" t="e">
        <f>IF(F569="","",VLOOKUP($B569,#REF!,6,FALSE))</f>
        <v>#REF!</v>
      </c>
      <c r="H569" s="34" t="e">
        <f>IF(G569="","",VLOOKUP($B569,#REF!,7,FALSE))</f>
        <v>#REF!</v>
      </c>
      <c r="I569" s="25"/>
      <c r="J569" s="25"/>
      <c r="K569" s="25"/>
      <c r="L569" s="25"/>
      <c r="M569" s="25"/>
      <c r="N569" s="25"/>
      <c r="O569" s="33">
        <f t="shared" si="17"/>
        <v>0</v>
      </c>
      <c r="P569" s="25"/>
      <c r="Q569" s="25">
        <v>0</v>
      </c>
      <c r="R569" s="25"/>
      <c r="S569" s="25"/>
      <c r="T569" s="25"/>
      <c r="U569" s="25"/>
      <c r="V569" s="39">
        <v>192</v>
      </c>
      <c r="W569" s="25"/>
      <c r="X569" s="33">
        <f t="shared" si="16"/>
        <v>192</v>
      </c>
      <c r="Y569" s="39">
        <v>100300</v>
      </c>
      <c r="Z569" s="25">
        <v>19257600</v>
      </c>
      <c r="AA569" s="45"/>
      <c r="AB569" s="45"/>
      <c r="AC569" s="45"/>
      <c r="AD569" s="45"/>
      <c r="AE569" s="45"/>
    </row>
    <row r="570" spans="1:31" s="12" customFormat="1" ht="12">
      <c r="A570" s="27">
        <v>45614</v>
      </c>
      <c r="B570" s="73" t="s">
        <v>211</v>
      </c>
      <c r="C570" s="37" t="s">
        <v>82</v>
      </c>
      <c r="D570" s="34" t="s">
        <v>186</v>
      </c>
      <c r="E570" s="34" t="e">
        <f>IF(B570="","",VLOOKUP($B570,#REF!,4,FALSE))</f>
        <v>#REF!</v>
      </c>
      <c r="F570" s="34" t="e">
        <f>IF(E570="","",VLOOKUP($B570,#REF!,5,FALSE))</f>
        <v>#REF!</v>
      </c>
      <c r="G570" s="34" t="e">
        <f>IF(F570="","",VLOOKUP($B570,#REF!,6,FALSE))</f>
        <v>#REF!</v>
      </c>
      <c r="H570" s="34" t="e">
        <f>IF(G570="","",VLOOKUP($B570,#REF!,7,FALSE))</f>
        <v>#REF!</v>
      </c>
      <c r="I570" s="25"/>
      <c r="J570" s="25"/>
      <c r="K570" s="25"/>
      <c r="L570" s="25"/>
      <c r="M570" s="25"/>
      <c r="N570" s="25"/>
      <c r="O570" s="33">
        <f t="shared" si="17"/>
        <v>0</v>
      </c>
      <c r="P570" s="25"/>
      <c r="Q570" s="25">
        <v>0</v>
      </c>
      <c r="R570" s="25"/>
      <c r="S570" s="25"/>
      <c r="T570" s="25"/>
      <c r="U570" s="25"/>
      <c r="V570" s="39">
        <v>84</v>
      </c>
      <c r="W570" s="25"/>
      <c r="X570" s="33">
        <f t="shared" si="16"/>
        <v>84</v>
      </c>
      <c r="Y570" s="39">
        <v>46020</v>
      </c>
      <c r="Z570" s="25">
        <v>3865680</v>
      </c>
      <c r="AA570" s="45"/>
      <c r="AB570" s="45"/>
      <c r="AC570" s="45"/>
      <c r="AD570" s="45"/>
      <c r="AE570" s="45"/>
    </row>
    <row r="571" spans="1:31" s="12" customFormat="1" ht="12">
      <c r="A571" s="27">
        <v>45614</v>
      </c>
      <c r="B571" s="28" t="s">
        <v>164</v>
      </c>
      <c r="C571" s="37" t="s">
        <v>141</v>
      </c>
      <c r="D571" s="34" t="s">
        <v>173</v>
      </c>
      <c r="E571" s="34" t="e">
        <f>IF(B571="","",VLOOKUP($B571,#REF!,4,FALSE))</f>
        <v>#REF!</v>
      </c>
      <c r="F571" s="34" t="e">
        <f>IF(E571="","",VLOOKUP($B571,#REF!,5,FALSE))</f>
        <v>#REF!</v>
      </c>
      <c r="G571" s="34" t="e">
        <f>IF(F571="","",VLOOKUP($B571,#REF!,6,FALSE))</f>
        <v>#REF!</v>
      </c>
      <c r="H571" s="34" t="e">
        <f>IF(G571="","",VLOOKUP($B571,#REF!,7,FALSE))</f>
        <v>#REF!</v>
      </c>
      <c r="I571" s="25"/>
      <c r="J571" s="25"/>
      <c r="K571" s="25"/>
      <c r="L571" s="25"/>
      <c r="M571" s="25"/>
      <c r="N571" s="25"/>
      <c r="O571" s="33">
        <f t="shared" si="17"/>
        <v>0</v>
      </c>
      <c r="P571" s="25"/>
      <c r="Q571" s="25">
        <v>0</v>
      </c>
      <c r="R571" s="25"/>
      <c r="S571" s="25"/>
      <c r="T571" s="25"/>
      <c r="U571" s="25">
        <v>1200</v>
      </c>
      <c r="V571" s="39"/>
      <c r="W571" s="25"/>
      <c r="X571" s="33">
        <f t="shared" si="16"/>
        <v>1200</v>
      </c>
      <c r="Y571" s="39">
        <f>Z571/X571</f>
        <v>17221.248333333333</v>
      </c>
      <c r="Z571" s="39">
        <v>20665498</v>
      </c>
      <c r="AA571" s="45" t="s">
        <v>206</v>
      </c>
      <c r="AB571" s="45" t="s">
        <v>141</v>
      </c>
      <c r="AC571" s="45" t="s">
        <v>173</v>
      </c>
      <c r="AD571" s="45"/>
      <c r="AE571" s="45"/>
    </row>
    <row r="572" spans="1:31" s="12" customFormat="1" ht="12">
      <c r="A572" s="27">
        <v>45614</v>
      </c>
      <c r="B572" s="28" t="s">
        <v>78</v>
      </c>
      <c r="C572" s="37" t="s">
        <v>144</v>
      </c>
      <c r="D572" s="34" t="s">
        <v>190</v>
      </c>
      <c r="E572" s="34" t="e">
        <f>IF(B572="","",VLOOKUP($B572,#REF!,4,FALSE))</f>
        <v>#REF!</v>
      </c>
      <c r="F572" s="34" t="e">
        <f>IF(E572="","",VLOOKUP($B572,#REF!,5,FALSE))</f>
        <v>#REF!</v>
      </c>
      <c r="G572" s="34" t="e">
        <f>IF(F572="","",VLOOKUP($B572,#REF!,6,FALSE))</f>
        <v>#REF!</v>
      </c>
      <c r="H572" s="34" t="e">
        <f>IF(G572="","",VLOOKUP($B572,#REF!,7,FALSE))</f>
        <v>#REF!</v>
      </c>
      <c r="I572" s="25"/>
      <c r="J572" s="25"/>
      <c r="K572" s="25"/>
      <c r="L572" s="25"/>
      <c r="M572" s="25"/>
      <c r="N572" s="25"/>
      <c r="O572" s="33">
        <f t="shared" si="17"/>
        <v>0</v>
      </c>
      <c r="P572" s="25"/>
      <c r="Q572" s="25">
        <v>0</v>
      </c>
      <c r="R572" s="25"/>
      <c r="S572" s="25"/>
      <c r="T572" s="25">
        <v>2</v>
      </c>
      <c r="U572" s="25"/>
      <c r="V572" s="39"/>
      <c r="W572" s="25"/>
      <c r="X572" s="33">
        <f t="shared" si="16"/>
        <v>2</v>
      </c>
      <c r="Y572" s="39"/>
      <c r="Z572" s="25">
        <v>0</v>
      </c>
      <c r="AA572" s="45" t="s">
        <v>210</v>
      </c>
      <c r="AB572" s="45"/>
      <c r="AC572" s="45"/>
      <c r="AD572" s="45"/>
      <c r="AE572" s="45"/>
    </row>
    <row r="573" spans="1:31" s="12" customFormat="1" ht="12">
      <c r="A573" s="27">
        <v>45614</v>
      </c>
      <c r="B573" s="28" t="s">
        <v>10</v>
      </c>
      <c r="C573" s="37" t="s">
        <v>117</v>
      </c>
      <c r="D573" s="34" t="s">
        <v>225</v>
      </c>
      <c r="E573" s="34" t="e">
        <f>IF(B573="","",VLOOKUP($B573,#REF!,4,FALSE))</f>
        <v>#REF!</v>
      </c>
      <c r="F573" s="34" t="e">
        <f>IF(E573="","",VLOOKUP($B573,#REF!,5,FALSE))</f>
        <v>#REF!</v>
      </c>
      <c r="G573" s="34" t="e">
        <f>IF(F573="","",VLOOKUP($B573,#REF!,6,FALSE))</f>
        <v>#REF!</v>
      </c>
      <c r="H573" s="34" t="e">
        <f>IF(G573="","",VLOOKUP($B573,#REF!,7,FALSE))</f>
        <v>#REF!</v>
      </c>
      <c r="I573" s="25"/>
      <c r="J573" s="25"/>
      <c r="K573" s="25">
        <v>150</v>
      </c>
      <c r="L573" s="25"/>
      <c r="M573" s="25"/>
      <c r="N573" s="25"/>
      <c r="O573" s="33">
        <f t="shared" si="17"/>
        <v>150</v>
      </c>
      <c r="P573" s="25">
        <v>34800</v>
      </c>
      <c r="Q573" s="25">
        <v>5220000</v>
      </c>
      <c r="R573" s="25"/>
      <c r="S573" s="25"/>
      <c r="T573" s="25"/>
      <c r="U573" s="25"/>
      <c r="V573" s="39"/>
      <c r="W573" s="25"/>
      <c r="X573" s="33">
        <f t="shared" si="16"/>
        <v>0</v>
      </c>
      <c r="Y573" s="39"/>
      <c r="Z573" s="25">
        <v>0</v>
      </c>
      <c r="AA573" s="45" t="s">
        <v>117</v>
      </c>
      <c r="AB573" s="45" t="s">
        <v>158</v>
      </c>
      <c r="AC573" s="45"/>
      <c r="AD573" s="45"/>
      <c r="AE573" s="45"/>
    </row>
    <row r="574" spans="1:31" s="12" customFormat="1" ht="12">
      <c r="A574" s="27">
        <v>45614</v>
      </c>
      <c r="B574" s="29" t="s">
        <v>14</v>
      </c>
      <c r="C574" s="37" t="s">
        <v>117</v>
      </c>
      <c r="D574" s="34" t="s">
        <v>225</v>
      </c>
      <c r="E574" s="34" t="e">
        <f>IF(B574="","",VLOOKUP($B574,#REF!,4,FALSE))</f>
        <v>#REF!</v>
      </c>
      <c r="F574" s="34" t="e">
        <f>IF(E574="","",VLOOKUP($B574,#REF!,5,FALSE))</f>
        <v>#REF!</v>
      </c>
      <c r="G574" s="34" t="e">
        <f>IF(F574="","",VLOOKUP($B574,#REF!,6,FALSE))</f>
        <v>#REF!</v>
      </c>
      <c r="H574" s="34" t="e">
        <f>IF(G574="","",VLOOKUP($B574,#REF!,7,FALSE))</f>
        <v>#REF!</v>
      </c>
      <c r="I574" s="25"/>
      <c r="J574" s="25"/>
      <c r="K574" s="25">
        <v>168</v>
      </c>
      <c r="L574" s="25"/>
      <c r="M574" s="25"/>
      <c r="N574" s="25"/>
      <c r="O574" s="33">
        <f t="shared" si="17"/>
        <v>168</v>
      </c>
      <c r="P574" s="25">
        <v>36000</v>
      </c>
      <c r="Q574" s="25">
        <v>6048000</v>
      </c>
      <c r="R574" s="25"/>
      <c r="S574" s="25"/>
      <c r="T574" s="25"/>
      <c r="U574" s="25"/>
      <c r="V574" s="39"/>
      <c r="W574" s="25"/>
      <c r="X574" s="33">
        <f t="shared" si="16"/>
        <v>0</v>
      </c>
      <c r="Y574" s="39"/>
      <c r="Z574" s="25">
        <v>0</v>
      </c>
      <c r="AA574" s="45"/>
      <c r="AB574" s="45"/>
      <c r="AC574" s="45"/>
      <c r="AD574" s="45"/>
      <c r="AE574" s="45"/>
    </row>
    <row r="575" spans="1:31" s="12" customFormat="1" ht="12">
      <c r="A575" s="27">
        <v>45614</v>
      </c>
      <c r="B575" s="28" t="s">
        <v>28</v>
      </c>
      <c r="C575" s="37" t="s">
        <v>137</v>
      </c>
      <c r="D575" s="34" t="s">
        <v>182</v>
      </c>
      <c r="E575" s="34" t="e">
        <f>IF(B575="","",VLOOKUP($B575,#REF!,4,FALSE))</f>
        <v>#REF!</v>
      </c>
      <c r="F575" s="34" t="e">
        <f>IF(E575="","",VLOOKUP($B575,#REF!,5,FALSE))</f>
        <v>#REF!</v>
      </c>
      <c r="G575" s="34" t="e">
        <f>IF(F575="","",VLOOKUP($B575,#REF!,6,FALSE))</f>
        <v>#REF!</v>
      </c>
      <c r="H575" s="34" t="e">
        <f>IF(G575="","",VLOOKUP($B575,#REF!,7,FALSE))</f>
        <v>#REF!</v>
      </c>
      <c r="I575" s="25"/>
      <c r="J575" s="25"/>
      <c r="K575" s="25"/>
      <c r="L575" s="25"/>
      <c r="M575" s="25">
        <v>336</v>
      </c>
      <c r="N575" s="25"/>
      <c r="O575" s="33">
        <f t="shared" si="17"/>
        <v>336</v>
      </c>
      <c r="P575" s="25">
        <v>137250</v>
      </c>
      <c r="Q575" s="25">
        <v>46116000</v>
      </c>
      <c r="R575" s="25"/>
      <c r="S575" s="25"/>
      <c r="T575" s="25"/>
      <c r="U575" s="25"/>
      <c r="V575" s="39"/>
      <c r="W575" s="25"/>
      <c r="X575" s="33">
        <f t="shared" si="16"/>
        <v>0</v>
      </c>
      <c r="Y575" s="39"/>
      <c r="Z575" s="25">
        <v>0</v>
      </c>
      <c r="AA575" s="45" t="s">
        <v>137</v>
      </c>
      <c r="AB575" s="45" t="s">
        <v>269</v>
      </c>
      <c r="AC575" s="45"/>
      <c r="AD575" s="45"/>
      <c r="AE575" s="45"/>
    </row>
    <row r="576" spans="1:31" s="12" customFormat="1" ht="12">
      <c r="A576" s="27">
        <v>45614</v>
      </c>
      <c r="B576" s="53" t="s">
        <v>163</v>
      </c>
      <c r="C576" s="37">
        <v>0</v>
      </c>
      <c r="D576" s="34" t="s">
        <v>187</v>
      </c>
      <c r="E576" s="34" t="e">
        <f>IF(B576="","",VLOOKUP($B576,#REF!,4,FALSE))</f>
        <v>#REF!</v>
      </c>
      <c r="F576" s="34" t="e">
        <f>IF(E576="","",VLOOKUP($B576,#REF!,5,FALSE))</f>
        <v>#REF!</v>
      </c>
      <c r="G576" s="34" t="e">
        <f>IF(F576="","",VLOOKUP($B576,#REF!,6,FALSE))</f>
        <v>#REF!</v>
      </c>
      <c r="H576" s="34" t="e">
        <f>IF(G576="","",VLOOKUP($B576,#REF!,7,FALSE))</f>
        <v>#REF!</v>
      </c>
      <c r="I576" s="25"/>
      <c r="J576" s="25"/>
      <c r="K576" s="25">
        <v>50</v>
      </c>
      <c r="L576" s="25"/>
      <c r="M576" s="25"/>
      <c r="N576" s="25"/>
      <c r="O576" s="33">
        <f t="shared" si="17"/>
        <v>50</v>
      </c>
      <c r="P576" s="25"/>
      <c r="Q576" s="25">
        <v>0</v>
      </c>
      <c r="R576" s="25"/>
      <c r="S576" s="25"/>
      <c r="T576" s="25"/>
      <c r="U576" s="25"/>
      <c r="V576" s="39"/>
      <c r="W576" s="25"/>
      <c r="X576" s="33">
        <f t="shared" si="16"/>
        <v>0</v>
      </c>
      <c r="Y576" s="39"/>
      <c r="Z576" s="25">
        <v>0</v>
      </c>
      <c r="AA576" s="45"/>
      <c r="AB576" s="45"/>
      <c r="AC576" s="45"/>
      <c r="AD576" s="45"/>
      <c r="AE576" s="45"/>
    </row>
    <row r="577" spans="1:31" s="12" customFormat="1" ht="12">
      <c r="A577" s="27">
        <v>45614</v>
      </c>
      <c r="B577" s="53" t="s">
        <v>193</v>
      </c>
      <c r="C577" s="37">
        <v>0</v>
      </c>
      <c r="D577" s="34" t="s">
        <v>187</v>
      </c>
      <c r="E577" s="34" t="e">
        <f>IF(B577="","",VLOOKUP($B577,#REF!,4,FALSE))</f>
        <v>#REF!</v>
      </c>
      <c r="F577" s="34" t="e">
        <f>IF(E577="","",VLOOKUP($B577,#REF!,5,FALSE))</f>
        <v>#REF!</v>
      </c>
      <c r="G577" s="34" t="e">
        <f>IF(F577="","",VLOOKUP($B577,#REF!,6,FALSE))</f>
        <v>#REF!</v>
      </c>
      <c r="H577" s="34" t="e">
        <f>IF(G577="","",VLOOKUP($B577,#REF!,7,FALSE))</f>
        <v>#REF!</v>
      </c>
      <c r="I577" s="25"/>
      <c r="J577" s="25"/>
      <c r="K577" s="25">
        <v>49</v>
      </c>
      <c r="L577" s="25"/>
      <c r="M577" s="25"/>
      <c r="N577" s="25"/>
      <c r="O577" s="33">
        <f t="shared" si="17"/>
        <v>49</v>
      </c>
      <c r="P577" s="25"/>
      <c r="Q577" s="25">
        <v>0</v>
      </c>
      <c r="R577" s="25"/>
      <c r="S577" s="25"/>
      <c r="T577" s="25"/>
      <c r="U577" s="25"/>
      <c r="V577" s="39"/>
      <c r="W577" s="25"/>
      <c r="X577" s="33">
        <f t="shared" si="16"/>
        <v>0</v>
      </c>
      <c r="Y577" s="39"/>
      <c r="Z577" s="25">
        <v>0</v>
      </c>
      <c r="AA577" s="45"/>
      <c r="AB577" s="45"/>
      <c r="AC577" s="45"/>
      <c r="AD577" s="45"/>
      <c r="AE577" s="45"/>
    </row>
    <row r="578" spans="1:31" s="12" customFormat="1" ht="12">
      <c r="A578" s="27">
        <v>45614</v>
      </c>
      <c r="B578" s="53" t="s">
        <v>8</v>
      </c>
      <c r="C578" s="37">
        <v>0</v>
      </c>
      <c r="D578" s="34" t="s">
        <v>187</v>
      </c>
      <c r="E578" s="34" t="e">
        <f>IF(B578="","",VLOOKUP($B578,#REF!,4,FALSE))</f>
        <v>#REF!</v>
      </c>
      <c r="F578" s="34" t="e">
        <f>IF(E578="","",VLOOKUP($B578,#REF!,5,FALSE))</f>
        <v>#REF!</v>
      </c>
      <c r="G578" s="34" t="e">
        <f>IF(F578="","",VLOOKUP($B578,#REF!,6,FALSE))</f>
        <v>#REF!</v>
      </c>
      <c r="H578" s="34" t="e">
        <f>IF(G578="","",VLOOKUP($B578,#REF!,7,FALSE))</f>
        <v>#REF!</v>
      </c>
      <c r="I578" s="25"/>
      <c r="J578" s="25"/>
      <c r="K578" s="25">
        <v>113</v>
      </c>
      <c r="L578" s="25"/>
      <c r="M578" s="25"/>
      <c r="N578" s="25"/>
      <c r="O578" s="33">
        <f t="shared" si="17"/>
        <v>113</v>
      </c>
      <c r="P578" s="25"/>
      <c r="Q578" s="25">
        <v>0</v>
      </c>
      <c r="R578" s="25"/>
      <c r="S578" s="25"/>
      <c r="T578" s="25"/>
      <c r="U578" s="25"/>
      <c r="V578" s="39"/>
      <c r="W578" s="25"/>
      <c r="X578" s="33">
        <f t="shared" si="16"/>
        <v>0</v>
      </c>
      <c r="Y578" s="39"/>
      <c r="Z578" s="25">
        <v>0</v>
      </c>
      <c r="AA578" s="45"/>
      <c r="AB578" s="45"/>
      <c r="AC578" s="45"/>
      <c r="AD578" s="45"/>
      <c r="AE578" s="45"/>
    </row>
    <row r="579" spans="1:31" s="12" customFormat="1" ht="12">
      <c r="A579" s="27">
        <v>45614</v>
      </c>
      <c r="B579" s="53" t="s">
        <v>211</v>
      </c>
      <c r="C579" s="37">
        <v>0</v>
      </c>
      <c r="D579" s="34" t="s">
        <v>187</v>
      </c>
      <c r="E579" s="34" t="e">
        <f>IF(B579="","",VLOOKUP($B579,#REF!,4,FALSE))</f>
        <v>#REF!</v>
      </c>
      <c r="F579" s="34" t="e">
        <f>IF(E579="","",VLOOKUP($B579,#REF!,5,FALSE))</f>
        <v>#REF!</v>
      </c>
      <c r="G579" s="34" t="e">
        <f>IF(F579="","",VLOOKUP($B579,#REF!,6,FALSE))</f>
        <v>#REF!</v>
      </c>
      <c r="H579" s="34" t="e">
        <f>IF(G579="","",VLOOKUP($B579,#REF!,7,FALSE))</f>
        <v>#REF!</v>
      </c>
      <c r="I579" s="25"/>
      <c r="J579" s="25"/>
      <c r="K579" s="25"/>
      <c r="L579" s="25">
        <v>698</v>
      </c>
      <c r="M579" s="25"/>
      <c r="N579" s="25"/>
      <c r="O579" s="33">
        <f t="shared" si="17"/>
        <v>698</v>
      </c>
      <c r="P579" s="25"/>
      <c r="Q579" s="25">
        <v>0</v>
      </c>
      <c r="R579" s="25"/>
      <c r="S579" s="25"/>
      <c r="T579" s="25"/>
      <c r="U579" s="25"/>
      <c r="V579" s="39"/>
      <c r="W579" s="25"/>
      <c r="X579" s="33">
        <f t="shared" si="16"/>
        <v>0</v>
      </c>
      <c r="Y579" s="39"/>
      <c r="Z579" s="25">
        <v>0</v>
      </c>
      <c r="AA579" s="45"/>
      <c r="AB579" s="45"/>
      <c r="AC579" s="45"/>
      <c r="AD579" s="45"/>
      <c r="AE579" s="45"/>
    </row>
    <row r="580" spans="1:31" s="12" customFormat="1" ht="12">
      <c r="A580" s="27">
        <v>45614</v>
      </c>
      <c r="B580" s="53" t="s">
        <v>229</v>
      </c>
      <c r="C580" s="37">
        <v>0</v>
      </c>
      <c r="D580" s="34" t="s">
        <v>187</v>
      </c>
      <c r="E580" s="34" t="e">
        <f>IF(B580="","",VLOOKUP($B580,#REF!,4,FALSE))</f>
        <v>#REF!</v>
      </c>
      <c r="F580" s="34" t="e">
        <f>IF(E580="","",VLOOKUP($B580,#REF!,5,FALSE))</f>
        <v>#REF!</v>
      </c>
      <c r="G580" s="34" t="e">
        <f>IF(F580="","",VLOOKUP($B580,#REF!,6,FALSE))</f>
        <v>#REF!</v>
      </c>
      <c r="H580" s="34" t="e">
        <f>IF(G580="","",VLOOKUP($B580,#REF!,7,FALSE))</f>
        <v>#REF!</v>
      </c>
      <c r="I580" s="25"/>
      <c r="J580" s="25"/>
      <c r="K580" s="25"/>
      <c r="L580" s="25">
        <v>1508</v>
      </c>
      <c r="M580" s="25"/>
      <c r="N580" s="25"/>
      <c r="O580" s="33">
        <f t="shared" si="17"/>
        <v>1508</v>
      </c>
      <c r="P580" s="25"/>
      <c r="Q580" s="25">
        <v>0</v>
      </c>
      <c r="R580" s="25"/>
      <c r="S580" s="25"/>
      <c r="T580" s="25"/>
      <c r="U580" s="25"/>
      <c r="V580" s="39"/>
      <c r="W580" s="25"/>
      <c r="X580" s="33">
        <f t="shared" si="16"/>
        <v>0</v>
      </c>
      <c r="Y580" s="39"/>
      <c r="Z580" s="25">
        <v>0</v>
      </c>
      <c r="AA580" s="45"/>
      <c r="AB580" s="45"/>
      <c r="AC580" s="45"/>
      <c r="AD580" s="45"/>
      <c r="AE580" s="45"/>
    </row>
    <row r="581" spans="1:31" s="12" customFormat="1" ht="12">
      <c r="A581" s="27">
        <v>45614</v>
      </c>
      <c r="B581" s="53" t="s">
        <v>58</v>
      </c>
      <c r="C581" s="37">
        <v>0</v>
      </c>
      <c r="D581" s="34" t="s">
        <v>187</v>
      </c>
      <c r="E581" s="34" t="e">
        <f>IF(B581="","",VLOOKUP($B581,#REF!,4,FALSE))</f>
        <v>#REF!</v>
      </c>
      <c r="F581" s="34" t="e">
        <f>IF(E581="","",VLOOKUP($B581,#REF!,5,FALSE))</f>
        <v>#REF!</v>
      </c>
      <c r="G581" s="34" t="e">
        <f>IF(F581="","",VLOOKUP($B581,#REF!,6,FALSE))</f>
        <v>#REF!</v>
      </c>
      <c r="H581" s="34" t="e">
        <f>IF(G581="","",VLOOKUP($B581,#REF!,7,FALSE))</f>
        <v>#REF!</v>
      </c>
      <c r="I581" s="25"/>
      <c r="J581" s="25"/>
      <c r="K581" s="25"/>
      <c r="L581" s="25">
        <v>126</v>
      </c>
      <c r="M581" s="25"/>
      <c r="N581" s="25"/>
      <c r="O581" s="33">
        <f t="shared" si="17"/>
        <v>126</v>
      </c>
      <c r="P581" s="25"/>
      <c r="Q581" s="25">
        <v>0</v>
      </c>
      <c r="R581" s="25"/>
      <c r="S581" s="25"/>
      <c r="T581" s="25"/>
      <c r="U581" s="25"/>
      <c r="V581" s="39"/>
      <c r="W581" s="25"/>
      <c r="X581" s="33">
        <f t="shared" ref="X581:X644" si="18">SUM(R581:W581)</f>
        <v>0</v>
      </c>
      <c r="Y581" s="39"/>
      <c r="Z581" s="25">
        <v>0</v>
      </c>
      <c r="AA581" s="45"/>
      <c r="AB581" s="45"/>
      <c r="AC581" s="45"/>
      <c r="AD581" s="45"/>
      <c r="AE581" s="45"/>
    </row>
    <row r="582" spans="1:31" s="14" customFormat="1" ht="12">
      <c r="A582" s="27">
        <v>45614</v>
      </c>
      <c r="B582" s="53" t="s">
        <v>38</v>
      </c>
      <c r="C582" s="37">
        <v>0</v>
      </c>
      <c r="D582" s="34" t="s">
        <v>187</v>
      </c>
      <c r="E582" s="34" t="e">
        <f>IF(B582="","",VLOOKUP($B582,#REF!,4,FALSE))</f>
        <v>#REF!</v>
      </c>
      <c r="F582" s="34" t="e">
        <f>IF(E582="","",VLOOKUP($B582,#REF!,5,FALSE))</f>
        <v>#REF!</v>
      </c>
      <c r="G582" s="34" t="e">
        <f>IF(F582="","",VLOOKUP($B582,#REF!,6,FALSE))</f>
        <v>#REF!</v>
      </c>
      <c r="H582" s="34" t="e">
        <f>IF(G582="","",VLOOKUP($B582,#REF!,7,FALSE))</f>
        <v>#REF!</v>
      </c>
      <c r="I582" s="25"/>
      <c r="J582" s="25"/>
      <c r="K582" s="25">
        <v>188</v>
      </c>
      <c r="L582" s="25"/>
      <c r="M582" s="25"/>
      <c r="N582" s="25"/>
      <c r="O582" s="33">
        <f t="shared" ref="O582:O645" si="19">SUM(I582:N582)</f>
        <v>188</v>
      </c>
      <c r="P582" s="25"/>
      <c r="Q582" s="25">
        <v>0</v>
      </c>
      <c r="R582" s="25"/>
      <c r="S582" s="25"/>
      <c r="T582" s="25"/>
      <c r="U582" s="25"/>
      <c r="V582" s="39"/>
      <c r="W582" s="25"/>
      <c r="X582" s="33">
        <f t="shared" si="18"/>
        <v>0</v>
      </c>
      <c r="Y582" s="39"/>
      <c r="Z582" s="25">
        <v>0</v>
      </c>
      <c r="AA582" s="45"/>
      <c r="AB582" s="45"/>
      <c r="AC582" s="45"/>
      <c r="AD582" s="45"/>
      <c r="AE582" s="45"/>
    </row>
    <row r="583" spans="1:31" s="12" customFormat="1" ht="12">
      <c r="A583" s="27">
        <v>45614</v>
      </c>
      <c r="B583" s="53" t="s">
        <v>57</v>
      </c>
      <c r="C583" s="37">
        <v>0</v>
      </c>
      <c r="D583" s="34" t="s">
        <v>187</v>
      </c>
      <c r="E583" s="34" t="e">
        <f>IF(B583="","",VLOOKUP($B583,#REF!,4,FALSE))</f>
        <v>#REF!</v>
      </c>
      <c r="F583" s="34" t="e">
        <f>IF(E583="","",VLOOKUP($B583,#REF!,5,FALSE))</f>
        <v>#REF!</v>
      </c>
      <c r="G583" s="34" t="e">
        <f>IF(F583="","",VLOOKUP($B583,#REF!,6,FALSE))</f>
        <v>#REF!</v>
      </c>
      <c r="H583" s="34" t="e">
        <f>IF(G583="","",VLOOKUP($B583,#REF!,7,FALSE))</f>
        <v>#REF!</v>
      </c>
      <c r="I583" s="25"/>
      <c r="J583" s="25"/>
      <c r="K583" s="25"/>
      <c r="L583" s="25">
        <v>110</v>
      </c>
      <c r="M583" s="25"/>
      <c r="N583" s="25"/>
      <c r="O583" s="33">
        <f t="shared" si="19"/>
        <v>110</v>
      </c>
      <c r="P583" s="25"/>
      <c r="Q583" s="25">
        <v>0</v>
      </c>
      <c r="R583" s="25"/>
      <c r="S583" s="25"/>
      <c r="T583" s="25"/>
      <c r="U583" s="25"/>
      <c r="V583" s="39"/>
      <c r="W583" s="25"/>
      <c r="X583" s="33">
        <f t="shared" si="18"/>
        <v>0</v>
      </c>
      <c r="Y583" s="39"/>
      <c r="Z583" s="25">
        <v>0</v>
      </c>
      <c r="AA583" s="45"/>
      <c r="AB583" s="45"/>
      <c r="AC583" s="45"/>
      <c r="AD583" s="45"/>
      <c r="AE583" s="45"/>
    </row>
    <row r="584" spans="1:31" s="12" customFormat="1" ht="12">
      <c r="A584" s="27">
        <v>45614</v>
      </c>
      <c r="B584" s="53" t="s">
        <v>15</v>
      </c>
      <c r="C584" s="37" t="s">
        <v>83</v>
      </c>
      <c r="D584" s="34" t="s">
        <v>185</v>
      </c>
      <c r="E584" s="34" t="e">
        <f>IF(B584="","",VLOOKUP($B584,#REF!,4,FALSE))</f>
        <v>#REF!</v>
      </c>
      <c r="F584" s="34" t="e">
        <f>IF(E584="","",VLOOKUP($B584,#REF!,5,FALSE))</f>
        <v>#REF!</v>
      </c>
      <c r="G584" s="34" t="e">
        <f>IF(F584="","",VLOOKUP($B584,#REF!,6,FALSE))</f>
        <v>#REF!</v>
      </c>
      <c r="H584" s="34" t="e">
        <f>IF(G584="","",VLOOKUP($B584,#REF!,7,FALSE))</f>
        <v>#REF!</v>
      </c>
      <c r="I584" s="25"/>
      <c r="J584" s="25"/>
      <c r="K584" s="25"/>
      <c r="L584" s="25"/>
      <c r="M584" s="25"/>
      <c r="N584" s="25"/>
      <c r="O584" s="33">
        <f t="shared" si="19"/>
        <v>0</v>
      </c>
      <c r="P584" s="25"/>
      <c r="Q584" s="25">
        <v>0</v>
      </c>
      <c r="R584" s="25"/>
      <c r="S584" s="25"/>
      <c r="T584" s="25">
        <v>3</v>
      </c>
      <c r="U584" s="25"/>
      <c r="V584" s="39"/>
      <c r="W584" s="25"/>
      <c r="X584" s="33">
        <f t="shared" si="18"/>
        <v>3</v>
      </c>
      <c r="Y584" s="39">
        <v>69600</v>
      </c>
      <c r="Z584" s="25">
        <v>208800</v>
      </c>
      <c r="AA584" s="45"/>
      <c r="AB584" s="45"/>
      <c r="AC584" s="45"/>
      <c r="AD584" s="45"/>
      <c r="AE584" s="45"/>
    </row>
    <row r="585" spans="1:31" s="12" customFormat="1" ht="12">
      <c r="A585" s="27">
        <v>45614</v>
      </c>
      <c r="B585" s="47" t="s">
        <v>10</v>
      </c>
      <c r="C585" s="37" t="s">
        <v>83</v>
      </c>
      <c r="D585" s="34" t="s">
        <v>185</v>
      </c>
      <c r="E585" s="34" t="e">
        <f>IF(B585="","",VLOOKUP($B585,#REF!,4,FALSE))</f>
        <v>#REF!</v>
      </c>
      <c r="F585" s="34" t="e">
        <f>IF(E585="","",VLOOKUP($B585,#REF!,5,FALSE))</f>
        <v>#REF!</v>
      </c>
      <c r="G585" s="34" t="e">
        <f>IF(F585="","",VLOOKUP($B585,#REF!,6,FALSE))</f>
        <v>#REF!</v>
      </c>
      <c r="H585" s="34" t="e">
        <f>IF(G585="","",VLOOKUP($B585,#REF!,7,FALSE))</f>
        <v>#REF!</v>
      </c>
      <c r="I585" s="25"/>
      <c r="J585" s="25"/>
      <c r="K585" s="25"/>
      <c r="L585" s="25"/>
      <c r="M585" s="25"/>
      <c r="N585" s="25"/>
      <c r="O585" s="33">
        <f t="shared" si="19"/>
        <v>0</v>
      </c>
      <c r="P585" s="25"/>
      <c r="Q585" s="25">
        <v>0</v>
      </c>
      <c r="R585" s="25"/>
      <c r="S585" s="25"/>
      <c r="T585" s="25">
        <v>1</v>
      </c>
      <c r="U585" s="25"/>
      <c r="V585" s="39"/>
      <c r="W585" s="25"/>
      <c r="X585" s="33">
        <f t="shared" si="18"/>
        <v>1</v>
      </c>
      <c r="Y585" s="39">
        <v>57000</v>
      </c>
      <c r="Z585" s="25">
        <v>57000</v>
      </c>
      <c r="AA585" s="45"/>
      <c r="AB585" s="45"/>
      <c r="AC585" s="45"/>
      <c r="AD585" s="45"/>
      <c r="AE585" s="45"/>
    </row>
    <row r="586" spans="1:31" s="12" customFormat="1" ht="12">
      <c r="A586" s="27">
        <v>45614</v>
      </c>
      <c r="B586" s="28" t="s">
        <v>25</v>
      </c>
      <c r="C586" s="37" t="s">
        <v>83</v>
      </c>
      <c r="D586" s="34" t="s">
        <v>185</v>
      </c>
      <c r="E586" s="34" t="e">
        <f>IF(B586="","",VLOOKUP($B586,#REF!,4,FALSE))</f>
        <v>#REF!</v>
      </c>
      <c r="F586" s="34" t="e">
        <f>IF(E586="","",VLOOKUP($B586,#REF!,5,FALSE))</f>
        <v>#REF!</v>
      </c>
      <c r="G586" s="34" t="e">
        <f>IF(F586="","",VLOOKUP($B586,#REF!,6,FALSE))</f>
        <v>#REF!</v>
      </c>
      <c r="H586" s="34" t="e">
        <f>IF(G586="","",VLOOKUP($B586,#REF!,7,FALSE))</f>
        <v>#REF!</v>
      </c>
      <c r="I586" s="25"/>
      <c r="J586" s="25"/>
      <c r="K586" s="25"/>
      <c r="L586" s="25"/>
      <c r="M586" s="25"/>
      <c r="N586" s="25"/>
      <c r="O586" s="33">
        <f t="shared" si="19"/>
        <v>0</v>
      </c>
      <c r="P586" s="25"/>
      <c r="Q586" s="25">
        <v>0</v>
      </c>
      <c r="R586" s="25"/>
      <c r="S586" s="25"/>
      <c r="T586" s="25">
        <v>12</v>
      </c>
      <c r="U586" s="25"/>
      <c r="V586" s="39"/>
      <c r="W586" s="25"/>
      <c r="X586" s="33">
        <f t="shared" si="18"/>
        <v>12</v>
      </c>
      <c r="Y586" s="39">
        <v>57000</v>
      </c>
      <c r="Z586" s="25">
        <v>684000</v>
      </c>
      <c r="AA586" s="45"/>
      <c r="AB586" s="45"/>
      <c r="AC586" s="45"/>
      <c r="AD586" s="45"/>
      <c r="AE586" s="45"/>
    </row>
    <row r="587" spans="1:31" s="12" customFormat="1" ht="12">
      <c r="A587" s="27">
        <v>45614</v>
      </c>
      <c r="B587" s="53" t="s">
        <v>38</v>
      </c>
      <c r="C587" s="37" t="s">
        <v>83</v>
      </c>
      <c r="D587" s="34" t="s">
        <v>185</v>
      </c>
      <c r="E587" s="34" t="e">
        <f>IF(B587="","",VLOOKUP($B587,#REF!,4,FALSE))</f>
        <v>#REF!</v>
      </c>
      <c r="F587" s="34" t="e">
        <f>IF(E587="","",VLOOKUP($B587,#REF!,5,FALSE))</f>
        <v>#REF!</v>
      </c>
      <c r="G587" s="34" t="e">
        <f>IF(F587="","",VLOOKUP($B587,#REF!,6,FALSE))</f>
        <v>#REF!</v>
      </c>
      <c r="H587" s="34" t="e">
        <f>IF(G587="","",VLOOKUP($B587,#REF!,7,FALSE))</f>
        <v>#REF!</v>
      </c>
      <c r="I587" s="25"/>
      <c r="J587" s="25"/>
      <c r="K587" s="25"/>
      <c r="L587" s="25"/>
      <c r="M587" s="25"/>
      <c r="N587" s="25"/>
      <c r="O587" s="33">
        <f t="shared" si="19"/>
        <v>0</v>
      </c>
      <c r="P587" s="25"/>
      <c r="Q587" s="25">
        <v>0</v>
      </c>
      <c r="R587" s="25"/>
      <c r="S587" s="25"/>
      <c r="T587" s="25">
        <v>27</v>
      </c>
      <c r="U587" s="25"/>
      <c r="V587" s="39"/>
      <c r="W587" s="25"/>
      <c r="X587" s="33">
        <f t="shared" si="18"/>
        <v>27</v>
      </c>
      <c r="Y587" s="39">
        <v>54600</v>
      </c>
      <c r="Z587" s="25">
        <v>1474200</v>
      </c>
      <c r="AA587" s="45"/>
      <c r="AB587" s="45"/>
      <c r="AC587" s="45"/>
      <c r="AD587" s="45"/>
      <c r="AE587" s="45"/>
    </row>
    <row r="588" spans="1:31" s="12" customFormat="1" ht="12">
      <c r="A588" s="27">
        <v>45614</v>
      </c>
      <c r="B588" s="53" t="s">
        <v>23</v>
      </c>
      <c r="C588" s="37" t="s">
        <v>83</v>
      </c>
      <c r="D588" s="34" t="s">
        <v>185</v>
      </c>
      <c r="E588" s="34" t="e">
        <f>IF(B588="","",VLOOKUP($B588,#REF!,4,FALSE))</f>
        <v>#REF!</v>
      </c>
      <c r="F588" s="34" t="e">
        <f>IF(E588="","",VLOOKUP($B588,#REF!,5,FALSE))</f>
        <v>#REF!</v>
      </c>
      <c r="G588" s="34" t="e">
        <f>IF(F588="","",VLOOKUP($B588,#REF!,6,FALSE))</f>
        <v>#REF!</v>
      </c>
      <c r="H588" s="34" t="e">
        <f>IF(G588="","",VLOOKUP($B588,#REF!,7,FALSE))</f>
        <v>#REF!</v>
      </c>
      <c r="I588" s="25"/>
      <c r="J588" s="25"/>
      <c r="K588" s="25"/>
      <c r="L588" s="25"/>
      <c r="M588" s="25"/>
      <c r="N588" s="25"/>
      <c r="O588" s="33">
        <f t="shared" si="19"/>
        <v>0</v>
      </c>
      <c r="P588" s="25"/>
      <c r="Q588" s="25">
        <v>0</v>
      </c>
      <c r="R588" s="25"/>
      <c r="S588" s="25"/>
      <c r="T588" s="25">
        <v>1</v>
      </c>
      <c r="U588" s="25"/>
      <c r="V588" s="39"/>
      <c r="W588" s="25"/>
      <c r="X588" s="33">
        <f t="shared" si="18"/>
        <v>1</v>
      </c>
      <c r="Y588" s="39">
        <v>46080</v>
      </c>
      <c r="Z588" s="25">
        <v>46080</v>
      </c>
      <c r="AA588" s="45"/>
      <c r="AB588" s="45"/>
      <c r="AC588" s="45"/>
      <c r="AD588" s="45"/>
      <c r="AE588" s="45"/>
    </row>
    <row r="589" spans="1:31" s="12" customFormat="1" ht="12">
      <c r="A589" s="27">
        <v>45614</v>
      </c>
      <c r="B589" s="47" t="s">
        <v>61</v>
      </c>
      <c r="C589" s="37" t="s">
        <v>83</v>
      </c>
      <c r="D589" s="34" t="s">
        <v>185</v>
      </c>
      <c r="E589" s="34" t="e">
        <f>IF(B589="","",VLOOKUP($B589,#REF!,4,FALSE))</f>
        <v>#REF!</v>
      </c>
      <c r="F589" s="34" t="e">
        <f>IF(E589="","",VLOOKUP($B589,#REF!,5,FALSE))</f>
        <v>#REF!</v>
      </c>
      <c r="G589" s="34" t="e">
        <f>IF(F589="","",VLOOKUP($B589,#REF!,6,FALSE))</f>
        <v>#REF!</v>
      </c>
      <c r="H589" s="34" t="e">
        <f>IF(G589="","",VLOOKUP($B589,#REF!,7,FALSE))</f>
        <v>#REF!</v>
      </c>
      <c r="I589" s="25"/>
      <c r="J589" s="25"/>
      <c r="K589" s="25"/>
      <c r="L589" s="25"/>
      <c r="M589" s="25"/>
      <c r="N589" s="25"/>
      <c r="O589" s="33">
        <f t="shared" si="19"/>
        <v>0</v>
      </c>
      <c r="P589" s="25"/>
      <c r="Q589" s="25">
        <v>0</v>
      </c>
      <c r="R589" s="25"/>
      <c r="S589" s="25"/>
      <c r="T589" s="25">
        <v>44</v>
      </c>
      <c r="U589" s="25"/>
      <c r="V589" s="39"/>
      <c r="W589" s="25"/>
      <c r="X589" s="33">
        <f t="shared" si="18"/>
        <v>44</v>
      </c>
      <c r="Y589" s="39">
        <v>67500</v>
      </c>
      <c r="Z589" s="25">
        <v>2970000</v>
      </c>
      <c r="AA589" s="45"/>
      <c r="AB589" s="45"/>
      <c r="AC589" s="45"/>
      <c r="AD589" s="45"/>
      <c r="AE589" s="45"/>
    </row>
    <row r="590" spans="1:31" s="12" customFormat="1" ht="12">
      <c r="A590" s="27">
        <v>45614</v>
      </c>
      <c r="B590" s="53" t="s">
        <v>26</v>
      </c>
      <c r="C590" s="37" t="s">
        <v>83</v>
      </c>
      <c r="D590" s="34" t="s">
        <v>185</v>
      </c>
      <c r="E590" s="34" t="e">
        <f>IF(B590="","",VLOOKUP($B590,#REF!,4,FALSE))</f>
        <v>#REF!</v>
      </c>
      <c r="F590" s="34" t="e">
        <f>IF(E590="","",VLOOKUP($B590,#REF!,5,FALSE))</f>
        <v>#REF!</v>
      </c>
      <c r="G590" s="34" t="e">
        <f>IF(F590="","",VLOOKUP($B590,#REF!,6,FALSE))</f>
        <v>#REF!</v>
      </c>
      <c r="H590" s="34" t="e">
        <f>IF(G590="","",VLOOKUP($B590,#REF!,7,FALSE))</f>
        <v>#REF!</v>
      </c>
      <c r="I590" s="25"/>
      <c r="J590" s="25"/>
      <c r="K590" s="25"/>
      <c r="L590" s="25"/>
      <c r="M590" s="25"/>
      <c r="N590" s="25"/>
      <c r="O590" s="33">
        <f t="shared" si="19"/>
        <v>0</v>
      </c>
      <c r="P590" s="25"/>
      <c r="Q590" s="25">
        <v>0</v>
      </c>
      <c r="R590" s="25"/>
      <c r="S590" s="25"/>
      <c r="T590" s="25">
        <v>13</v>
      </c>
      <c r="U590" s="25"/>
      <c r="V590" s="39"/>
      <c r="W590" s="25"/>
      <c r="X590" s="33">
        <f t="shared" si="18"/>
        <v>13</v>
      </c>
      <c r="Y590" s="39">
        <v>23200</v>
      </c>
      <c r="Z590" s="25">
        <v>301600</v>
      </c>
      <c r="AA590" s="45"/>
      <c r="AB590" s="45"/>
      <c r="AC590" s="45"/>
      <c r="AD590" s="45"/>
      <c r="AE590" s="45"/>
    </row>
    <row r="591" spans="1:31" s="12" customFormat="1" ht="12">
      <c r="A591" s="27">
        <v>45614</v>
      </c>
      <c r="B591" s="54" t="s">
        <v>10</v>
      </c>
      <c r="C591" s="37" t="s">
        <v>83</v>
      </c>
      <c r="D591" s="34" t="s">
        <v>185</v>
      </c>
      <c r="E591" s="34" t="e">
        <f>IF(B591="","",VLOOKUP($B591,#REF!,4,FALSE))</f>
        <v>#REF!</v>
      </c>
      <c r="F591" s="34" t="e">
        <f>IF(E591="","",VLOOKUP($B591,#REF!,5,FALSE))</f>
        <v>#REF!</v>
      </c>
      <c r="G591" s="34" t="e">
        <f>IF(F591="","",VLOOKUP($B591,#REF!,6,FALSE))</f>
        <v>#REF!</v>
      </c>
      <c r="H591" s="34" t="e">
        <f>IF(G591="","",VLOOKUP($B591,#REF!,7,FALSE))</f>
        <v>#REF!</v>
      </c>
      <c r="I591" s="25"/>
      <c r="J591" s="25"/>
      <c r="K591" s="25"/>
      <c r="L591" s="25"/>
      <c r="M591" s="25"/>
      <c r="N591" s="25"/>
      <c r="O591" s="33">
        <f t="shared" si="19"/>
        <v>0</v>
      </c>
      <c r="P591" s="25"/>
      <c r="Q591" s="25">
        <v>0</v>
      </c>
      <c r="R591" s="25"/>
      <c r="S591" s="25"/>
      <c r="T591" s="25">
        <v>2</v>
      </c>
      <c r="U591" s="25"/>
      <c r="V591" s="39"/>
      <c r="W591" s="25"/>
      <c r="X591" s="33">
        <f t="shared" si="18"/>
        <v>2</v>
      </c>
      <c r="Y591" s="25"/>
      <c r="Z591" s="25">
        <v>0</v>
      </c>
      <c r="AA591" s="45"/>
      <c r="AB591" s="45"/>
      <c r="AC591" s="45"/>
      <c r="AD591" s="45"/>
      <c r="AE591" s="45"/>
    </row>
    <row r="592" spans="1:31" s="12" customFormat="1" ht="12">
      <c r="A592" s="27">
        <v>45614</v>
      </c>
      <c r="B592" s="54" t="s">
        <v>161</v>
      </c>
      <c r="C592" s="37" t="s">
        <v>83</v>
      </c>
      <c r="D592" s="34" t="s">
        <v>185</v>
      </c>
      <c r="E592" s="34" t="e">
        <f>IF(B592="","",VLOOKUP($B592,#REF!,4,FALSE))</f>
        <v>#REF!</v>
      </c>
      <c r="F592" s="34" t="e">
        <f>IF(E592="","",VLOOKUP($B592,#REF!,5,FALSE))</f>
        <v>#REF!</v>
      </c>
      <c r="G592" s="34" t="e">
        <f>IF(F592="","",VLOOKUP($B592,#REF!,6,FALSE))</f>
        <v>#REF!</v>
      </c>
      <c r="H592" s="34" t="e">
        <f>IF(G592="","",VLOOKUP($B592,#REF!,7,FALSE))</f>
        <v>#REF!</v>
      </c>
      <c r="I592" s="25"/>
      <c r="J592" s="25"/>
      <c r="K592" s="25">
        <v>2</v>
      </c>
      <c r="L592" s="25"/>
      <c r="M592" s="25"/>
      <c r="N592" s="25"/>
      <c r="O592" s="33">
        <f t="shared" si="19"/>
        <v>2</v>
      </c>
      <c r="P592" s="25"/>
      <c r="Q592" s="25">
        <v>0</v>
      </c>
      <c r="R592" s="25"/>
      <c r="S592" s="25"/>
      <c r="T592" s="25">
        <v>2</v>
      </c>
      <c r="U592" s="25"/>
      <c r="V592" s="39"/>
      <c r="W592" s="25"/>
      <c r="X592" s="33">
        <f t="shared" si="18"/>
        <v>2</v>
      </c>
      <c r="Y592" s="39">
        <v>44280</v>
      </c>
      <c r="Z592" s="25">
        <v>88560</v>
      </c>
      <c r="AA592" s="45"/>
      <c r="AB592" s="45"/>
      <c r="AC592" s="45"/>
      <c r="AD592" s="45"/>
      <c r="AE592" s="45"/>
    </row>
    <row r="593" spans="1:31" s="12" customFormat="1" ht="12">
      <c r="A593" s="27">
        <v>45614</v>
      </c>
      <c r="B593" s="53" t="s">
        <v>10</v>
      </c>
      <c r="C593" s="37" t="s">
        <v>83</v>
      </c>
      <c r="D593" s="34" t="s">
        <v>185</v>
      </c>
      <c r="E593" s="34" t="e">
        <f>IF(B593="","",VLOOKUP($B593,#REF!,4,FALSE))</f>
        <v>#REF!</v>
      </c>
      <c r="F593" s="34" t="e">
        <f>IF(E593="","",VLOOKUP($B593,#REF!,5,FALSE))</f>
        <v>#REF!</v>
      </c>
      <c r="G593" s="34" t="e">
        <f>IF(F593="","",VLOOKUP($B593,#REF!,6,FALSE))</f>
        <v>#REF!</v>
      </c>
      <c r="H593" s="34" t="e">
        <f>IF(G593="","",VLOOKUP($B593,#REF!,7,FALSE))</f>
        <v>#REF!</v>
      </c>
      <c r="I593" s="25"/>
      <c r="J593" s="25"/>
      <c r="K593" s="25"/>
      <c r="L593" s="25"/>
      <c r="M593" s="25"/>
      <c r="N593" s="25"/>
      <c r="O593" s="33">
        <f t="shared" si="19"/>
        <v>0</v>
      </c>
      <c r="P593" s="25"/>
      <c r="Q593" s="25">
        <v>0</v>
      </c>
      <c r="R593" s="25"/>
      <c r="S593" s="25"/>
      <c r="T593" s="25">
        <v>1</v>
      </c>
      <c r="U593" s="25"/>
      <c r="V593" s="39"/>
      <c r="W593" s="25"/>
      <c r="X593" s="33">
        <f t="shared" si="18"/>
        <v>1</v>
      </c>
      <c r="Y593" s="39"/>
      <c r="Z593" s="25">
        <v>0</v>
      </c>
      <c r="AA593" s="45"/>
      <c r="AB593" s="45"/>
      <c r="AC593" s="45"/>
      <c r="AD593" s="45"/>
      <c r="AE593" s="45"/>
    </row>
    <row r="594" spans="1:31" s="12" customFormat="1" ht="12">
      <c r="A594" s="27">
        <v>45614</v>
      </c>
      <c r="B594" s="53" t="s">
        <v>46</v>
      </c>
      <c r="C594" s="37" t="s">
        <v>136</v>
      </c>
      <c r="D594" s="34" t="s">
        <v>177</v>
      </c>
      <c r="E594" s="34" t="e">
        <f>IF(B594="","",VLOOKUP($B594,#REF!,4,FALSE))</f>
        <v>#REF!</v>
      </c>
      <c r="F594" s="34" t="e">
        <f>IF(E594="","",VLOOKUP($B594,#REF!,5,FALSE))</f>
        <v>#REF!</v>
      </c>
      <c r="G594" s="34" t="e">
        <f>IF(F594="","",VLOOKUP($B594,#REF!,6,FALSE))</f>
        <v>#REF!</v>
      </c>
      <c r="H594" s="34" t="e">
        <f>IF(G594="","",VLOOKUP($B594,#REF!,7,FALSE))</f>
        <v>#REF!</v>
      </c>
      <c r="I594" s="25"/>
      <c r="J594" s="25"/>
      <c r="K594" s="25">
        <v>1</v>
      </c>
      <c r="L594" s="25"/>
      <c r="M594" s="25"/>
      <c r="N594" s="25"/>
      <c r="O594" s="33">
        <f t="shared" si="19"/>
        <v>1</v>
      </c>
      <c r="P594" s="25"/>
      <c r="Q594" s="25">
        <v>0</v>
      </c>
      <c r="R594" s="25"/>
      <c r="S594" s="25"/>
      <c r="T594" s="25">
        <v>1</v>
      </c>
      <c r="U594" s="25"/>
      <c r="V594" s="39"/>
      <c r="W594" s="25"/>
      <c r="X594" s="33">
        <f t="shared" si="18"/>
        <v>1</v>
      </c>
      <c r="Y594" s="39">
        <v>56400</v>
      </c>
      <c r="Z594" s="25">
        <v>56400</v>
      </c>
      <c r="AA594" s="45" t="s">
        <v>136</v>
      </c>
      <c r="AB594" s="45" t="s">
        <v>177</v>
      </c>
      <c r="AC594" s="45"/>
      <c r="AD594" s="45"/>
      <c r="AE594" s="45"/>
    </row>
    <row r="595" spans="1:31" s="12" customFormat="1" ht="12">
      <c r="A595" s="27">
        <v>45614</v>
      </c>
      <c r="B595" s="53" t="s">
        <v>163</v>
      </c>
      <c r="C595" s="37" t="s">
        <v>136</v>
      </c>
      <c r="D595" s="34" t="s">
        <v>177</v>
      </c>
      <c r="E595" s="34" t="e">
        <f>IF(B595="","",VLOOKUP($B595,#REF!,4,FALSE))</f>
        <v>#REF!</v>
      </c>
      <c r="F595" s="34" t="e">
        <f>IF(E595="","",VLOOKUP($B595,#REF!,5,FALSE))</f>
        <v>#REF!</v>
      </c>
      <c r="G595" s="34" t="e">
        <f>IF(F595="","",VLOOKUP($B595,#REF!,6,FALSE))</f>
        <v>#REF!</v>
      </c>
      <c r="H595" s="34" t="e">
        <f>IF(G595="","",VLOOKUP($B595,#REF!,7,FALSE))</f>
        <v>#REF!</v>
      </c>
      <c r="I595" s="25"/>
      <c r="J595" s="25"/>
      <c r="K595" s="25"/>
      <c r="L595" s="25"/>
      <c r="M595" s="25"/>
      <c r="N595" s="25"/>
      <c r="O595" s="33">
        <f t="shared" si="19"/>
        <v>0</v>
      </c>
      <c r="P595" s="25"/>
      <c r="Q595" s="25">
        <v>0</v>
      </c>
      <c r="R595" s="25"/>
      <c r="S595" s="25"/>
      <c r="T595" s="25">
        <v>1</v>
      </c>
      <c r="U595" s="25"/>
      <c r="V595" s="39"/>
      <c r="W595" s="25"/>
      <c r="X595" s="33">
        <f t="shared" si="18"/>
        <v>1</v>
      </c>
      <c r="Y595" s="39">
        <v>46400</v>
      </c>
      <c r="Z595" s="25">
        <v>46400</v>
      </c>
      <c r="AA595" s="45" t="s">
        <v>136</v>
      </c>
      <c r="AB595" s="45" t="s">
        <v>177</v>
      </c>
      <c r="AC595" s="45"/>
      <c r="AD595" s="45"/>
      <c r="AE595" s="45"/>
    </row>
    <row r="596" spans="1:31" s="12" customFormat="1" ht="12">
      <c r="A596" s="27">
        <v>45614</v>
      </c>
      <c r="B596" s="53" t="s">
        <v>11</v>
      </c>
      <c r="C596" s="37" t="s">
        <v>136</v>
      </c>
      <c r="D596" s="34" t="s">
        <v>177</v>
      </c>
      <c r="E596" s="34" t="e">
        <f>IF(B596="","",VLOOKUP($B596,#REF!,4,FALSE))</f>
        <v>#REF!</v>
      </c>
      <c r="F596" s="34" t="e">
        <f>IF(E596="","",VLOOKUP($B596,#REF!,5,FALSE))</f>
        <v>#REF!</v>
      </c>
      <c r="G596" s="34" t="e">
        <f>IF(F596="","",VLOOKUP($B596,#REF!,6,FALSE))</f>
        <v>#REF!</v>
      </c>
      <c r="H596" s="34" t="e">
        <f>IF(G596="","",VLOOKUP($B596,#REF!,7,FALSE))</f>
        <v>#REF!</v>
      </c>
      <c r="I596" s="25"/>
      <c r="J596" s="25"/>
      <c r="K596" s="25"/>
      <c r="L596" s="25"/>
      <c r="M596" s="25"/>
      <c r="N596" s="25"/>
      <c r="O596" s="33">
        <f t="shared" si="19"/>
        <v>0</v>
      </c>
      <c r="P596" s="25"/>
      <c r="Q596" s="25">
        <v>0</v>
      </c>
      <c r="R596" s="25"/>
      <c r="S596" s="25"/>
      <c r="T596" s="25">
        <v>2</v>
      </c>
      <c r="U596" s="25"/>
      <c r="V596" s="39"/>
      <c r="W596" s="25"/>
      <c r="X596" s="33">
        <f t="shared" si="18"/>
        <v>2</v>
      </c>
      <c r="Y596" s="39">
        <v>44000</v>
      </c>
      <c r="Z596" s="25">
        <v>88000</v>
      </c>
      <c r="AA596" s="45" t="s">
        <v>136</v>
      </c>
      <c r="AB596" s="45" t="s">
        <v>177</v>
      </c>
      <c r="AC596" s="45"/>
      <c r="AD596" s="45"/>
      <c r="AE596" s="45"/>
    </row>
    <row r="597" spans="1:31" s="12" customFormat="1" ht="12">
      <c r="A597" s="27">
        <v>45614</v>
      </c>
      <c r="B597" s="53" t="s">
        <v>15</v>
      </c>
      <c r="C597" s="37" t="s">
        <v>83</v>
      </c>
      <c r="D597" s="34" t="s">
        <v>185</v>
      </c>
      <c r="E597" s="34" t="e">
        <f>IF(B597="","",VLOOKUP($B597,#REF!,4,FALSE))</f>
        <v>#REF!</v>
      </c>
      <c r="F597" s="34" t="e">
        <f>IF(E597="","",VLOOKUP($B597,#REF!,5,FALSE))</f>
        <v>#REF!</v>
      </c>
      <c r="G597" s="34" t="e">
        <f>IF(F597="","",VLOOKUP($B597,#REF!,6,FALSE))</f>
        <v>#REF!</v>
      </c>
      <c r="H597" s="34" t="e">
        <f>IF(G597="","",VLOOKUP($B597,#REF!,7,FALSE))</f>
        <v>#REF!</v>
      </c>
      <c r="I597" s="25"/>
      <c r="J597" s="25"/>
      <c r="K597" s="25"/>
      <c r="L597" s="25"/>
      <c r="M597" s="25"/>
      <c r="N597" s="25"/>
      <c r="O597" s="33">
        <f t="shared" si="19"/>
        <v>0</v>
      </c>
      <c r="P597" s="25"/>
      <c r="Q597" s="25">
        <v>0</v>
      </c>
      <c r="R597" s="25"/>
      <c r="S597" s="25"/>
      <c r="T597" s="25">
        <v>1</v>
      </c>
      <c r="U597" s="25"/>
      <c r="V597" s="39"/>
      <c r="W597" s="25"/>
      <c r="X597" s="33">
        <f t="shared" si="18"/>
        <v>1</v>
      </c>
      <c r="Y597" s="39"/>
      <c r="Z597" s="25">
        <v>0</v>
      </c>
      <c r="AA597" s="45"/>
      <c r="AB597" s="45"/>
      <c r="AC597" s="45"/>
      <c r="AD597" s="45"/>
      <c r="AE597" s="45"/>
    </row>
    <row r="598" spans="1:31" s="12" customFormat="1" ht="12">
      <c r="A598" s="27">
        <v>45614</v>
      </c>
      <c r="B598" s="53" t="s">
        <v>196</v>
      </c>
      <c r="C598" s="37" t="s">
        <v>136</v>
      </c>
      <c r="D598" s="34" t="s">
        <v>178</v>
      </c>
      <c r="E598" s="34" t="e">
        <f>IF(B598="","",VLOOKUP($B598,#REF!,4,FALSE))</f>
        <v>#REF!</v>
      </c>
      <c r="F598" s="34" t="e">
        <f>IF(E598="","",VLOOKUP($B598,#REF!,5,FALSE))</f>
        <v>#REF!</v>
      </c>
      <c r="G598" s="34" t="e">
        <f>IF(F598="","",VLOOKUP($B598,#REF!,6,FALSE))</f>
        <v>#REF!</v>
      </c>
      <c r="H598" s="34" t="e">
        <f>IF(G598="","",VLOOKUP($B598,#REF!,7,FALSE))</f>
        <v>#REF!</v>
      </c>
      <c r="I598" s="25"/>
      <c r="J598" s="25"/>
      <c r="K598" s="25">
        <v>1</v>
      </c>
      <c r="L598" s="25"/>
      <c r="M598" s="25"/>
      <c r="N598" s="25"/>
      <c r="O598" s="33">
        <f t="shared" si="19"/>
        <v>1</v>
      </c>
      <c r="P598" s="25"/>
      <c r="Q598" s="25">
        <v>0</v>
      </c>
      <c r="R598" s="25"/>
      <c r="S598" s="25"/>
      <c r="T598" s="25">
        <v>1</v>
      </c>
      <c r="U598" s="25"/>
      <c r="V598" s="39"/>
      <c r="W598" s="25"/>
      <c r="X598" s="33">
        <f t="shared" si="18"/>
        <v>1</v>
      </c>
      <c r="Y598" s="39">
        <v>48240</v>
      </c>
      <c r="Z598" s="25">
        <v>48240</v>
      </c>
      <c r="AA598" s="45" t="s">
        <v>136</v>
      </c>
      <c r="AB598" s="45" t="s">
        <v>178</v>
      </c>
      <c r="AC598" s="45"/>
      <c r="AD598" s="45"/>
      <c r="AE598" s="45"/>
    </row>
    <row r="599" spans="1:31" s="12" customFormat="1" ht="12">
      <c r="A599" s="27">
        <v>45614</v>
      </c>
      <c r="B599" s="53" t="s">
        <v>163</v>
      </c>
      <c r="C599" s="37" t="s">
        <v>136</v>
      </c>
      <c r="D599" s="34" t="s">
        <v>178</v>
      </c>
      <c r="E599" s="34" t="e">
        <f>IF(B599="","",VLOOKUP($B599,#REF!,4,FALSE))</f>
        <v>#REF!</v>
      </c>
      <c r="F599" s="34" t="e">
        <f>IF(E599="","",VLOOKUP($B599,#REF!,5,FALSE))</f>
        <v>#REF!</v>
      </c>
      <c r="G599" s="34" t="e">
        <f>IF(F599="","",VLOOKUP($B599,#REF!,6,FALSE))</f>
        <v>#REF!</v>
      </c>
      <c r="H599" s="34" t="e">
        <f>IF(G599="","",VLOOKUP($B599,#REF!,7,FALSE))</f>
        <v>#REF!</v>
      </c>
      <c r="I599" s="25"/>
      <c r="J599" s="25"/>
      <c r="K599" s="25"/>
      <c r="L599" s="25"/>
      <c r="M599" s="25"/>
      <c r="N599" s="25"/>
      <c r="O599" s="33">
        <f t="shared" si="19"/>
        <v>0</v>
      </c>
      <c r="P599" s="25"/>
      <c r="Q599" s="25">
        <v>0</v>
      </c>
      <c r="R599" s="25"/>
      <c r="S599" s="25"/>
      <c r="T599" s="25">
        <v>2</v>
      </c>
      <c r="U599" s="25"/>
      <c r="V599" s="39"/>
      <c r="W599" s="25"/>
      <c r="X599" s="33">
        <f t="shared" si="18"/>
        <v>2</v>
      </c>
      <c r="Y599" s="39">
        <v>46400</v>
      </c>
      <c r="Z599" s="25">
        <v>92800</v>
      </c>
      <c r="AA599" s="45" t="s">
        <v>136</v>
      </c>
      <c r="AB599" s="45" t="s">
        <v>178</v>
      </c>
      <c r="AC599" s="45"/>
      <c r="AD599" s="45"/>
      <c r="AE599" s="45"/>
    </row>
    <row r="600" spans="1:31" s="12" customFormat="1" ht="12">
      <c r="A600" s="27">
        <v>45614</v>
      </c>
      <c r="B600" s="73" t="s">
        <v>11</v>
      </c>
      <c r="C600" s="37" t="s">
        <v>136</v>
      </c>
      <c r="D600" s="34" t="s">
        <v>178</v>
      </c>
      <c r="E600" s="34" t="e">
        <f>IF(B600="","",VLOOKUP($B600,#REF!,4,FALSE))</f>
        <v>#REF!</v>
      </c>
      <c r="F600" s="34" t="e">
        <f>IF(E600="","",VLOOKUP($B600,#REF!,5,FALSE))</f>
        <v>#REF!</v>
      </c>
      <c r="G600" s="34" t="e">
        <f>IF(F600="","",VLOOKUP($B600,#REF!,6,FALSE))</f>
        <v>#REF!</v>
      </c>
      <c r="H600" s="34" t="e">
        <f>IF(G600="","",VLOOKUP($B600,#REF!,7,FALSE))</f>
        <v>#REF!</v>
      </c>
      <c r="I600" s="25"/>
      <c r="J600" s="25"/>
      <c r="K600" s="25"/>
      <c r="L600" s="25"/>
      <c r="M600" s="25"/>
      <c r="N600" s="25"/>
      <c r="O600" s="33">
        <f t="shared" si="19"/>
        <v>0</v>
      </c>
      <c r="P600" s="25"/>
      <c r="Q600" s="25">
        <v>0</v>
      </c>
      <c r="R600" s="25"/>
      <c r="S600" s="25"/>
      <c r="T600" s="25">
        <v>1</v>
      </c>
      <c r="U600" s="25"/>
      <c r="V600" s="39"/>
      <c r="W600" s="25"/>
      <c r="X600" s="33">
        <f t="shared" si="18"/>
        <v>1</v>
      </c>
      <c r="Y600" s="39">
        <v>44000</v>
      </c>
      <c r="Z600" s="25">
        <v>44000</v>
      </c>
      <c r="AA600" s="45" t="s">
        <v>136</v>
      </c>
      <c r="AB600" s="45" t="s">
        <v>178</v>
      </c>
      <c r="AC600" s="45"/>
      <c r="AD600" s="45"/>
      <c r="AE600" s="45"/>
    </row>
    <row r="601" spans="1:31" s="12" customFormat="1" ht="12">
      <c r="A601" s="27">
        <v>45614</v>
      </c>
      <c r="B601" s="53" t="s">
        <v>163</v>
      </c>
      <c r="C601" s="37" t="s">
        <v>135</v>
      </c>
      <c r="D601" s="34" t="s">
        <v>179</v>
      </c>
      <c r="E601" s="34" t="e">
        <f>IF(B601="","",VLOOKUP($B601,#REF!,4,FALSE))</f>
        <v>#REF!</v>
      </c>
      <c r="F601" s="34" t="e">
        <f>IF(E601="","",VLOOKUP($B601,#REF!,5,FALSE))</f>
        <v>#REF!</v>
      </c>
      <c r="G601" s="34" t="e">
        <f>IF(F601="","",VLOOKUP($B601,#REF!,6,FALSE))</f>
        <v>#REF!</v>
      </c>
      <c r="H601" s="34" t="e">
        <f>IF(G601="","",VLOOKUP($B601,#REF!,7,FALSE))</f>
        <v>#REF!</v>
      </c>
      <c r="I601" s="25"/>
      <c r="J601" s="25"/>
      <c r="K601" s="25"/>
      <c r="L601" s="25"/>
      <c r="M601" s="25"/>
      <c r="N601" s="25"/>
      <c r="O601" s="33">
        <f t="shared" si="19"/>
        <v>0</v>
      </c>
      <c r="P601" s="25"/>
      <c r="Q601" s="25">
        <v>0</v>
      </c>
      <c r="R601" s="25"/>
      <c r="S601" s="25"/>
      <c r="T601" s="25">
        <v>4</v>
      </c>
      <c r="U601" s="25"/>
      <c r="V601" s="39"/>
      <c r="W601" s="25"/>
      <c r="X601" s="33">
        <f t="shared" si="18"/>
        <v>4</v>
      </c>
      <c r="Y601" s="39">
        <v>46400</v>
      </c>
      <c r="Z601" s="25">
        <v>185600</v>
      </c>
      <c r="AA601" s="45" t="s">
        <v>135</v>
      </c>
      <c r="AB601" s="45" t="s">
        <v>179</v>
      </c>
      <c r="AC601" s="45"/>
      <c r="AD601" s="45"/>
      <c r="AE601" s="45"/>
    </row>
    <row r="602" spans="1:31" s="12" customFormat="1" ht="12">
      <c r="A602" s="27">
        <v>45614</v>
      </c>
      <c r="B602" s="53" t="s">
        <v>11</v>
      </c>
      <c r="C602" s="37" t="s">
        <v>135</v>
      </c>
      <c r="D602" s="34" t="s">
        <v>179</v>
      </c>
      <c r="E602" s="34" t="e">
        <f>IF(B602="","",VLOOKUP($B602,#REF!,4,FALSE))</f>
        <v>#REF!</v>
      </c>
      <c r="F602" s="34" t="e">
        <f>IF(E602="","",VLOOKUP($B602,#REF!,5,FALSE))</f>
        <v>#REF!</v>
      </c>
      <c r="G602" s="34" t="e">
        <f>IF(F602="","",VLOOKUP($B602,#REF!,6,FALSE))</f>
        <v>#REF!</v>
      </c>
      <c r="H602" s="34" t="e">
        <f>IF(G602="","",VLOOKUP($B602,#REF!,7,FALSE))</f>
        <v>#REF!</v>
      </c>
      <c r="I602" s="25"/>
      <c r="J602" s="25"/>
      <c r="K602" s="25"/>
      <c r="L602" s="25"/>
      <c r="M602" s="25"/>
      <c r="N602" s="25"/>
      <c r="O602" s="33">
        <f t="shared" si="19"/>
        <v>0</v>
      </c>
      <c r="P602" s="25"/>
      <c r="Q602" s="25">
        <v>0</v>
      </c>
      <c r="R602" s="25"/>
      <c r="S602" s="25"/>
      <c r="T602" s="25">
        <v>1</v>
      </c>
      <c r="U602" s="25"/>
      <c r="V602" s="39"/>
      <c r="W602" s="25"/>
      <c r="X602" s="33">
        <f t="shared" si="18"/>
        <v>1</v>
      </c>
      <c r="Y602" s="39">
        <v>44000</v>
      </c>
      <c r="Z602" s="25">
        <v>44000</v>
      </c>
      <c r="AA602" s="45" t="s">
        <v>135</v>
      </c>
      <c r="AB602" s="45" t="s">
        <v>179</v>
      </c>
      <c r="AC602" s="45"/>
      <c r="AD602" s="45"/>
      <c r="AE602" s="45"/>
    </row>
    <row r="603" spans="1:31" s="12" customFormat="1" ht="12">
      <c r="A603" s="27">
        <v>45614</v>
      </c>
      <c r="B603" s="53" t="s">
        <v>57</v>
      </c>
      <c r="C603" s="37" t="s">
        <v>82</v>
      </c>
      <c r="D603" s="34" t="s">
        <v>186</v>
      </c>
      <c r="E603" s="34" t="e">
        <f>IF(B603="","",VLOOKUP($B603,#REF!,4,FALSE))</f>
        <v>#REF!</v>
      </c>
      <c r="F603" s="34" t="e">
        <f>IF(E603="","",VLOOKUP($B603,#REF!,5,FALSE))</f>
        <v>#REF!</v>
      </c>
      <c r="G603" s="34" t="e">
        <f>IF(F603="","",VLOOKUP($B603,#REF!,6,FALSE))</f>
        <v>#REF!</v>
      </c>
      <c r="H603" s="34" t="e">
        <f>IF(G603="","",VLOOKUP($B603,#REF!,7,FALSE))</f>
        <v>#REF!</v>
      </c>
      <c r="I603" s="25"/>
      <c r="J603" s="25"/>
      <c r="K603" s="25"/>
      <c r="L603" s="25"/>
      <c r="M603" s="25"/>
      <c r="N603" s="25"/>
      <c r="O603" s="33">
        <f t="shared" si="19"/>
        <v>0</v>
      </c>
      <c r="P603" s="25"/>
      <c r="Q603" s="25">
        <v>0</v>
      </c>
      <c r="R603" s="25"/>
      <c r="S603" s="25"/>
      <c r="T603" s="25"/>
      <c r="U603" s="25">
        <v>8</v>
      </c>
      <c r="V603" s="39"/>
      <c r="W603" s="25"/>
      <c r="X603" s="33">
        <f t="shared" si="18"/>
        <v>8</v>
      </c>
      <c r="Y603" s="39"/>
      <c r="Z603" s="25">
        <v>0</v>
      </c>
      <c r="AA603" s="45"/>
      <c r="AB603" s="45"/>
      <c r="AC603" s="45"/>
      <c r="AD603" s="45"/>
      <c r="AE603" s="45"/>
    </row>
    <row r="604" spans="1:31" s="12" customFormat="1" ht="12">
      <c r="A604" s="27">
        <v>45614</v>
      </c>
      <c r="B604" s="53" t="s">
        <v>66</v>
      </c>
      <c r="C604" s="37" t="s">
        <v>84</v>
      </c>
      <c r="D604" s="34" t="s">
        <v>184</v>
      </c>
      <c r="E604" s="34" t="e">
        <f>IF(B604="","",VLOOKUP($B604,#REF!,4,FALSE))</f>
        <v>#REF!</v>
      </c>
      <c r="F604" s="34" t="e">
        <f>IF(E604="","",VLOOKUP($B604,#REF!,5,FALSE))</f>
        <v>#REF!</v>
      </c>
      <c r="G604" s="34" t="e">
        <f>IF(F604="","",VLOOKUP($B604,#REF!,6,FALSE))</f>
        <v>#REF!</v>
      </c>
      <c r="H604" s="34" t="e">
        <f>IF(G604="","",VLOOKUP($B604,#REF!,7,FALSE))</f>
        <v>#REF!</v>
      </c>
      <c r="I604" s="25"/>
      <c r="J604" s="25"/>
      <c r="K604" s="25">
        <v>2</v>
      </c>
      <c r="L604" s="25"/>
      <c r="M604" s="25"/>
      <c r="N604" s="25"/>
      <c r="O604" s="33">
        <f t="shared" si="19"/>
        <v>2</v>
      </c>
      <c r="P604" s="25"/>
      <c r="Q604" s="25">
        <v>0</v>
      </c>
      <c r="R604" s="25"/>
      <c r="S604" s="25"/>
      <c r="T604" s="25">
        <v>2</v>
      </c>
      <c r="U604" s="25"/>
      <c r="V604" s="39"/>
      <c r="W604" s="25"/>
      <c r="X604" s="33">
        <f t="shared" si="18"/>
        <v>2</v>
      </c>
      <c r="Y604" s="39">
        <v>116452</v>
      </c>
      <c r="Z604" s="25">
        <v>232909</v>
      </c>
      <c r="AA604" s="45" t="s">
        <v>276</v>
      </c>
      <c r="AB604" s="45"/>
      <c r="AC604" s="45"/>
      <c r="AD604" s="45"/>
      <c r="AE604" s="45"/>
    </row>
    <row r="605" spans="1:31" s="12" customFormat="1" ht="12">
      <c r="A605" s="27">
        <v>45614</v>
      </c>
      <c r="B605" s="53" t="s">
        <v>163</v>
      </c>
      <c r="C605" s="37">
        <v>0</v>
      </c>
      <c r="D605" s="34" t="s">
        <v>183</v>
      </c>
      <c r="E605" s="34" t="e">
        <f>IF(B605="","",VLOOKUP($B605,#REF!,4,FALSE))</f>
        <v>#REF!</v>
      </c>
      <c r="F605" s="34" t="e">
        <f>IF(E605="","",VLOOKUP($B605,#REF!,5,FALSE))</f>
        <v>#REF!</v>
      </c>
      <c r="G605" s="34" t="e">
        <f>IF(F605="","",VLOOKUP($B605,#REF!,6,FALSE))</f>
        <v>#REF!</v>
      </c>
      <c r="H605" s="34" t="e">
        <f>IF(G605="","",VLOOKUP($B605,#REF!,7,FALSE))</f>
        <v>#REF!</v>
      </c>
      <c r="I605" s="25"/>
      <c r="J605" s="25"/>
      <c r="K605" s="25"/>
      <c r="L605" s="25"/>
      <c r="M605" s="25"/>
      <c r="N605" s="25"/>
      <c r="O605" s="33">
        <f t="shared" si="19"/>
        <v>0</v>
      </c>
      <c r="P605" s="25"/>
      <c r="Q605" s="25">
        <v>0</v>
      </c>
      <c r="R605" s="25"/>
      <c r="S605" s="25"/>
      <c r="T605" s="25">
        <v>7</v>
      </c>
      <c r="U605" s="25"/>
      <c r="V605" s="39"/>
      <c r="W605" s="25"/>
      <c r="X605" s="33">
        <f t="shared" si="18"/>
        <v>7</v>
      </c>
      <c r="Y605" s="39"/>
      <c r="Z605" s="25">
        <v>0</v>
      </c>
      <c r="AA605" s="45"/>
      <c r="AB605" s="45"/>
      <c r="AC605" s="45"/>
      <c r="AD605" s="45"/>
      <c r="AE605" s="45"/>
    </row>
    <row r="606" spans="1:31" s="12" customFormat="1" ht="12">
      <c r="A606" s="27">
        <v>45614</v>
      </c>
      <c r="B606" s="47" t="s">
        <v>33</v>
      </c>
      <c r="C606" s="37" t="s">
        <v>84</v>
      </c>
      <c r="D606" s="34" t="s">
        <v>184</v>
      </c>
      <c r="E606" s="34" t="e">
        <f>IF(B606="","",VLOOKUP($B606,#REF!,4,FALSE))</f>
        <v>#REF!</v>
      </c>
      <c r="F606" s="34" t="e">
        <f>IF(E606="","",VLOOKUP($B606,#REF!,5,FALSE))</f>
        <v>#REF!</v>
      </c>
      <c r="G606" s="34" t="e">
        <f>IF(F606="","",VLOOKUP($B606,#REF!,6,FALSE))</f>
        <v>#REF!</v>
      </c>
      <c r="H606" s="34" t="e">
        <f>IF(G606="","",VLOOKUP($B606,#REF!,7,FALSE))</f>
        <v>#REF!</v>
      </c>
      <c r="I606" s="25"/>
      <c r="J606" s="25"/>
      <c r="K606" s="25">
        <v>7</v>
      </c>
      <c r="L606" s="25"/>
      <c r="M606" s="25"/>
      <c r="N606" s="25"/>
      <c r="O606" s="33">
        <f t="shared" si="19"/>
        <v>7</v>
      </c>
      <c r="P606" s="25"/>
      <c r="Q606" s="25">
        <v>0</v>
      </c>
      <c r="R606" s="25"/>
      <c r="S606" s="25"/>
      <c r="T606" s="25">
        <v>7</v>
      </c>
      <c r="U606" s="25"/>
      <c r="V606" s="39"/>
      <c r="W606" s="25"/>
      <c r="X606" s="33">
        <f t="shared" si="18"/>
        <v>7</v>
      </c>
      <c r="Y606" s="39">
        <v>51360</v>
      </c>
      <c r="Z606" s="25">
        <v>359545</v>
      </c>
      <c r="AA606" s="45" t="s">
        <v>277</v>
      </c>
      <c r="AB606" s="45"/>
      <c r="AC606" s="45"/>
      <c r="AD606" s="45"/>
      <c r="AE606" s="45"/>
    </row>
    <row r="607" spans="1:31" s="12" customFormat="1" ht="12">
      <c r="A607" s="27">
        <v>45614</v>
      </c>
      <c r="B607" s="53" t="s">
        <v>203</v>
      </c>
      <c r="C607" s="37" t="s">
        <v>82</v>
      </c>
      <c r="D607" s="34" t="s">
        <v>186</v>
      </c>
      <c r="E607" s="34" t="e">
        <f>IF(B607="","",VLOOKUP($B607,#REF!,4,FALSE))</f>
        <v>#REF!</v>
      </c>
      <c r="F607" s="34" t="e">
        <f>IF(E607="","",VLOOKUP($B607,#REF!,5,FALSE))</f>
        <v>#REF!</v>
      </c>
      <c r="G607" s="34" t="e">
        <f>IF(F607="","",VLOOKUP($B607,#REF!,6,FALSE))</f>
        <v>#REF!</v>
      </c>
      <c r="H607" s="34" t="e">
        <f>IF(G607="","",VLOOKUP($B607,#REF!,7,FALSE))</f>
        <v>#REF!</v>
      </c>
      <c r="I607" s="25"/>
      <c r="J607" s="25"/>
      <c r="K607" s="25"/>
      <c r="L607" s="25"/>
      <c r="M607" s="25"/>
      <c r="N607" s="25"/>
      <c r="O607" s="33">
        <f t="shared" si="19"/>
        <v>0</v>
      </c>
      <c r="P607" s="25"/>
      <c r="Q607" s="25">
        <v>0</v>
      </c>
      <c r="R607" s="25"/>
      <c r="S607" s="25"/>
      <c r="T607" s="25">
        <v>1</v>
      </c>
      <c r="U607" s="25"/>
      <c r="V607" s="39"/>
      <c r="W607" s="25"/>
      <c r="X607" s="33">
        <f t="shared" si="18"/>
        <v>1</v>
      </c>
      <c r="Y607" s="44"/>
      <c r="Z607" s="25">
        <v>0</v>
      </c>
      <c r="AA607" s="45"/>
      <c r="AB607" s="45"/>
      <c r="AC607" s="45"/>
      <c r="AD607" s="45"/>
      <c r="AE607" s="45"/>
    </row>
    <row r="608" spans="1:31" s="12" customFormat="1" ht="12">
      <c r="A608" s="27">
        <v>45614</v>
      </c>
      <c r="B608" s="53" t="s">
        <v>234</v>
      </c>
      <c r="C608" s="37" t="s">
        <v>84</v>
      </c>
      <c r="D608" s="34" t="s">
        <v>184</v>
      </c>
      <c r="E608" s="34" t="e">
        <f>IF(B608="","",VLOOKUP($B608,#REF!,4,FALSE))</f>
        <v>#REF!</v>
      </c>
      <c r="F608" s="34" t="e">
        <f>IF(E608="","",VLOOKUP($B608,#REF!,5,FALSE))</f>
        <v>#REF!</v>
      </c>
      <c r="G608" s="34" t="e">
        <f>IF(F608="","",VLOOKUP($B608,#REF!,6,FALSE))</f>
        <v>#REF!</v>
      </c>
      <c r="H608" s="34" t="e">
        <f>IF(G608="","",VLOOKUP($B608,#REF!,7,FALSE))</f>
        <v>#REF!</v>
      </c>
      <c r="I608" s="25"/>
      <c r="J608" s="25"/>
      <c r="K608" s="25">
        <v>1</v>
      </c>
      <c r="L608" s="25"/>
      <c r="M608" s="25"/>
      <c r="N608" s="25"/>
      <c r="O608" s="33">
        <f t="shared" si="19"/>
        <v>1</v>
      </c>
      <c r="P608" s="25"/>
      <c r="Q608" s="25">
        <v>0</v>
      </c>
      <c r="R608" s="25"/>
      <c r="S608" s="25"/>
      <c r="T608" s="25">
        <v>1</v>
      </c>
      <c r="U608" s="25"/>
      <c r="V608" s="39"/>
      <c r="W608" s="25"/>
      <c r="X608" s="33">
        <f t="shared" si="18"/>
        <v>1</v>
      </c>
      <c r="Y608" s="39">
        <v>316000</v>
      </c>
      <c r="Z608" s="25">
        <v>316000</v>
      </c>
      <c r="AA608" s="45" t="s">
        <v>277</v>
      </c>
      <c r="AB608" s="45"/>
      <c r="AC608" s="45"/>
      <c r="AD608" s="45"/>
      <c r="AE608" s="45"/>
    </row>
    <row r="609" spans="1:31" s="12" customFormat="1" ht="12">
      <c r="A609" s="27">
        <v>45614</v>
      </c>
      <c r="B609" s="53" t="s">
        <v>66</v>
      </c>
      <c r="C609" s="37" t="s">
        <v>84</v>
      </c>
      <c r="D609" s="34" t="s">
        <v>184</v>
      </c>
      <c r="E609" s="34" t="e">
        <f>IF(B609="","",VLOOKUP($B609,#REF!,4,FALSE))</f>
        <v>#REF!</v>
      </c>
      <c r="F609" s="34" t="e">
        <f>IF(E609="","",VLOOKUP($B609,#REF!,5,FALSE))</f>
        <v>#REF!</v>
      </c>
      <c r="G609" s="34" t="e">
        <f>IF(F609="","",VLOOKUP($B609,#REF!,6,FALSE))</f>
        <v>#REF!</v>
      </c>
      <c r="H609" s="34" t="e">
        <f>IF(G609="","",VLOOKUP($B609,#REF!,7,FALSE))</f>
        <v>#REF!</v>
      </c>
      <c r="I609" s="25"/>
      <c r="J609" s="25"/>
      <c r="K609" s="25">
        <v>1</v>
      </c>
      <c r="L609" s="25"/>
      <c r="M609" s="25"/>
      <c r="N609" s="25"/>
      <c r="O609" s="33">
        <f t="shared" si="19"/>
        <v>1</v>
      </c>
      <c r="P609" s="25"/>
      <c r="Q609" s="25">
        <v>0</v>
      </c>
      <c r="R609" s="25"/>
      <c r="S609" s="25"/>
      <c r="T609" s="25">
        <v>1</v>
      </c>
      <c r="U609" s="25"/>
      <c r="V609" s="39"/>
      <c r="W609" s="25"/>
      <c r="X609" s="33">
        <f t="shared" si="18"/>
        <v>1</v>
      </c>
      <c r="Y609" s="39">
        <v>116452</v>
      </c>
      <c r="Z609" s="25">
        <v>116455</v>
      </c>
      <c r="AA609" s="45" t="s">
        <v>277</v>
      </c>
      <c r="AB609" s="45"/>
      <c r="AC609" s="45"/>
      <c r="AD609" s="45"/>
      <c r="AE609" s="45"/>
    </row>
    <row r="610" spans="1:31" s="12" customFormat="1" ht="12">
      <c r="A610" s="27">
        <v>45614</v>
      </c>
      <c r="B610" s="74" t="s">
        <v>15</v>
      </c>
      <c r="C610" s="37" t="s">
        <v>83</v>
      </c>
      <c r="D610" s="34" t="s">
        <v>185</v>
      </c>
      <c r="E610" s="34" t="e">
        <f>IF(B610="","",VLOOKUP($B610,#REF!,4,FALSE))</f>
        <v>#REF!</v>
      </c>
      <c r="F610" s="34" t="e">
        <f>IF(E610="","",VLOOKUP($B610,#REF!,5,FALSE))</f>
        <v>#REF!</v>
      </c>
      <c r="G610" s="34" t="e">
        <f>IF(F610="","",VLOOKUP($B610,#REF!,6,FALSE))</f>
        <v>#REF!</v>
      </c>
      <c r="H610" s="34" t="e">
        <f>IF(G610="","",VLOOKUP($B610,#REF!,7,FALSE))</f>
        <v>#REF!</v>
      </c>
      <c r="I610" s="25"/>
      <c r="J610" s="25"/>
      <c r="K610" s="25"/>
      <c r="L610" s="25"/>
      <c r="M610" s="25"/>
      <c r="N610" s="25"/>
      <c r="O610" s="33">
        <f t="shared" si="19"/>
        <v>0</v>
      </c>
      <c r="P610" s="25"/>
      <c r="Q610" s="25">
        <v>0</v>
      </c>
      <c r="R610" s="25"/>
      <c r="S610" s="25"/>
      <c r="T610" s="25">
        <v>7</v>
      </c>
      <c r="U610" s="25"/>
      <c r="V610" s="39"/>
      <c r="W610" s="25"/>
      <c r="X610" s="33">
        <f t="shared" si="18"/>
        <v>7</v>
      </c>
      <c r="Y610" s="39"/>
      <c r="Z610" s="25">
        <v>0</v>
      </c>
      <c r="AA610" s="45"/>
      <c r="AB610" s="45"/>
      <c r="AC610" s="45"/>
      <c r="AD610" s="45"/>
      <c r="AE610" s="45"/>
    </row>
    <row r="611" spans="1:31" s="12" customFormat="1" ht="12">
      <c r="A611" s="27">
        <v>45614</v>
      </c>
      <c r="B611" s="74" t="s">
        <v>159</v>
      </c>
      <c r="C611" s="37" t="s">
        <v>84</v>
      </c>
      <c r="D611" s="34" t="s">
        <v>184</v>
      </c>
      <c r="E611" s="34" t="e">
        <f>IF(B611="","",VLOOKUP($B611,#REF!,4,FALSE))</f>
        <v>#REF!</v>
      </c>
      <c r="F611" s="34" t="e">
        <f>IF(E611="","",VLOOKUP($B611,#REF!,5,FALSE))</f>
        <v>#REF!</v>
      </c>
      <c r="G611" s="34" t="e">
        <f>IF(F611="","",VLOOKUP($B611,#REF!,6,FALSE))</f>
        <v>#REF!</v>
      </c>
      <c r="H611" s="34" t="e">
        <f>IF(G611="","",VLOOKUP($B611,#REF!,7,FALSE))</f>
        <v>#REF!</v>
      </c>
      <c r="I611" s="25"/>
      <c r="J611" s="25"/>
      <c r="K611" s="25">
        <v>1</v>
      </c>
      <c r="L611" s="25"/>
      <c r="M611" s="25"/>
      <c r="N611" s="25"/>
      <c r="O611" s="33">
        <f t="shared" si="19"/>
        <v>1</v>
      </c>
      <c r="P611" s="25"/>
      <c r="Q611" s="25">
        <v>0</v>
      </c>
      <c r="R611" s="25"/>
      <c r="S611" s="25"/>
      <c r="T611" s="25">
        <v>1</v>
      </c>
      <c r="U611" s="25"/>
      <c r="V611" s="39"/>
      <c r="W611" s="25"/>
      <c r="X611" s="33">
        <f t="shared" si="18"/>
        <v>1</v>
      </c>
      <c r="Y611" s="39">
        <v>69600</v>
      </c>
      <c r="Z611" s="25">
        <v>69600</v>
      </c>
      <c r="AA611" s="45" t="s">
        <v>277</v>
      </c>
      <c r="AB611" s="45"/>
      <c r="AC611" s="45"/>
      <c r="AD611" s="45"/>
      <c r="AE611" s="45"/>
    </row>
    <row r="612" spans="1:31" s="12" customFormat="1" ht="12">
      <c r="A612" s="27">
        <v>45614</v>
      </c>
      <c r="B612" s="74" t="s">
        <v>66</v>
      </c>
      <c r="C612" s="37" t="s">
        <v>84</v>
      </c>
      <c r="D612" s="34" t="s">
        <v>184</v>
      </c>
      <c r="E612" s="34" t="e">
        <f>IF(B612="","",VLOOKUP($B612,#REF!,4,FALSE))</f>
        <v>#REF!</v>
      </c>
      <c r="F612" s="34" t="e">
        <f>IF(E612="","",VLOOKUP($B612,#REF!,5,FALSE))</f>
        <v>#REF!</v>
      </c>
      <c r="G612" s="34" t="e">
        <f>IF(F612="","",VLOOKUP($B612,#REF!,6,FALSE))</f>
        <v>#REF!</v>
      </c>
      <c r="H612" s="34" t="e">
        <f>IF(G612="","",VLOOKUP($B612,#REF!,7,FALSE))</f>
        <v>#REF!</v>
      </c>
      <c r="I612" s="25"/>
      <c r="J612" s="25"/>
      <c r="K612" s="25">
        <v>3</v>
      </c>
      <c r="L612" s="25"/>
      <c r="M612" s="25"/>
      <c r="N612" s="25"/>
      <c r="O612" s="33">
        <f t="shared" si="19"/>
        <v>3</v>
      </c>
      <c r="P612" s="25"/>
      <c r="Q612" s="25">
        <v>0</v>
      </c>
      <c r="R612" s="25"/>
      <c r="S612" s="25"/>
      <c r="T612" s="25">
        <v>3</v>
      </c>
      <c r="U612" s="25"/>
      <c r="V612" s="39"/>
      <c r="W612" s="25"/>
      <c r="X612" s="33">
        <f t="shared" si="18"/>
        <v>3</v>
      </c>
      <c r="Y612" s="39">
        <v>116452</v>
      </c>
      <c r="Z612" s="25">
        <v>349364</v>
      </c>
      <c r="AA612" s="45" t="s">
        <v>276</v>
      </c>
      <c r="AB612" s="45"/>
      <c r="AC612" s="45"/>
      <c r="AD612" s="45"/>
      <c r="AE612" s="45"/>
    </row>
    <row r="613" spans="1:31" s="12" customFormat="1" ht="12">
      <c r="A613" s="27">
        <v>45614</v>
      </c>
      <c r="B613" s="74" t="s">
        <v>159</v>
      </c>
      <c r="C613" s="37" t="s">
        <v>84</v>
      </c>
      <c r="D613" s="34" t="s">
        <v>184</v>
      </c>
      <c r="E613" s="34" t="e">
        <f>IF(B613="","",VLOOKUP($B613,#REF!,4,FALSE))</f>
        <v>#REF!</v>
      </c>
      <c r="F613" s="34" t="e">
        <f>IF(E613="","",VLOOKUP($B613,#REF!,5,FALSE))</f>
        <v>#REF!</v>
      </c>
      <c r="G613" s="34" t="e">
        <f>IF(F613="","",VLOOKUP($B613,#REF!,6,FALSE))</f>
        <v>#REF!</v>
      </c>
      <c r="H613" s="34" t="e">
        <f>IF(G613="","",VLOOKUP($B613,#REF!,7,FALSE))</f>
        <v>#REF!</v>
      </c>
      <c r="I613" s="25"/>
      <c r="J613" s="25"/>
      <c r="K613" s="25">
        <v>1</v>
      </c>
      <c r="L613" s="25"/>
      <c r="M613" s="25"/>
      <c r="N613" s="25"/>
      <c r="O613" s="33">
        <f t="shared" si="19"/>
        <v>1</v>
      </c>
      <c r="P613" s="25"/>
      <c r="Q613" s="25">
        <v>0</v>
      </c>
      <c r="R613" s="25"/>
      <c r="S613" s="25"/>
      <c r="T613" s="25">
        <v>1</v>
      </c>
      <c r="U613" s="25"/>
      <c r="V613" s="39"/>
      <c r="W613" s="25"/>
      <c r="X613" s="33">
        <f t="shared" si="18"/>
        <v>1</v>
      </c>
      <c r="Y613" s="39">
        <v>69600</v>
      </c>
      <c r="Z613" s="25">
        <v>69600</v>
      </c>
      <c r="AA613" s="45" t="s">
        <v>276</v>
      </c>
      <c r="AB613" s="45"/>
      <c r="AC613" s="45"/>
      <c r="AD613" s="45"/>
      <c r="AE613" s="45"/>
    </row>
    <row r="614" spans="1:31" s="12" customFormat="1" ht="12">
      <c r="A614" s="27">
        <v>45614</v>
      </c>
      <c r="B614" s="74" t="s">
        <v>66</v>
      </c>
      <c r="C614" s="37" t="s">
        <v>84</v>
      </c>
      <c r="D614" s="34" t="s">
        <v>184</v>
      </c>
      <c r="E614" s="34" t="e">
        <f>IF(B614="","",VLOOKUP($B614,#REF!,4,FALSE))</f>
        <v>#REF!</v>
      </c>
      <c r="F614" s="34" t="e">
        <f>IF(E614="","",VLOOKUP($B614,#REF!,5,FALSE))</f>
        <v>#REF!</v>
      </c>
      <c r="G614" s="34" t="e">
        <f>IF(F614="","",VLOOKUP($B614,#REF!,6,FALSE))</f>
        <v>#REF!</v>
      </c>
      <c r="H614" s="34" t="e">
        <f>IF(G614="","",VLOOKUP($B614,#REF!,7,FALSE))</f>
        <v>#REF!</v>
      </c>
      <c r="I614" s="25"/>
      <c r="J614" s="25"/>
      <c r="K614" s="25">
        <v>2</v>
      </c>
      <c r="L614" s="25"/>
      <c r="M614" s="25"/>
      <c r="N614" s="25"/>
      <c r="O614" s="33">
        <f t="shared" si="19"/>
        <v>2</v>
      </c>
      <c r="P614" s="25"/>
      <c r="Q614" s="25">
        <v>0</v>
      </c>
      <c r="R614" s="25"/>
      <c r="S614" s="25"/>
      <c r="T614" s="25">
        <v>2</v>
      </c>
      <c r="U614" s="25"/>
      <c r="V614" s="39"/>
      <c r="W614" s="25"/>
      <c r="X614" s="33">
        <f t="shared" si="18"/>
        <v>2</v>
      </c>
      <c r="Y614" s="39">
        <v>116452</v>
      </c>
      <c r="Z614" s="25">
        <v>232909</v>
      </c>
      <c r="AA614" s="45" t="s">
        <v>277</v>
      </c>
      <c r="AB614" s="45"/>
      <c r="AC614" s="45"/>
      <c r="AD614" s="45"/>
      <c r="AE614" s="45"/>
    </row>
    <row r="615" spans="1:31" s="12" customFormat="1" ht="12">
      <c r="A615" s="27">
        <v>45614</v>
      </c>
      <c r="B615" s="74" t="s">
        <v>159</v>
      </c>
      <c r="C615" s="37" t="s">
        <v>84</v>
      </c>
      <c r="D615" s="34" t="s">
        <v>184</v>
      </c>
      <c r="E615" s="34" t="e">
        <f>IF(B615="","",VLOOKUP($B615,#REF!,4,FALSE))</f>
        <v>#REF!</v>
      </c>
      <c r="F615" s="34" t="e">
        <f>IF(E615="","",VLOOKUP($B615,#REF!,5,FALSE))</f>
        <v>#REF!</v>
      </c>
      <c r="G615" s="34" t="e">
        <f>IF(F615="","",VLOOKUP($B615,#REF!,6,FALSE))</f>
        <v>#REF!</v>
      </c>
      <c r="H615" s="34" t="e">
        <f>IF(G615="","",VLOOKUP($B615,#REF!,7,FALSE))</f>
        <v>#REF!</v>
      </c>
      <c r="I615" s="25"/>
      <c r="J615" s="25"/>
      <c r="K615" s="25">
        <v>5</v>
      </c>
      <c r="L615" s="25"/>
      <c r="M615" s="25"/>
      <c r="N615" s="25"/>
      <c r="O615" s="33">
        <f t="shared" si="19"/>
        <v>5</v>
      </c>
      <c r="P615" s="25"/>
      <c r="Q615" s="25">
        <v>0</v>
      </c>
      <c r="R615" s="25"/>
      <c r="S615" s="25"/>
      <c r="T615" s="25">
        <v>5</v>
      </c>
      <c r="U615" s="25"/>
      <c r="V615" s="39"/>
      <c r="W615" s="25"/>
      <c r="X615" s="33">
        <f t="shared" si="18"/>
        <v>5</v>
      </c>
      <c r="Y615" s="39">
        <v>69600</v>
      </c>
      <c r="Z615" s="25">
        <v>348000</v>
      </c>
      <c r="AA615" s="45" t="s">
        <v>277</v>
      </c>
      <c r="AB615" s="45"/>
      <c r="AC615" s="45"/>
      <c r="AD615" s="45"/>
      <c r="AE615" s="45"/>
    </row>
    <row r="616" spans="1:31" s="12" customFormat="1" ht="12">
      <c r="A616" s="27">
        <v>45615</v>
      </c>
      <c r="B616" s="74" t="s">
        <v>15</v>
      </c>
      <c r="C616" s="37" t="s">
        <v>83</v>
      </c>
      <c r="D616" s="34" t="s">
        <v>185</v>
      </c>
      <c r="E616" s="34" t="e">
        <f>IF(B616="","",VLOOKUP($B616,#REF!,4,FALSE))</f>
        <v>#REF!</v>
      </c>
      <c r="F616" s="34" t="e">
        <f>IF(E616="","",VLOOKUP($B616,#REF!,5,FALSE))</f>
        <v>#REF!</v>
      </c>
      <c r="G616" s="34" t="e">
        <f>IF(F616="","",VLOOKUP($B616,#REF!,6,FALSE))</f>
        <v>#REF!</v>
      </c>
      <c r="H616" s="34" t="e">
        <f>IF(G616="","",VLOOKUP($B616,#REF!,7,FALSE))</f>
        <v>#REF!</v>
      </c>
      <c r="I616" s="25"/>
      <c r="J616" s="25"/>
      <c r="K616" s="25"/>
      <c r="L616" s="25"/>
      <c r="M616" s="25"/>
      <c r="N616" s="25"/>
      <c r="O616" s="33">
        <f t="shared" si="19"/>
        <v>0</v>
      </c>
      <c r="P616" s="25"/>
      <c r="Q616" s="25">
        <v>0</v>
      </c>
      <c r="R616" s="25"/>
      <c r="S616" s="25"/>
      <c r="T616" s="25">
        <v>1</v>
      </c>
      <c r="U616" s="25"/>
      <c r="V616" s="39"/>
      <c r="W616" s="25"/>
      <c r="X616" s="33">
        <f t="shared" si="18"/>
        <v>1</v>
      </c>
      <c r="Y616" s="39">
        <v>69600</v>
      </c>
      <c r="Z616" s="25">
        <v>69600</v>
      </c>
      <c r="AA616" s="45"/>
      <c r="AB616" s="45"/>
      <c r="AC616" s="45"/>
      <c r="AD616" s="45"/>
      <c r="AE616" s="45"/>
    </row>
    <row r="617" spans="1:31" s="12" customFormat="1" ht="12">
      <c r="A617" s="27">
        <v>45615</v>
      </c>
      <c r="B617" s="74" t="s">
        <v>10</v>
      </c>
      <c r="C617" s="37" t="s">
        <v>83</v>
      </c>
      <c r="D617" s="34" t="s">
        <v>185</v>
      </c>
      <c r="E617" s="34" t="e">
        <f>IF(B617="","",VLOOKUP($B617,#REF!,4,FALSE))</f>
        <v>#REF!</v>
      </c>
      <c r="F617" s="34" t="e">
        <f>IF(E617="","",VLOOKUP($B617,#REF!,5,FALSE))</f>
        <v>#REF!</v>
      </c>
      <c r="G617" s="34" t="e">
        <f>IF(F617="","",VLOOKUP($B617,#REF!,6,FALSE))</f>
        <v>#REF!</v>
      </c>
      <c r="H617" s="34" t="e">
        <f>IF(G617="","",VLOOKUP($B617,#REF!,7,FALSE))</f>
        <v>#REF!</v>
      </c>
      <c r="I617" s="25"/>
      <c r="J617" s="25"/>
      <c r="K617" s="25"/>
      <c r="L617" s="25"/>
      <c r="M617" s="25"/>
      <c r="N617" s="25"/>
      <c r="O617" s="33">
        <f t="shared" si="19"/>
        <v>0</v>
      </c>
      <c r="P617" s="25"/>
      <c r="Q617" s="25">
        <v>0</v>
      </c>
      <c r="R617" s="25"/>
      <c r="S617" s="25"/>
      <c r="T617" s="25">
        <v>2</v>
      </c>
      <c r="U617" s="25"/>
      <c r="V617" s="39"/>
      <c r="W617" s="25"/>
      <c r="X617" s="33">
        <f t="shared" si="18"/>
        <v>2</v>
      </c>
      <c r="Y617" s="39">
        <v>57000</v>
      </c>
      <c r="Z617" s="25">
        <v>114000</v>
      </c>
      <c r="AA617" s="45"/>
      <c r="AB617" s="45"/>
      <c r="AC617" s="45"/>
      <c r="AD617" s="45"/>
      <c r="AE617" s="45"/>
    </row>
    <row r="618" spans="1:31" s="12" customFormat="1" ht="12">
      <c r="A618" s="27">
        <v>45615</v>
      </c>
      <c r="B618" s="73" t="s">
        <v>25</v>
      </c>
      <c r="C618" s="37" t="s">
        <v>83</v>
      </c>
      <c r="D618" s="34" t="s">
        <v>185</v>
      </c>
      <c r="E618" s="34" t="e">
        <f>IF(B618="","",VLOOKUP($B618,#REF!,4,FALSE))</f>
        <v>#REF!</v>
      </c>
      <c r="F618" s="34" t="e">
        <f>IF(E618="","",VLOOKUP($B618,#REF!,5,FALSE))</f>
        <v>#REF!</v>
      </c>
      <c r="G618" s="34" t="e">
        <f>IF(F618="","",VLOOKUP($B618,#REF!,6,FALSE))</f>
        <v>#REF!</v>
      </c>
      <c r="H618" s="34" t="e">
        <f>IF(G618="","",VLOOKUP($B618,#REF!,7,FALSE))</f>
        <v>#REF!</v>
      </c>
      <c r="I618" s="25"/>
      <c r="J618" s="25"/>
      <c r="K618" s="25"/>
      <c r="L618" s="25"/>
      <c r="M618" s="25"/>
      <c r="N618" s="25"/>
      <c r="O618" s="33">
        <f t="shared" si="19"/>
        <v>0</v>
      </c>
      <c r="P618" s="25"/>
      <c r="Q618" s="25">
        <v>0</v>
      </c>
      <c r="R618" s="25"/>
      <c r="S618" s="25"/>
      <c r="T618" s="25">
        <v>2</v>
      </c>
      <c r="U618" s="25"/>
      <c r="V618" s="39"/>
      <c r="W618" s="25"/>
      <c r="X618" s="33">
        <f t="shared" si="18"/>
        <v>2</v>
      </c>
      <c r="Y618" s="39">
        <v>57000</v>
      </c>
      <c r="Z618" s="25">
        <v>114000</v>
      </c>
      <c r="AA618" s="45"/>
      <c r="AB618" s="45"/>
      <c r="AC618" s="45"/>
      <c r="AD618" s="45"/>
      <c r="AE618" s="45"/>
    </row>
    <row r="619" spans="1:31" s="12" customFormat="1" ht="12">
      <c r="A619" s="27">
        <v>45615</v>
      </c>
      <c r="B619" s="28" t="s">
        <v>38</v>
      </c>
      <c r="C619" s="37" t="s">
        <v>83</v>
      </c>
      <c r="D619" s="34" t="s">
        <v>185</v>
      </c>
      <c r="E619" s="34" t="e">
        <f>IF(B619="","",VLOOKUP($B619,#REF!,4,FALSE))</f>
        <v>#REF!</v>
      </c>
      <c r="F619" s="34" t="e">
        <f>IF(E619="","",VLOOKUP($B619,#REF!,5,FALSE))</f>
        <v>#REF!</v>
      </c>
      <c r="G619" s="34" t="e">
        <f>IF(F619="","",VLOOKUP($B619,#REF!,6,FALSE))</f>
        <v>#REF!</v>
      </c>
      <c r="H619" s="34" t="e">
        <f>IF(G619="","",VLOOKUP($B619,#REF!,7,FALSE))</f>
        <v>#REF!</v>
      </c>
      <c r="I619" s="25"/>
      <c r="J619" s="25"/>
      <c r="K619" s="25"/>
      <c r="L619" s="25"/>
      <c r="M619" s="25"/>
      <c r="N619" s="25"/>
      <c r="O619" s="33">
        <f t="shared" si="19"/>
        <v>0</v>
      </c>
      <c r="P619" s="25"/>
      <c r="Q619" s="25">
        <v>0</v>
      </c>
      <c r="R619" s="25"/>
      <c r="S619" s="25"/>
      <c r="T619" s="25">
        <v>58</v>
      </c>
      <c r="U619" s="25"/>
      <c r="V619" s="39"/>
      <c r="W619" s="25"/>
      <c r="X619" s="33">
        <f t="shared" si="18"/>
        <v>58</v>
      </c>
      <c r="Y619" s="39">
        <v>54600</v>
      </c>
      <c r="Z619" s="25">
        <v>3166800</v>
      </c>
      <c r="AA619" s="45"/>
      <c r="AB619" s="45"/>
      <c r="AC619" s="45"/>
      <c r="AD619" s="45"/>
      <c r="AE619" s="45"/>
    </row>
    <row r="620" spans="1:31" s="12" customFormat="1" ht="12">
      <c r="A620" s="27">
        <v>45615</v>
      </c>
      <c r="B620" s="73" t="s">
        <v>23</v>
      </c>
      <c r="C620" s="37" t="s">
        <v>83</v>
      </c>
      <c r="D620" s="34" t="s">
        <v>185</v>
      </c>
      <c r="E620" s="34" t="e">
        <f>IF(B620="","",VLOOKUP($B620,#REF!,4,FALSE))</f>
        <v>#REF!</v>
      </c>
      <c r="F620" s="34" t="e">
        <f>IF(E620="","",VLOOKUP($B620,#REF!,5,FALSE))</f>
        <v>#REF!</v>
      </c>
      <c r="G620" s="34" t="e">
        <f>IF(F620="","",VLOOKUP($B620,#REF!,6,FALSE))</f>
        <v>#REF!</v>
      </c>
      <c r="H620" s="34" t="e">
        <f>IF(G620="","",VLOOKUP($B620,#REF!,7,FALSE))</f>
        <v>#REF!</v>
      </c>
      <c r="I620" s="25"/>
      <c r="J620" s="25"/>
      <c r="K620" s="25"/>
      <c r="L620" s="25"/>
      <c r="M620" s="25"/>
      <c r="N620" s="25"/>
      <c r="O620" s="33">
        <f t="shared" si="19"/>
        <v>0</v>
      </c>
      <c r="P620" s="25"/>
      <c r="Q620" s="25">
        <v>0</v>
      </c>
      <c r="R620" s="25"/>
      <c r="S620" s="25"/>
      <c r="T620" s="25">
        <v>3</v>
      </c>
      <c r="U620" s="25"/>
      <c r="V620" s="39"/>
      <c r="W620" s="25"/>
      <c r="X620" s="33">
        <f t="shared" si="18"/>
        <v>3</v>
      </c>
      <c r="Y620" s="39">
        <v>46080</v>
      </c>
      <c r="Z620" s="25">
        <v>138240</v>
      </c>
      <c r="AA620" s="45">
        <f>10-3</f>
        <v>7</v>
      </c>
      <c r="AB620" s="45" t="s">
        <v>278</v>
      </c>
      <c r="AC620" s="45"/>
      <c r="AD620" s="45"/>
      <c r="AE620" s="45"/>
    </row>
    <row r="621" spans="1:31" s="12" customFormat="1" ht="12">
      <c r="A621" s="27">
        <v>45615</v>
      </c>
      <c r="B621" s="28" t="s">
        <v>61</v>
      </c>
      <c r="C621" s="37" t="s">
        <v>83</v>
      </c>
      <c r="D621" s="34" t="s">
        <v>185</v>
      </c>
      <c r="E621" s="34" t="e">
        <f>IF(B621="","",VLOOKUP($B621,#REF!,4,FALSE))</f>
        <v>#REF!</v>
      </c>
      <c r="F621" s="34" t="e">
        <f>IF(E621="","",VLOOKUP($B621,#REF!,5,FALSE))</f>
        <v>#REF!</v>
      </c>
      <c r="G621" s="34" t="e">
        <f>IF(F621="","",VLOOKUP($B621,#REF!,6,FALSE))</f>
        <v>#REF!</v>
      </c>
      <c r="H621" s="34" t="e">
        <f>IF(G621="","",VLOOKUP($B621,#REF!,7,FALSE))</f>
        <v>#REF!</v>
      </c>
      <c r="I621" s="25"/>
      <c r="J621" s="25"/>
      <c r="K621" s="25"/>
      <c r="L621" s="25"/>
      <c r="M621" s="25"/>
      <c r="N621" s="25"/>
      <c r="O621" s="33">
        <f t="shared" si="19"/>
        <v>0</v>
      </c>
      <c r="P621" s="25"/>
      <c r="Q621" s="25">
        <v>0</v>
      </c>
      <c r="R621" s="25"/>
      <c r="S621" s="25"/>
      <c r="T621" s="25">
        <v>32</v>
      </c>
      <c r="U621" s="25"/>
      <c r="V621" s="39"/>
      <c r="W621" s="25"/>
      <c r="X621" s="33">
        <f t="shared" si="18"/>
        <v>32</v>
      </c>
      <c r="Y621" s="39">
        <v>67500</v>
      </c>
      <c r="Z621" s="25">
        <v>2160000</v>
      </c>
      <c r="AA621" s="45"/>
      <c r="AB621" s="45"/>
      <c r="AC621" s="45"/>
      <c r="AD621" s="45"/>
      <c r="AE621" s="45"/>
    </row>
    <row r="622" spans="1:31" s="12" customFormat="1" ht="12">
      <c r="A622" s="27">
        <v>45615</v>
      </c>
      <c r="B622" s="73" t="s">
        <v>26</v>
      </c>
      <c r="C622" s="37" t="s">
        <v>83</v>
      </c>
      <c r="D622" s="34" t="s">
        <v>185</v>
      </c>
      <c r="E622" s="34" t="e">
        <f>IF(B622="","",VLOOKUP($B622,#REF!,4,FALSE))</f>
        <v>#REF!</v>
      </c>
      <c r="F622" s="34" t="e">
        <f>IF(E622="","",VLOOKUP($B622,#REF!,5,FALSE))</f>
        <v>#REF!</v>
      </c>
      <c r="G622" s="34" t="e">
        <f>IF(F622="","",VLOOKUP($B622,#REF!,6,FALSE))</f>
        <v>#REF!</v>
      </c>
      <c r="H622" s="34" t="e">
        <f>IF(G622="","",VLOOKUP($B622,#REF!,7,FALSE))</f>
        <v>#REF!</v>
      </c>
      <c r="I622" s="25"/>
      <c r="J622" s="25"/>
      <c r="K622" s="25"/>
      <c r="L622" s="25"/>
      <c r="M622" s="25"/>
      <c r="N622" s="25"/>
      <c r="O622" s="33">
        <f t="shared" si="19"/>
        <v>0</v>
      </c>
      <c r="P622" s="25"/>
      <c r="Q622" s="25">
        <v>0</v>
      </c>
      <c r="R622" s="25"/>
      <c r="S622" s="25"/>
      <c r="T622" s="25">
        <v>6</v>
      </c>
      <c r="U622" s="25"/>
      <c r="V622" s="39"/>
      <c r="W622" s="25"/>
      <c r="X622" s="33">
        <f t="shared" si="18"/>
        <v>6</v>
      </c>
      <c r="Y622" s="39">
        <v>23200</v>
      </c>
      <c r="Z622" s="25">
        <v>139200</v>
      </c>
      <c r="AA622" s="45"/>
      <c r="AB622" s="45"/>
      <c r="AC622" s="45"/>
      <c r="AD622" s="45"/>
      <c r="AE622" s="45"/>
    </row>
    <row r="623" spans="1:31" s="12" customFormat="1" ht="12">
      <c r="A623" s="27">
        <v>45615</v>
      </c>
      <c r="B623" s="28" t="s">
        <v>8</v>
      </c>
      <c r="C623" s="37" t="s">
        <v>83</v>
      </c>
      <c r="D623" s="34" t="s">
        <v>185</v>
      </c>
      <c r="E623" s="34" t="e">
        <f>IF(B623="","",VLOOKUP($B623,#REF!,4,FALSE))</f>
        <v>#REF!</v>
      </c>
      <c r="F623" s="34" t="e">
        <f>IF(E623="","",VLOOKUP($B623,#REF!,5,FALSE))</f>
        <v>#REF!</v>
      </c>
      <c r="G623" s="34" t="e">
        <f>IF(F623="","",VLOOKUP($B623,#REF!,6,FALSE))</f>
        <v>#REF!</v>
      </c>
      <c r="H623" s="34" t="e">
        <f>IF(G623="","",VLOOKUP($B623,#REF!,7,FALSE))</f>
        <v>#REF!</v>
      </c>
      <c r="I623" s="25"/>
      <c r="J623" s="25"/>
      <c r="K623" s="25"/>
      <c r="L623" s="25"/>
      <c r="M623" s="25"/>
      <c r="N623" s="25"/>
      <c r="O623" s="33">
        <f t="shared" si="19"/>
        <v>0</v>
      </c>
      <c r="P623" s="25"/>
      <c r="Q623" s="25">
        <v>0</v>
      </c>
      <c r="R623" s="25"/>
      <c r="S623" s="25"/>
      <c r="T623" s="25">
        <v>2</v>
      </c>
      <c r="U623" s="25"/>
      <c r="V623" s="39"/>
      <c r="W623" s="25"/>
      <c r="X623" s="33">
        <f t="shared" si="18"/>
        <v>2</v>
      </c>
      <c r="Y623" s="39">
        <v>36300</v>
      </c>
      <c r="Z623" s="25">
        <v>72600</v>
      </c>
      <c r="AA623" s="45"/>
      <c r="AB623" s="45"/>
      <c r="AC623" s="45"/>
      <c r="AD623" s="45"/>
      <c r="AE623" s="45"/>
    </row>
    <row r="624" spans="1:31" s="12" customFormat="1" ht="12">
      <c r="A624" s="27">
        <v>45615</v>
      </c>
      <c r="B624" s="53" t="s">
        <v>10</v>
      </c>
      <c r="C624" s="37" t="s">
        <v>83</v>
      </c>
      <c r="D624" s="34" t="s">
        <v>185</v>
      </c>
      <c r="E624" s="34" t="e">
        <f>IF(B624="","",VLOOKUP($B624,#REF!,4,FALSE))</f>
        <v>#REF!</v>
      </c>
      <c r="F624" s="34" t="e">
        <f>IF(E624="","",VLOOKUP($B624,#REF!,5,FALSE))</f>
        <v>#REF!</v>
      </c>
      <c r="G624" s="34" t="e">
        <f>IF(F624="","",VLOOKUP($B624,#REF!,6,FALSE))</f>
        <v>#REF!</v>
      </c>
      <c r="H624" s="34" t="e">
        <f>IF(G624="","",VLOOKUP($B624,#REF!,7,FALSE))</f>
        <v>#REF!</v>
      </c>
      <c r="I624" s="25"/>
      <c r="J624" s="25"/>
      <c r="K624" s="25"/>
      <c r="L624" s="25"/>
      <c r="M624" s="25"/>
      <c r="N624" s="25"/>
      <c r="O624" s="33">
        <f t="shared" si="19"/>
        <v>0</v>
      </c>
      <c r="P624" s="25"/>
      <c r="Q624" s="25">
        <v>0</v>
      </c>
      <c r="R624" s="25"/>
      <c r="S624" s="25"/>
      <c r="T624" s="25">
        <v>2</v>
      </c>
      <c r="U624" s="25"/>
      <c r="V624" s="39"/>
      <c r="W624" s="25"/>
      <c r="X624" s="33">
        <f t="shared" si="18"/>
        <v>2</v>
      </c>
      <c r="Y624" s="39"/>
      <c r="Z624" s="25">
        <v>0</v>
      </c>
      <c r="AA624" s="45"/>
      <c r="AB624" s="45"/>
      <c r="AC624" s="45"/>
      <c r="AD624" s="45"/>
      <c r="AE624" s="45"/>
    </row>
    <row r="625" spans="1:31" s="12" customFormat="1" ht="12">
      <c r="A625" s="27">
        <v>45615</v>
      </c>
      <c r="B625" s="47" t="s">
        <v>161</v>
      </c>
      <c r="C625" s="37" t="s">
        <v>83</v>
      </c>
      <c r="D625" s="34" t="s">
        <v>185</v>
      </c>
      <c r="E625" s="34" t="e">
        <f>IF(B625="","",VLOOKUP($B625,#REF!,4,FALSE))</f>
        <v>#REF!</v>
      </c>
      <c r="F625" s="34" t="e">
        <f>IF(E625="","",VLOOKUP($B625,#REF!,5,FALSE))</f>
        <v>#REF!</v>
      </c>
      <c r="G625" s="34" t="e">
        <f>IF(F625="","",VLOOKUP($B625,#REF!,6,FALSE))</f>
        <v>#REF!</v>
      </c>
      <c r="H625" s="34" t="e">
        <f>IF(G625="","",VLOOKUP($B625,#REF!,7,FALSE))</f>
        <v>#REF!</v>
      </c>
      <c r="I625" s="25"/>
      <c r="J625" s="25"/>
      <c r="K625" s="25">
        <v>2</v>
      </c>
      <c r="L625" s="25"/>
      <c r="M625" s="25"/>
      <c r="N625" s="25"/>
      <c r="O625" s="33">
        <f t="shared" si="19"/>
        <v>2</v>
      </c>
      <c r="P625" s="25"/>
      <c r="Q625" s="25">
        <v>0</v>
      </c>
      <c r="R625" s="25"/>
      <c r="S625" s="25"/>
      <c r="T625" s="25">
        <v>2</v>
      </c>
      <c r="U625" s="25"/>
      <c r="V625" s="39"/>
      <c r="W625" s="25"/>
      <c r="X625" s="33">
        <f t="shared" si="18"/>
        <v>2</v>
      </c>
      <c r="Y625" s="39">
        <v>44280</v>
      </c>
      <c r="Z625" s="25">
        <v>88560</v>
      </c>
      <c r="AA625" s="45"/>
      <c r="AB625" s="45"/>
      <c r="AC625" s="45"/>
      <c r="AD625" s="45"/>
      <c r="AE625" s="45"/>
    </row>
    <row r="626" spans="1:31" s="12" customFormat="1" ht="12">
      <c r="A626" s="27">
        <v>45615</v>
      </c>
      <c r="B626" s="53" t="s">
        <v>78</v>
      </c>
      <c r="C626" s="37" t="s">
        <v>87</v>
      </c>
      <c r="D626" s="34" t="s">
        <v>111</v>
      </c>
      <c r="E626" s="34" t="e">
        <f>IF(B626="","",VLOOKUP($B626,#REF!,4,FALSE))</f>
        <v>#REF!</v>
      </c>
      <c r="F626" s="34" t="e">
        <f>IF(E626="","",VLOOKUP($B626,#REF!,5,FALSE))</f>
        <v>#REF!</v>
      </c>
      <c r="G626" s="34" t="e">
        <f>IF(F626="","",VLOOKUP($B626,#REF!,6,FALSE))</f>
        <v>#REF!</v>
      </c>
      <c r="H626" s="34" t="e">
        <f>IF(G626="","",VLOOKUP($B626,#REF!,7,FALSE))</f>
        <v>#REF!</v>
      </c>
      <c r="I626" s="25"/>
      <c r="J626" s="25"/>
      <c r="K626" s="25"/>
      <c r="L626" s="25"/>
      <c r="M626" s="25"/>
      <c r="N626" s="25"/>
      <c r="O626" s="33">
        <f t="shared" si="19"/>
        <v>0</v>
      </c>
      <c r="P626" s="25"/>
      <c r="Q626" s="25">
        <v>0</v>
      </c>
      <c r="R626" s="25"/>
      <c r="S626" s="25"/>
      <c r="T626" s="25">
        <v>5</v>
      </c>
      <c r="U626" s="25"/>
      <c r="V626" s="39"/>
      <c r="W626" s="25"/>
      <c r="X626" s="33">
        <f t="shared" si="18"/>
        <v>5</v>
      </c>
      <c r="Y626" s="39"/>
      <c r="Z626" s="25">
        <v>0</v>
      </c>
      <c r="AA626" s="45"/>
      <c r="AB626" s="45"/>
      <c r="AC626" s="45"/>
      <c r="AD626" s="45"/>
      <c r="AE626" s="45"/>
    </row>
    <row r="627" spans="1:31" s="12" customFormat="1" ht="12">
      <c r="A627" s="27">
        <v>45615</v>
      </c>
      <c r="B627" s="53" t="s">
        <v>72</v>
      </c>
      <c r="C627" s="37" t="s">
        <v>86</v>
      </c>
      <c r="D627" s="34" t="s">
        <v>51</v>
      </c>
      <c r="E627" s="34" t="e">
        <f>IF(B627="","",VLOOKUP($B627,#REF!,4,FALSE))</f>
        <v>#REF!</v>
      </c>
      <c r="F627" s="34" t="e">
        <f>IF(E627="","",VLOOKUP($B627,#REF!,5,FALSE))</f>
        <v>#REF!</v>
      </c>
      <c r="G627" s="34" t="e">
        <f>IF(F627="","",VLOOKUP($B627,#REF!,6,FALSE))</f>
        <v>#REF!</v>
      </c>
      <c r="H627" s="34" t="e">
        <f>IF(G627="","",VLOOKUP($B627,#REF!,7,FALSE))</f>
        <v>#REF!</v>
      </c>
      <c r="I627" s="25"/>
      <c r="J627" s="25"/>
      <c r="K627" s="25">
        <v>5</v>
      </c>
      <c r="L627" s="25"/>
      <c r="M627" s="25"/>
      <c r="N627" s="25"/>
      <c r="O627" s="33">
        <f t="shared" si="19"/>
        <v>5</v>
      </c>
      <c r="P627" s="25"/>
      <c r="Q627" s="25">
        <v>0</v>
      </c>
      <c r="R627" s="25"/>
      <c r="S627" s="25"/>
      <c r="T627" s="25">
        <v>5</v>
      </c>
      <c r="U627" s="25"/>
      <c r="V627" s="39"/>
      <c r="W627" s="25"/>
      <c r="X627" s="33">
        <f t="shared" si="18"/>
        <v>5</v>
      </c>
      <c r="Y627" s="39">
        <v>31000</v>
      </c>
      <c r="Z627" s="25">
        <v>155000</v>
      </c>
      <c r="AA627" s="45"/>
      <c r="AB627" s="45"/>
      <c r="AC627" s="45"/>
      <c r="AD627" s="45"/>
      <c r="AE627" s="45"/>
    </row>
    <row r="628" spans="1:31" s="12" customFormat="1" ht="12">
      <c r="A628" s="27">
        <v>45615</v>
      </c>
      <c r="B628" s="53" t="s">
        <v>69</v>
      </c>
      <c r="C628" s="37" t="s">
        <v>86</v>
      </c>
      <c r="D628" s="34" t="s">
        <v>51</v>
      </c>
      <c r="E628" s="34" t="e">
        <f>IF(B628="","",VLOOKUP($B628,#REF!,4,FALSE))</f>
        <v>#REF!</v>
      </c>
      <c r="F628" s="34" t="e">
        <f>IF(E628="","",VLOOKUP($B628,#REF!,5,FALSE))</f>
        <v>#REF!</v>
      </c>
      <c r="G628" s="34" t="e">
        <f>IF(F628="","",VLOOKUP($B628,#REF!,6,FALSE))</f>
        <v>#REF!</v>
      </c>
      <c r="H628" s="34" t="e">
        <f>IF(G628="","",VLOOKUP($B628,#REF!,7,FALSE))</f>
        <v>#REF!</v>
      </c>
      <c r="I628" s="25"/>
      <c r="J628" s="25"/>
      <c r="K628" s="25">
        <v>1</v>
      </c>
      <c r="L628" s="25"/>
      <c r="M628" s="25"/>
      <c r="N628" s="25"/>
      <c r="O628" s="33">
        <f t="shared" si="19"/>
        <v>1</v>
      </c>
      <c r="P628" s="25"/>
      <c r="Q628" s="25">
        <v>0</v>
      </c>
      <c r="R628" s="25"/>
      <c r="S628" s="25"/>
      <c r="T628" s="25">
        <v>1</v>
      </c>
      <c r="U628" s="25"/>
      <c r="V628" s="39"/>
      <c r="W628" s="25"/>
      <c r="X628" s="33">
        <f t="shared" si="18"/>
        <v>1</v>
      </c>
      <c r="Y628" s="39">
        <v>99000</v>
      </c>
      <c r="Z628" s="25">
        <v>99000</v>
      </c>
      <c r="AA628" s="45"/>
      <c r="AB628" s="45"/>
      <c r="AC628" s="45"/>
      <c r="AD628" s="45"/>
      <c r="AE628" s="45"/>
    </row>
    <row r="629" spans="1:31" s="12" customFormat="1" ht="12">
      <c r="A629" s="27">
        <v>45615</v>
      </c>
      <c r="B629" s="53" t="s">
        <v>219</v>
      </c>
      <c r="C629" s="37" t="s">
        <v>82</v>
      </c>
      <c r="D629" s="34" t="s">
        <v>186</v>
      </c>
      <c r="E629" s="34" t="e">
        <f>IF(B629="","",VLOOKUP($B629,#REF!,4,FALSE))</f>
        <v>#REF!</v>
      </c>
      <c r="F629" s="34" t="e">
        <f>IF(E629="","",VLOOKUP($B629,#REF!,5,FALSE))</f>
        <v>#REF!</v>
      </c>
      <c r="G629" s="34" t="e">
        <f>IF(F629="","",VLOOKUP($B629,#REF!,6,FALSE))</f>
        <v>#REF!</v>
      </c>
      <c r="H629" s="34" t="e">
        <f>IF(G629="","",VLOOKUP($B629,#REF!,7,FALSE))</f>
        <v>#REF!</v>
      </c>
      <c r="I629" s="25"/>
      <c r="J629" s="25"/>
      <c r="K629" s="25"/>
      <c r="L629" s="25"/>
      <c r="M629" s="25"/>
      <c r="N629" s="25"/>
      <c r="O629" s="33">
        <f t="shared" si="19"/>
        <v>0</v>
      </c>
      <c r="P629" s="25"/>
      <c r="Q629" s="25">
        <v>0</v>
      </c>
      <c r="R629" s="25"/>
      <c r="S629" s="25"/>
      <c r="T629" s="25"/>
      <c r="U629" s="25"/>
      <c r="V629" s="39">
        <v>36</v>
      </c>
      <c r="W629" s="25"/>
      <c r="X629" s="33">
        <f t="shared" si="18"/>
        <v>36</v>
      </c>
      <c r="Y629" s="39">
        <v>235000</v>
      </c>
      <c r="Z629" s="25">
        <v>8460000</v>
      </c>
      <c r="AA629" s="45"/>
      <c r="AB629" s="45"/>
      <c r="AC629" s="45"/>
      <c r="AD629" s="45"/>
      <c r="AE629" s="45"/>
    </row>
    <row r="630" spans="1:31" s="12" customFormat="1" ht="12">
      <c r="A630" s="27">
        <v>45615</v>
      </c>
      <c r="B630" s="53" t="s">
        <v>57</v>
      </c>
      <c r="C630" s="37" t="s">
        <v>82</v>
      </c>
      <c r="D630" s="34" t="s">
        <v>186</v>
      </c>
      <c r="E630" s="34" t="e">
        <f>IF(B630="","",VLOOKUP($B630,#REF!,4,FALSE))</f>
        <v>#REF!</v>
      </c>
      <c r="F630" s="34" t="e">
        <f>IF(E630="","",VLOOKUP($B630,#REF!,5,FALSE))</f>
        <v>#REF!</v>
      </c>
      <c r="G630" s="34" t="e">
        <f>IF(F630="","",VLOOKUP($B630,#REF!,6,FALSE))</f>
        <v>#REF!</v>
      </c>
      <c r="H630" s="34" t="e">
        <f>IF(G630="","",VLOOKUP($B630,#REF!,7,FALSE))</f>
        <v>#REF!</v>
      </c>
      <c r="I630" s="25"/>
      <c r="J630" s="25"/>
      <c r="K630" s="25"/>
      <c r="L630" s="25"/>
      <c r="M630" s="25"/>
      <c r="N630" s="25"/>
      <c r="O630" s="33">
        <f t="shared" si="19"/>
        <v>0</v>
      </c>
      <c r="P630" s="25"/>
      <c r="Q630" s="25">
        <v>0</v>
      </c>
      <c r="R630" s="25"/>
      <c r="S630" s="25"/>
      <c r="T630" s="25"/>
      <c r="U630" s="25"/>
      <c r="V630" s="39">
        <v>32</v>
      </c>
      <c r="W630" s="25"/>
      <c r="X630" s="33">
        <f t="shared" si="18"/>
        <v>32</v>
      </c>
      <c r="Y630" s="39">
        <v>163800</v>
      </c>
      <c r="Z630" s="25">
        <v>5241600</v>
      </c>
      <c r="AA630" s="45"/>
      <c r="AB630" s="45"/>
      <c r="AC630" s="45"/>
      <c r="AD630" s="45"/>
      <c r="AE630" s="45"/>
    </row>
    <row r="631" spans="1:31" s="12" customFormat="1" ht="12">
      <c r="A631" s="27">
        <v>45615</v>
      </c>
      <c r="B631" s="73" t="s">
        <v>28</v>
      </c>
      <c r="C631" s="37" t="s">
        <v>82</v>
      </c>
      <c r="D631" s="34" t="s">
        <v>186</v>
      </c>
      <c r="E631" s="34" t="e">
        <f>IF(B631="","",VLOOKUP($B631,#REF!,4,FALSE))</f>
        <v>#REF!</v>
      </c>
      <c r="F631" s="34" t="e">
        <f>IF(E631="","",VLOOKUP($B631,#REF!,5,FALSE))</f>
        <v>#REF!</v>
      </c>
      <c r="G631" s="34" t="e">
        <f>IF(F631="","",VLOOKUP($B631,#REF!,6,FALSE))</f>
        <v>#REF!</v>
      </c>
      <c r="H631" s="34" t="e">
        <f>IF(G631="","",VLOOKUP($B631,#REF!,7,FALSE))</f>
        <v>#REF!</v>
      </c>
      <c r="I631" s="25"/>
      <c r="J631" s="25"/>
      <c r="K631" s="25"/>
      <c r="L631" s="25"/>
      <c r="M631" s="25"/>
      <c r="N631" s="25"/>
      <c r="O631" s="33">
        <f t="shared" si="19"/>
        <v>0</v>
      </c>
      <c r="P631" s="25"/>
      <c r="Q631" s="25">
        <v>0</v>
      </c>
      <c r="R631" s="25"/>
      <c r="S631" s="25"/>
      <c r="T631" s="25"/>
      <c r="U631" s="25"/>
      <c r="V631" s="39">
        <v>36</v>
      </c>
      <c r="W631" s="25"/>
      <c r="X631" s="33">
        <f t="shared" si="18"/>
        <v>36</v>
      </c>
      <c r="Y631" s="39">
        <v>186150</v>
      </c>
      <c r="Z631" s="25">
        <v>6701400</v>
      </c>
      <c r="AA631" s="45"/>
      <c r="AB631" s="45"/>
      <c r="AC631" s="45"/>
      <c r="AD631" s="45"/>
      <c r="AE631" s="45"/>
    </row>
    <row r="632" spans="1:31" s="12" customFormat="1" ht="12">
      <c r="A632" s="27">
        <v>45615</v>
      </c>
      <c r="B632" s="28" t="s">
        <v>24</v>
      </c>
      <c r="C632" s="37" t="s">
        <v>82</v>
      </c>
      <c r="D632" s="34" t="s">
        <v>186</v>
      </c>
      <c r="E632" s="34" t="e">
        <f>IF(B632="","",VLOOKUP($B632,#REF!,4,FALSE))</f>
        <v>#REF!</v>
      </c>
      <c r="F632" s="34" t="e">
        <f>IF(E632="","",VLOOKUP($B632,#REF!,5,FALSE))</f>
        <v>#REF!</v>
      </c>
      <c r="G632" s="34" t="e">
        <f>IF(F632="","",VLOOKUP($B632,#REF!,6,FALSE))</f>
        <v>#REF!</v>
      </c>
      <c r="H632" s="34" t="e">
        <f>IF(G632="","",VLOOKUP($B632,#REF!,7,FALSE))</f>
        <v>#REF!</v>
      </c>
      <c r="I632" s="25"/>
      <c r="J632" s="25"/>
      <c r="K632" s="25"/>
      <c r="L632" s="25"/>
      <c r="M632" s="25"/>
      <c r="N632" s="25"/>
      <c r="O632" s="33">
        <f t="shared" si="19"/>
        <v>0</v>
      </c>
      <c r="P632" s="25"/>
      <c r="Q632" s="25">
        <v>0</v>
      </c>
      <c r="R632" s="25"/>
      <c r="S632" s="25"/>
      <c r="T632" s="25"/>
      <c r="U632" s="25"/>
      <c r="V632" s="39">
        <v>48</v>
      </c>
      <c r="W632" s="25"/>
      <c r="X632" s="33">
        <f t="shared" si="18"/>
        <v>48</v>
      </c>
      <c r="Y632" s="39">
        <v>124920</v>
      </c>
      <c r="Z632" s="25">
        <v>5996160</v>
      </c>
      <c r="AA632" s="45"/>
      <c r="AB632" s="45"/>
      <c r="AC632" s="45"/>
      <c r="AD632" s="45"/>
      <c r="AE632" s="45"/>
    </row>
    <row r="633" spans="1:31" s="12" customFormat="1" ht="12">
      <c r="A633" s="27">
        <v>45615</v>
      </c>
      <c r="B633" s="73" t="s">
        <v>58</v>
      </c>
      <c r="C633" s="37" t="s">
        <v>82</v>
      </c>
      <c r="D633" s="34" t="s">
        <v>186</v>
      </c>
      <c r="E633" s="34" t="e">
        <f>IF(B633="","",VLOOKUP($B633,#REF!,4,FALSE))</f>
        <v>#REF!</v>
      </c>
      <c r="F633" s="34" t="e">
        <f>IF(E633="","",VLOOKUP($B633,#REF!,5,FALSE))</f>
        <v>#REF!</v>
      </c>
      <c r="G633" s="34" t="e">
        <f>IF(F633="","",VLOOKUP($B633,#REF!,6,FALSE))</f>
        <v>#REF!</v>
      </c>
      <c r="H633" s="34" t="e">
        <f>IF(G633="","",VLOOKUP($B633,#REF!,7,FALSE))</f>
        <v>#REF!</v>
      </c>
      <c r="I633" s="25"/>
      <c r="J633" s="25"/>
      <c r="K633" s="25"/>
      <c r="L633" s="25"/>
      <c r="M633" s="25"/>
      <c r="N633" s="25"/>
      <c r="O633" s="33">
        <f t="shared" si="19"/>
        <v>0</v>
      </c>
      <c r="P633" s="25"/>
      <c r="Q633" s="25">
        <v>0</v>
      </c>
      <c r="R633" s="25"/>
      <c r="S633" s="25"/>
      <c r="T633" s="25"/>
      <c r="U633" s="25"/>
      <c r="V633" s="39">
        <v>36</v>
      </c>
      <c r="W633" s="25"/>
      <c r="X633" s="33">
        <f t="shared" si="18"/>
        <v>36</v>
      </c>
      <c r="Y633" s="39">
        <v>170880</v>
      </c>
      <c r="Z633" s="25">
        <v>6151680</v>
      </c>
      <c r="AA633" s="45"/>
      <c r="AB633" s="45"/>
      <c r="AC633" s="45"/>
      <c r="AD633" s="45"/>
      <c r="AE633" s="45"/>
    </row>
    <row r="634" spans="1:31" s="12" customFormat="1" ht="12">
      <c r="A634" s="27">
        <v>45615</v>
      </c>
      <c r="B634" s="28" t="s">
        <v>219</v>
      </c>
      <c r="C634" s="37" t="s">
        <v>82</v>
      </c>
      <c r="D634" s="34" t="s">
        <v>186</v>
      </c>
      <c r="E634" s="34" t="e">
        <f>IF(B634="","",VLOOKUP($B634,#REF!,4,FALSE))</f>
        <v>#REF!</v>
      </c>
      <c r="F634" s="34" t="e">
        <f>IF(E634="","",VLOOKUP($B634,#REF!,5,FALSE))</f>
        <v>#REF!</v>
      </c>
      <c r="G634" s="34" t="e">
        <f>IF(F634="","",VLOOKUP($B634,#REF!,6,FALSE))</f>
        <v>#REF!</v>
      </c>
      <c r="H634" s="34" t="e">
        <f>IF(G634="","",VLOOKUP($B634,#REF!,7,FALSE))</f>
        <v>#REF!</v>
      </c>
      <c r="I634" s="25"/>
      <c r="J634" s="25"/>
      <c r="K634" s="25"/>
      <c r="L634" s="25"/>
      <c r="M634" s="25"/>
      <c r="N634" s="25"/>
      <c r="O634" s="33">
        <f t="shared" si="19"/>
        <v>0</v>
      </c>
      <c r="P634" s="25"/>
      <c r="Q634" s="25">
        <v>0</v>
      </c>
      <c r="R634" s="25"/>
      <c r="S634" s="25"/>
      <c r="T634" s="25"/>
      <c r="U634" s="25"/>
      <c r="V634" s="39">
        <v>12</v>
      </c>
      <c r="W634" s="25"/>
      <c r="X634" s="33">
        <f t="shared" si="18"/>
        <v>12</v>
      </c>
      <c r="Y634" s="39">
        <v>227240</v>
      </c>
      <c r="Z634" s="25">
        <v>2726880</v>
      </c>
      <c r="AA634" s="45"/>
      <c r="AB634" s="45"/>
      <c r="AC634" s="45"/>
      <c r="AD634" s="45"/>
      <c r="AE634" s="45"/>
    </row>
    <row r="635" spans="1:31" s="12" customFormat="1" ht="12">
      <c r="A635" s="27">
        <v>45615</v>
      </c>
      <c r="B635" s="28" t="s">
        <v>24</v>
      </c>
      <c r="C635" s="37" t="s">
        <v>117</v>
      </c>
      <c r="D635" s="34" t="s">
        <v>225</v>
      </c>
      <c r="E635" s="34" t="e">
        <f>IF(B635="","",VLOOKUP($B635,#REF!,4,FALSE))</f>
        <v>#REF!</v>
      </c>
      <c r="F635" s="34" t="e">
        <f>IF(E635="","",VLOOKUP($B635,#REF!,5,FALSE))</f>
        <v>#REF!</v>
      </c>
      <c r="G635" s="34" t="e">
        <f>IF(F635="","",VLOOKUP($B635,#REF!,6,FALSE))</f>
        <v>#REF!</v>
      </c>
      <c r="H635" s="34" t="e">
        <f>IF(G635="","",VLOOKUP($B635,#REF!,7,FALSE))</f>
        <v>#REF!</v>
      </c>
      <c r="I635" s="25"/>
      <c r="J635" s="25">
        <v>320</v>
      </c>
      <c r="K635" s="25"/>
      <c r="L635" s="25"/>
      <c r="M635" s="25"/>
      <c r="N635" s="25"/>
      <c r="O635" s="33">
        <f t="shared" si="19"/>
        <v>320</v>
      </c>
      <c r="P635" s="25">
        <v>74400</v>
      </c>
      <c r="Q635" s="25">
        <v>23808000</v>
      </c>
      <c r="R635" s="25"/>
      <c r="S635" s="25"/>
      <c r="T635" s="25"/>
      <c r="U635" s="25"/>
      <c r="V635" s="39"/>
      <c r="W635" s="25"/>
      <c r="X635" s="33">
        <f t="shared" si="18"/>
        <v>0</v>
      </c>
      <c r="Y635" s="39"/>
      <c r="Z635" s="25">
        <v>0</v>
      </c>
      <c r="AA635" s="45" t="s">
        <v>117</v>
      </c>
      <c r="AB635" s="45" t="s">
        <v>158</v>
      </c>
      <c r="AC635" s="45"/>
      <c r="AD635" s="45"/>
      <c r="AE635" s="45"/>
    </row>
    <row r="636" spans="1:31" s="12" customFormat="1" ht="12">
      <c r="A636" s="27">
        <v>45615</v>
      </c>
      <c r="B636" s="28" t="s">
        <v>8</v>
      </c>
      <c r="C636" s="37">
        <v>0</v>
      </c>
      <c r="D636" s="34" t="s">
        <v>187</v>
      </c>
      <c r="E636" s="34" t="e">
        <f>IF(B636="","",VLOOKUP($B636,#REF!,4,FALSE))</f>
        <v>#REF!</v>
      </c>
      <c r="F636" s="34" t="e">
        <f>IF(E636="","",VLOOKUP($B636,#REF!,5,FALSE))</f>
        <v>#REF!</v>
      </c>
      <c r="G636" s="34" t="e">
        <f>IF(F636="","",VLOOKUP($B636,#REF!,6,FALSE))</f>
        <v>#REF!</v>
      </c>
      <c r="H636" s="34" t="e">
        <f>IF(G636="","",VLOOKUP($B636,#REF!,7,FALSE))</f>
        <v>#REF!</v>
      </c>
      <c r="I636" s="25"/>
      <c r="J636" s="25"/>
      <c r="K636" s="25">
        <v>151</v>
      </c>
      <c r="L636" s="25"/>
      <c r="M636" s="25"/>
      <c r="N636" s="25"/>
      <c r="O636" s="33">
        <f t="shared" si="19"/>
        <v>151</v>
      </c>
      <c r="P636" s="25"/>
      <c r="Q636" s="25">
        <v>0</v>
      </c>
      <c r="R636" s="25"/>
      <c r="S636" s="25"/>
      <c r="T636" s="25"/>
      <c r="U636" s="25"/>
      <c r="V636" s="39"/>
      <c r="W636" s="25"/>
      <c r="X636" s="33">
        <f t="shared" si="18"/>
        <v>0</v>
      </c>
      <c r="Y636" s="39"/>
      <c r="Z636" s="25">
        <v>0</v>
      </c>
      <c r="AA636" s="45"/>
      <c r="AB636" s="45"/>
      <c r="AC636" s="45"/>
      <c r="AD636" s="45"/>
      <c r="AE636" s="45"/>
    </row>
    <row r="637" spans="1:31" s="12" customFormat="1" ht="12">
      <c r="A637" s="27">
        <v>45615</v>
      </c>
      <c r="B637" s="29" t="s">
        <v>211</v>
      </c>
      <c r="C637" s="37">
        <v>0</v>
      </c>
      <c r="D637" s="34" t="s">
        <v>187</v>
      </c>
      <c r="E637" s="34" t="e">
        <f>IF(B637="","",VLOOKUP($B637,#REF!,4,FALSE))</f>
        <v>#REF!</v>
      </c>
      <c r="F637" s="34" t="e">
        <f>IF(E637="","",VLOOKUP($B637,#REF!,5,FALSE))</f>
        <v>#REF!</v>
      </c>
      <c r="G637" s="34" t="e">
        <f>IF(F637="","",VLOOKUP($B637,#REF!,6,FALSE))</f>
        <v>#REF!</v>
      </c>
      <c r="H637" s="34" t="e">
        <f>IF(G637="","",VLOOKUP($B637,#REF!,7,FALSE))</f>
        <v>#REF!</v>
      </c>
      <c r="I637" s="25"/>
      <c r="J637" s="25"/>
      <c r="K637" s="25"/>
      <c r="L637" s="25">
        <v>759</v>
      </c>
      <c r="M637" s="25"/>
      <c r="N637" s="25"/>
      <c r="O637" s="33">
        <f t="shared" si="19"/>
        <v>759</v>
      </c>
      <c r="P637" s="25"/>
      <c r="Q637" s="25">
        <v>0</v>
      </c>
      <c r="R637" s="25"/>
      <c r="S637" s="25"/>
      <c r="T637" s="25"/>
      <c r="U637" s="25"/>
      <c r="V637" s="39"/>
      <c r="W637" s="25"/>
      <c r="X637" s="33">
        <f t="shared" si="18"/>
        <v>0</v>
      </c>
      <c r="Y637" s="39"/>
      <c r="Z637" s="25">
        <v>0</v>
      </c>
      <c r="AA637" s="45"/>
      <c r="AB637" s="45"/>
      <c r="AC637" s="45"/>
      <c r="AD637" s="45"/>
      <c r="AE637" s="45"/>
    </row>
    <row r="638" spans="1:31" s="12" customFormat="1" ht="12">
      <c r="A638" s="27">
        <v>45615</v>
      </c>
      <c r="B638" s="28" t="s">
        <v>32</v>
      </c>
      <c r="C638" s="37">
        <v>0</v>
      </c>
      <c r="D638" s="34" t="s">
        <v>187</v>
      </c>
      <c r="E638" s="34" t="e">
        <f>IF(B638="","",VLOOKUP($B638,#REF!,4,FALSE))</f>
        <v>#REF!</v>
      </c>
      <c r="F638" s="34" t="e">
        <f>IF(E638="","",VLOOKUP($B638,#REF!,5,FALSE))</f>
        <v>#REF!</v>
      </c>
      <c r="G638" s="34" t="e">
        <f>IF(F638="","",VLOOKUP($B638,#REF!,6,FALSE))</f>
        <v>#REF!</v>
      </c>
      <c r="H638" s="34" t="e">
        <f>IF(G638="","",VLOOKUP($B638,#REF!,7,FALSE))</f>
        <v>#REF!</v>
      </c>
      <c r="I638" s="25"/>
      <c r="J638" s="25"/>
      <c r="K638" s="25">
        <v>88</v>
      </c>
      <c r="L638" s="25"/>
      <c r="M638" s="25"/>
      <c r="N638" s="25"/>
      <c r="O638" s="33">
        <f t="shared" si="19"/>
        <v>88</v>
      </c>
      <c r="P638" s="25"/>
      <c r="Q638" s="25">
        <v>0</v>
      </c>
      <c r="R638" s="25"/>
      <c r="S638" s="25"/>
      <c r="T638" s="25"/>
      <c r="U638" s="25"/>
      <c r="V638" s="39"/>
      <c r="W638" s="25"/>
      <c r="X638" s="33">
        <f t="shared" si="18"/>
        <v>0</v>
      </c>
      <c r="Y638" s="39"/>
      <c r="Z638" s="25">
        <v>0</v>
      </c>
      <c r="AA638" s="45"/>
      <c r="AB638" s="45"/>
      <c r="AC638" s="45"/>
      <c r="AD638" s="45"/>
      <c r="AE638" s="45"/>
    </row>
    <row r="639" spans="1:31" s="12" customFormat="1" ht="12">
      <c r="A639" s="27">
        <v>45615</v>
      </c>
      <c r="B639" s="47" t="s">
        <v>29</v>
      </c>
      <c r="C639" s="37">
        <v>0</v>
      </c>
      <c r="D639" s="34" t="s">
        <v>187</v>
      </c>
      <c r="E639" s="34" t="e">
        <f>IF(B639="","",VLOOKUP($B639,#REF!,4,FALSE))</f>
        <v>#REF!</v>
      </c>
      <c r="F639" s="34" t="e">
        <f>IF(E639="","",VLOOKUP($B639,#REF!,5,FALSE))</f>
        <v>#REF!</v>
      </c>
      <c r="G639" s="34" t="e">
        <f>IF(F639="","",VLOOKUP($B639,#REF!,6,FALSE))</f>
        <v>#REF!</v>
      </c>
      <c r="H639" s="34" t="e">
        <f>IF(G639="","",VLOOKUP($B639,#REF!,7,FALSE))</f>
        <v>#REF!</v>
      </c>
      <c r="I639" s="25"/>
      <c r="J639" s="25"/>
      <c r="K639" s="25"/>
      <c r="L639" s="25">
        <v>91</v>
      </c>
      <c r="M639" s="25"/>
      <c r="N639" s="25"/>
      <c r="O639" s="33">
        <f t="shared" si="19"/>
        <v>91</v>
      </c>
      <c r="P639" s="25"/>
      <c r="Q639" s="25">
        <v>0</v>
      </c>
      <c r="R639" s="25"/>
      <c r="S639" s="25"/>
      <c r="T639" s="25"/>
      <c r="U639" s="25"/>
      <c r="V639" s="39"/>
      <c r="W639" s="25"/>
      <c r="X639" s="33">
        <f t="shared" si="18"/>
        <v>0</v>
      </c>
      <c r="Y639" s="39"/>
      <c r="Z639" s="25">
        <v>0</v>
      </c>
      <c r="AA639" s="45"/>
      <c r="AB639" s="45"/>
      <c r="AC639" s="45"/>
      <c r="AD639" s="45"/>
      <c r="AE639" s="45"/>
    </row>
    <row r="640" spans="1:31" s="12" customFormat="1" ht="12">
      <c r="A640" s="27">
        <v>45615</v>
      </c>
      <c r="B640" s="20" t="s">
        <v>22</v>
      </c>
      <c r="C640" s="37">
        <v>0</v>
      </c>
      <c r="D640" s="34" t="s">
        <v>187</v>
      </c>
      <c r="E640" s="34" t="e">
        <f>IF(B640="","",VLOOKUP($B640,#REF!,4,FALSE))</f>
        <v>#REF!</v>
      </c>
      <c r="F640" s="34" t="e">
        <f>IF(E640="","",VLOOKUP($B640,#REF!,5,FALSE))</f>
        <v>#REF!</v>
      </c>
      <c r="G640" s="34" t="e">
        <f>IF(F640="","",VLOOKUP($B640,#REF!,6,FALSE))</f>
        <v>#REF!</v>
      </c>
      <c r="H640" s="34" t="e">
        <f>IF(G640="","",VLOOKUP($B640,#REF!,7,FALSE))</f>
        <v>#REF!</v>
      </c>
      <c r="I640" s="25"/>
      <c r="J640" s="25"/>
      <c r="K640" s="25"/>
      <c r="L640" s="25">
        <v>250</v>
      </c>
      <c r="M640" s="25"/>
      <c r="N640" s="25"/>
      <c r="O640" s="33">
        <f t="shared" si="19"/>
        <v>250</v>
      </c>
      <c r="P640" s="25"/>
      <c r="Q640" s="25">
        <v>0</v>
      </c>
      <c r="R640" s="25"/>
      <c r="S640" s="25"/>
      <c r="T640" s="25"/>
      <c r="U640" s="25"/>
      <c r="V640" s="39"/>
      <c r="W640" s="25"/>
      <c r="X640" s="33">
        <f t="shared" si="18"/>
        <v>0</v>
      </c>
      <c r="Y640" s="39"/>
      <c r="Z640" s="25">
        <v>0</v>
      </c>
      <c r="AA640" s="45"/>
      <c r="AB640" s="45"/>
      <c r="AC640" s="45"/>
      <c r="AD640" s="45"/>
      <c r="AE640" s="45"/>
    </row>
    <row r="641" spans="1:31" s="12" customFormat="1" ht="12">
      <c r="A641" s="27">
        <v>45615</v>
      </c>
      <c r="B641" s="53" t="s">
        <v>34</v>
      </c>
      <c r="C641" s="37">
        <v>0</v>
      </c>
      <c r="D641" s="34" t="s">
        <v>187</v>
      </c>
      <c r="E641" s="34" t="e">
        <f>IF(B641="","",VLOOKUP($B641,#REF!,4,FALSE))</f>
        <v>#REF!</v>
      </c>
      <c r="F641" s="34" t="e">
        <f>IF(E641="","",VLOOKUP($B641,#REF!,5,FALSE))</f>
        <v>#REF!</v>
      </c>
      <c r="G641" s="34" t="e">
        <f>IF(F641="","",VLOOKUP($B641,#REF!,6,FALSE))</f>
        <v>#REF!</v>
      </c>
      <c r="H641" s="34" t="e">
        <f>IF(G641="","",VLOOKUP($B641,#REF!,7,FALSE))</f>
        <v>#REF!</v>
      </c>
      <c r="I641" s="25"/>
      <c r="J641" s="25"/>
      <c r="K641" s="25"/>
      <c r="L641" s="25">
        <v>120</v>
      </c>
      <c r="M641" s="25"/>
      <c r="N641" s="25"/>
      <c r="O641" s="33">
        <f t="shared" si="19"/>
        <v>120</v>
      </c>
      <c r="P641" s="25"/>
      <c r="Q641" s="25">
        <v>0</v>
      </c>
      <c r="R641" s="25"/>
      <c r="S641" s="25"/>
      <c r="T641" s="25"/>
      <c r="U641" s="25"/>
      <c r="V641" s="39"/>
      <c r="W641" s="25"/>
      <c r="X641" s="33">
        <f t="shared" si="18"/>
        <v>0</v>
      </c>
      <c r="Y641" s="39"/>
      <c r="Z641" s="25">
        <v>0</v>
      </c>
      <c r="AA641" s="45"/>
      <c r="AB641" s="45"/>
      <c r="AC641" s="45"/>
      <c r="AD641" s="45"/>
      <c r="AE641" s="45"/>
    </row>
    <row r="642" spans="1:31" s="12" customFormat="1" ht="12">
      <c r="A642" s="27">
        <v>45615</v>
      </c>
      <c r="B642" s="53" t="s">
        <v>79</v>
      </c>
      <c r="C642" s="37">
        <v>0</v>
      </c>
      <c r="D642" s="34" t="s">
        <v>187</v>
      </c>
      <c r="E642" s="34" t="e">
        <f>IF(B642="","",VLOOKUP($B642,#REF!,4,FALSE))</f>
        <v>#REF!</v>
      </c>
      <c r="F642" s="34" t="e">
        <f>IF(E642="","",VLOOKUP($B642,#REF!,5,FALSE))</f>
        <v>#REF!</v>
      </c>
      <c r="G642" s="34" t="e">
        <f>IF(F642="","",VLOOKUP($B642,#REF!,6,FALSE))</f>
        <v>#REF!</v>
      </c>
      <c r="H642" s="34" t="e">
        <f>IF(G642="","",VLOOKUP($B642,#REF!,7,FALSE))</f>
        <v>#REF!</v>
      </c>
      <c r="I642" s="25"/>
      <c r="J642" s="25"/>
      <c r="K642" s="25">
        <v>206</v>
      </c>
      <c r="L642" s="25"/>
      <c r="M642" s="25"/>
      <c r="N642" s="25"/>
      <c r="O642" s="33">
        <f t="shared" si="19"/>
        <v>206</v>
      </c>
      <c r="P642" s="25"/>
      <c r="Q642" s="25">
        <v>0</v>
      </c>
      <c r="R642" s="25"/>
      <c r="S642" s="25"/>
      <c r="T642" s="25"/>
      <c r="U642" s="25"/>
      <c r="V642" s="39"/>
      <c r="W642" s="25"/>
      <c r="X642" s="33">
        <f t="shared" si="18"/>
        <v>0</v>
      </c>
      <c r="Y642" s="39"/>
      <c r="Z642" s="25">
        <v>0</v>
      </c>
      <c r="AA642" s="45"/>
      <c r="AB642" s="45"/>
      <c r="AC642" s="45"/>
      <c r="AD642" s="45"/>
      <c r="AE642" s="45"/>
    </row>
    <row r="643" spans="1:31" s="12" customFormat="1" ht="12">
      <c r="A643" s="27">
        <v>45615</v>
      </c>
      <c r="B643" s="53" t="s">
        <v>57</v>
      </c>
      <c r="C643" s="37">
        <v>0</v>
      </c>
      <c r="D643" s="34" t="s">
        <v>187</v>
      </c>
      <c r="E643" s="34" t="e">
        <f>IF(B643="","",VLOOKUP($B643,#REF!,4,FALSE))</f>
        <v>#REF!</v>
      </c>
      <c r="F643" s="34" t="e">
        <f>IF(E643="","",VLOOKUP($B643,#REF!,5,FALSE))</f>
        <v>#REF!</v>
      </c>
      <c r="G643" s="34" t="e">
        <f>IF(F643="","",VLOOKUP($B643,#REF!,6,FALSE))</f>
        <v>#REF!</v>
      </c>
      <c r="H643" s="34" t="e">
        <f>IF(G643="","",VLOOKUP($B643,#REF!,7,FALSE))</f>
        <v>#REF!</v>
      </c>
      <c r="I643" s="25"/>
      <c r="J643" s="25"/>
      <c r="K643" s="25"/>
      <c r="L643" s="25">
        <v>45</v>
      </c>
      <c r="M643" s="25"/>
      <c r="N643" s="25"/>
      <c r="O643" s="33">
        <f t="shared" si="19"/>
        <v>45</v>
      </c>
      <c r="P643" s="25"/>
      <c r="Q643" s="25">
        <v>0</v>
      </c>
      <c r="R643" s="25"/>
      <c r="S643" s="25"/>
      <c r="T643" s="25"/>
      <c r="U643" s="25"/>
      <c r="V643" s="39"/>
      <c r="W643" s="25"/>
      <c r="X643" s="33">
        <f t="shared" si="18"/>
        <v>0</v>
      </c>
      <c r="Y643" s="39"/>
      <c r="Z643" s="25">
        <v>0</v>
      </c>
      <c r="AA643" s="45"/>
      <c r="AB643" s="45"/>
      <c r="AC643" s="45"/>
      <c r="AD643" s="45"/>
      <c r="AE643" s="45"/>
    </row>
    <row r="644" spans="1:31" s="12" customFormat="1" ht="12">
      <c r="A644" s="27">
        <v>45615</v>
      </c>
      <c r="B644" s="74" t="s">
        <v>58</v>
      </c>
      <c r="C644" s="37">
        <v>0</v>
      </c>
      <c r="D644" s="34" t="s">
        <v>187</v>
      </c>
      <c r="E644" s="34" t="e">
        <f>IF(B644="","",VLOOKUP($B644,#REF!,4,FALSE))</f>
        <v>#REF!</v>
      </c>
      <c r="F644" s="34" t="e">
        <f>IF(E644="","",VLOOKUP($B644,#REF!,5,FALSE))</f>
        <v>#REF!</v>
      </c>
      <c r="G644" s="34" t="e">
        <f>IF(F644="","",VLOOKUP($B644,#REF!,6,FALSE))</f>
        <v>#REF!</v>
      </c>
      <c r="H644" s="34" t="e">
        <f>IF(G644="","",VLOOKUP($B644,#REF!,7,FALSE))</f>
        <v>#REF!</v>
      </c>
      <c r="I644" s="25"/>
      <c r="J644" s="25"/>
      <c r="K644" s="25"/>
      <c r="L644" s="25">
        <v>288</v>
      </c>
      <c r="M644" s="25"/>
      <c r="N644" s="25"/>
      <c r="O644" s="33">
        <f t="shared" si="19"/>
        <v>288</v>
      </c>
      <c r="P644" s="25"/>
      <c r="Q644" s="25">
        <v>0</v>
      </c>
      <c r="R644" s="25"/>
      <c r="S644" s="25"/>
      <c r="T644" s="25"/>
      <c r="U644" s="25"/>
      <c r="V644" s="39"/>
      <c r="W644" s="25"/>
      <c r="X644" s="33">
        <f t="shared" si="18"/>
        <v>0</v>
      </c>
      <c r="Y644" s="39"/>
      <c r="Z644" s="25">
        <v>0</v>
      </c>
      <c r="AA644" s="45"/>
      <c r="AB644" s="45"/>
      <c r="AC644" s="45"/>
      <c r="AD644" s="45"/>
      <c r="AE644" s="45"/>
    </row>
    <row r="645" spans="1:31" s="12" customFormat="1" ht="12">
      <c r="A645" s="27">
        <v>45615</v>
      </c>
      <c r="B645" s="53" t="s">
        <v>35</v>
      </c>
      <c r="C645" s="37">
        <v>0</v>
      </c>
      <c r="D645" s="34" t="s">
        <v>187</v>
      </c>
      <c r="E645" s="34" t="e">
        <f>IF(B645="","",VLOOKUP($B645,#REF!,4,FALSE))</f>
        <v>#REF!</v>
      </c>
      <c r="F645" s="34" t="e">
        <f>IF(E645="","",VLOOKUP($B645,#REF!,5,FALSE))</f>
        <v>#REF!</v>
      </c>
      <c r="G645" s="34" t="e">
        <f>IF(F645="","",VLOOKUP($B645,#REF!,6,FALSE))</f>
        <v>#REF!</v>
      </c>
      <c r="H645" s="34" t="e">
        <f>IF(G645="","",VLOOKUP($B645,#REF!,7,FALSE))</f>
        <v>#REF!</v>
      </c>
      <c r="I645" s="25">
        <v>539</v>
      </c>
      <c r="J645" s="25"/>
      <c r="K645" s="25"/>
      <c r="L645" s="25"/>
      <c r="M645" s="25"/>
      <c r="N645" s="25"/>
      <c r="O645" s="33">
        <f t="shared" si="19"/>
        <v>539</v>
      </c>
      <c r="P645" s="25"/>
      <c r="Q645" s="25">
        <v>0</v>
      </c>
      <c r="R645" s="25"/>
      <c r="S645" s="25"/>
      <c r="T645" s="39"/>
      <c r="U645" s="25"/>
      <c r="V645" s="39"/>
      <c r="W645" s="25"/>
      <c r="X645" s="33">
        <f t="shared" ref="X645:X708" si="20">SUM(R645:W645)</f>
        <v>0</v>
      </c>
      <c r="Y645" s="39"/>
      <c r="Z645" s="25">
        <v>0</v>
      </c>
      <c r="AA645" s="45"/>
      <c r="AB645" s="45"/>
      <c r="AC645" s="45"/>
      <c r="AD645" s="45"/>
      <c r="AE645" s="45"/>
    </row>
    <row r="646" spans="1:31" s="12" customFormat="1" ht="12">
      <c r="A646" s="27">
        <v>45616</v>
      </c>
      <c r="B646" s="47" t="s">
        <v>58</v>
      </c>
      <c r="C646" s="37" t="s">
        <v>82</v>
      </c>
      <c r="D646" s="34" t="s">
        <v>186</v>
      </c>
      <c r="E646" s="34" t="e">
        <f>IF(B646="","",VLOOKUP($B646,#REF!,4,FALSE))</f>
        <v>#REF!</v>
      </c>
      <c r="F646" s="34" t="e">
        <f>IF(E646="","",VLOOKUP($B646,#REF!,5,FALSE))</f>
        <v>#REF!</v>
      </c>
      <c r="G646" s="34" t="e">
        <f>IF(F646="","",VLOOKUP($B646,#REF!,6,FALSE))</f>
        <v>#REF!</v>
      </c>
      <c r="H646" s="34" t="e">
        <f>IF(G646="","",VLOOKUP($B646,#REF!,7,FALSE))</f>
        <v>#REF!</v>
      </c>
      <c r="I646" s="25"/>
      <c r="J646" s="25"/>
      <c r="K646" s="25"/>
      <c r="L646" s="25"/>
      <c r="M646" s="25"/>
      <c r="N646" s="25"/>
      <c r="O646" s="33">
        <f t="shared" ref="O646:O709" si="21">SUM(I646:N646)</f>
        <v>0</v>
      </c>
      <c r="P646" s="25"/>
      <c r="Q646" s="25">
        <v>0</v>
      </c>
      <c r="R646" s="25"/>
      <c r="S646" s="25"/>
      <c r="T646" s="39"/>
      <c r="U646" s="25"/>
      <c r="V646" s="39">
        <v>72</v>
      </c>
      <c r="W646" s="25"/>
      <c r="X646" s="33">
        <f t="shared" si="20"/>
        <v>72</v>
      </c>
      <c r="Y646" s="39">
        <v>170880</v>
      </c>
      <c r="Z646" s="25">
        <v>12303360</v>
      </c>
      <c r="AA646" s="45"/>
      <c r="AB646" s="45"/>
      <c r="AC646" s="45"/>
      <c r="AD646" s="45"/>
      <c r="AE646" s="45"/>
    </row>
    <row r="647" spans="1:31" s="12" customFormat="1" ht="12">
      <c r="A647" s="27">
        <v>45616</v>
      </c>
      <c r="B647" s="53" t="s">
        <v>219</v>
      </c>
      <c r="C647" s="37" t="s">
        <v>82</v>
      </c>
      <c r="D647" s="34" t="s">
        <v>186</v>
      </c>
      <c r="E647" s="34" t="e">
        <f>IF(B647="","",VLOOKUP($B647,#REF!,4,FALSE))</f>
        <v>#REF!</v>
      </c>
      <c r="F647" s="34" t="e">
        <f>IF(E647="","",VLOOKUP($B647,#REF!,5,FALSE))</f>
        <v>#REF!</v>
      </c>
      <c r="G647" s="34" t="e">
        <f>IF(F647="","",VLOOKUP($B647,#REF!,6,FALSE))</f>
        <v>#REF!</v>
      </c>
      <c r="H647" s="34" t="e">
        <f>IF(G647="","",VLOOKUP($B647,#REF!,7,FALSE))</f>
        <v>#REF!</v>
      </c>
      <c r="I647" s="25"/>
      <c r="J647" s="25"/>
      <c r="K647" s="25"/>
      <c r="L647" s="25"/>
      <c r="M647" s="25"/>
      <c r="N647" s="25"/>
      <c r="O647" s="33">
        <f t="shared" si="21"/>
        <v>0</v>
      </c>
      <c r="P647" s="25"/>
      <c r="Q647" s="25">
        <v>0</v>
      </c>
      <c r="R647" s="25"/>
      <c r="S647" s="25"/>
      <c r="T647" s="39"/>
      <c r="U647" s="25"/>
      <c r="V647" s="39">
        <v>132</v>
      </c>
      <c r="W647" s="25"/>
      <c r="X647" s="33">
        <f t="shared" si="20"/>
        <v>132</v>
      </c>
      <c r="Y647" s="39">
        <v>235000</v>
      </c>
      <c r="Z647" s="25">
        <v>31020000</v>
      </c>
      <c r="AA647" s="45"/>
      <c r="AB647" s="45"/>
      <c r="AC647" s="45"/>
      <c r="AD647" s="45"/>
      <c r="AE647" s="45"/>
    </row>
    <row r="648" spans="1:31" s="12" customFormat="1" ht="12">
      <c r="A648" s="27">
        <v>45616</v>
      </c>
      <c r="B648" s="53" t="s">
        <v>57</v>
      </c>
      <c r="C648" s="37" t="s">
        <v>82</v>
      </c>
      <c r="D648" s="34" t="s">
        <v>186</v>
      </c>
      <c r="E648" s="34" t="e">
        <f>IF(B648="","",VLOOKUP($B648,#REF!,4,FALSE))</f>
        <v>#REF!</v>
      </c>
      <c r="F648" s="34" t="e">
        <f>IF(E648="","",VLOOKUP($B648,#REF!,5,FALSE))</f>
        <v>#REF!</v>
      </c>
      <c r="G648" s="34" t="e">
        <f>IF(F648="","",VLOOKUP($B648,#REF!,6,FALSE))</f>
        <v>#REF!</v>
      </c>
      <c r="H648" s="34" t="e">
        <f>IF(G648="","",VLOOKUP($B648,#REF!,7,FALSE))</f>
        <v>#REF!</v>
      </c>
      <c r="I648" s="25"/>
      <c r="J648" s="25"/>
      <c r="K648" s="25"/>
      <c r="L648" s="25"/>
      <c r="M648" s="25"/>
      <c r="N648" s="25"/>
      <c r="O648" s="33">
        <f t="shared" si="21"/>
        <v>0</v>
      </c>
      <c r="P648" s="25"/>
      <c r="Q648" s="25">
        <v>0</v>
      </c>
      <c r="R648" s="25"/>
      <c r="S648" s="25"/>
      <c r="T648" s="25"/>
      <c r="U648" s="25"/>
      <c r="V648" s="39">
        <v>96</v>
      </c>
      <c r="W648" s="25"/>
      <c r="X648" s="33">
        <f t="shared" si="20"/>
        <v>96</v>
      </c>
      <c r="Y648" s="39">
        <v>163800</v>
      </c>
      <c r="Z648" s="25">
        <v>15724800</v>
      </c>
      <c r="AA648" s="45"/>
      <c r="AB648" s="45"/>
      <c r="AC648" s="45"/>
      <c r="AD648" s="45"/>
      <c r="AE648" s="45"/>
    </row>
    <row r="649" spans="1:31" s="12" customFormat="1" ht="12">
      <c r="A649" s="27">
        <v>45616</v>
      </c>
      <c r="B649" s="53" t="s">
        <v>24</v>
      </c>
      <c r="C649" s="37" t="s">
        <v>82</v>
      </c>
      <c r="D649" s="34" t="s">
        <v>186</v>
      </c>
      <c r="E649" s="34" t="e">
        <f>IF(B649="","",VLOOKUP($B649,#REF!,4,FALSE))</f>
        <v>#REF!</v>
      </c>
      <c r="F649" s="34" t="e">
        <f>IF(E649="","",VLOOKUP($B649,#REF!,5,FALSE))</f>
        <v>#REF!</v>
      </c>
      <c r="G649" s="34" t="e">
        <f>IF(F649="","",VLOOKUP($B649,#REF!,6,FALSE))</f>
        <v>#REF!</v>
      </c>
      <c r="H649" s="34" t="e">
        <f>IF(G649="","",VLOOKUP($B649,#REF!,7,FALSE))</f>
        <v>#REF!</v>
      </c>
      <c r="I649" s="25"/>
      <c r="J649" s="25"/>
      <c r="K649" s="25"/>
      <c r="L649" s="25"/>
      <c r="M649" s="25"/>
      <c r="N649" s="25"/>
      <c r="O649" s="33">
        <f t="shared" si="21"/>
        <v>0</v>
      </c>
      <c r="P649" s="25"/>
      <c r="Q649" s="25">
        <v>0</v>
      </c>
      <c r="R649" s="25"/>
      <c r="S649" s="25"/>
      <c r="T649" s="25"/>
      <c r="U649" s="25"/>
      <c r="V649" s="39">
        <v>192</v>
      </c>
      <c r="W649" s="25"/>
      <c r="X649" s="33">
        <f t="shared" si="20"/>
        <v>192</v>
      </c>
      <c r="Y649" s="39">
        <v>124920</v>
      </c>
      <c r="Z649" s="25">
        <v>23984640</v>
      </c>
      <c r="AA649" s="45"/>
      <c r="AB649" s="45"/>
      <c r="AC649" s="45"/>
      <c r="AD649" s="45"/>
      <c r="AE649" s="45"/>
    </row>
    <row r="650" spans="1:31" s="12" customFormat="1" ht="12">
      <c r="A650" s="27">
        <v>45616</v>
      </c>
      <c r="B650" s="74" t="s">
        <v>188</v>
      </c>
      <c r="C650" s="37" t="s">
        <v>82</v>
      </c>
      <c r="D650" s="34" t="s">
        <v>186</v>
      </c>
      <c r="E650" s="34" t="e">
        <f>IF(B650="","",VLOOKUP($B650,#REF!,4,FALSE))</f>
        <v>#REF!</v>
      </c>
      <c r="F650" s="34" t="e">
        <f>IF(E650="","",VLOOKUP($B650,#REF!,5,FALSE))</f>
        <v>#REF!</v>
      </c>
      <c r="G650" s="34" t="e">
        <f>IF(F650="","",VLOOKUP($B650,#REF!,6,FALSE))</f>
        <v>#REF!</v>
      </c>
      <c r="H650" s="34" t="e">
        <f>IF(G650="","",VLOOKUP($B650,#REF!,7,FALSE))</f>
        <v>#REF!</v>
      </c>
      <c r="I650" s="25"/>
      <c r="J650" s="25"/>
      <c r="K650" s="25"/>
      <c r="L650" s="25"/>
      <c r="M650" s="25"/>
      <c r="N650" s="25"/>
      <c r="O650" s="33">
        <f t="shared" si="21"/>
        <v>0</v>
      </c>
      <c r="P650" s="25"/>
      <c r="Q650" s="25">
        <v>0</v>
      </c>
      <c r="R650" s="25"/>
      <c r="S650" s="25"/>
      <c r="T650" s="25"/>
      <c r="U650" s="25"/>
      <c r="V650" s="39">
        <v>120</v>
      </c>
      <c r="W650" s="25"/>
      <c r="X650" s="33">
        <f t="shared" si="20"/>
        <v>120</v>
      </c>
      <c r="Y650" s="39">
        <v>128000</v>
      </c>
      <c r="Z650" s="25">
        <v>15360000</v>
      </c>
      <c r="AA650" s="45"/>
      <c r="AB650" s="45"/>
      <c r="AC650" s="45"/>
      <c r="AD650" s="45"/>
      <c r="AE650" s="45"/>
    </row>
    <row r="651" spans="1:31" s="12" customFormat="1" ht="12">
      <c r="A651" s="27">
        <v>45616</v>
      </c>
      <c r="B651" s="74" t="s">
        <v>28</v>
      </c>
      <c r="C651" s="37" t="s">
        <v>82</v>
      </c>
      <c r="D651" s="34" t="s">
        <v>186</v>
      </c>
      <c r="E651" s="34" t="e">
        <f>IF(B651="","",VLOOKUP($B651,#REF!,4,FALSE))</f>
        <v>#REF!</v>
      </c>
      <c r="F651" s="34" t="e">
        <f>IF(E651="","",VLOOKUP($B651,#REF!,5,FALSE))</f>
        <v>#REF!</v>
      </c>
      <c r="G651" s="34" t="e">
        <f>IF(F651="","",VLOOKUP($B651,#REF!,6,FALSE))</f>
        <v>#REF!</v>
      </c>
      <c r="H651" s="34" t="e">
        <f>IF(G651="","",VLOOKUP($B651,#REF!,7,FALSE))</f>
        <v>#REF!</v>
      </c>
      <c r="I651" s="25"/>
      <c r="J651" s="25"/>
      <c r="K651" s="25"/>
      <c r="L651" s="25"/>
      <c r="M651" s="25"/>
      <c r="N651" s="25"/>
      <c r="O651" s="33">
        <f t="shared" si="21"/>
        <v>0</v>
      </c>
      <c r="P651" s="25"/>
      <c r="Q651" s="25">
        <v>0</v>
      </c>
      <c r="R651" s="25"/>
      <c r="S651" s="25"/>
      <c r="T651" s="25"/>
      <c r="U651" s="25"/>
      <c r="V651" s="39">
        <v>108</v>
      </c>
      <c r="W651" s="25"/>
      <c r="X651" s="33">
        <f t="shared" si="20"/>
        <v>108</v>
      </c>
      <c r="Y651" s="39">
        <v>186150</v>
      </c>
      <c r="Z651" s="25">
        <v>20104200</v>
      </c>
      <c r="AA651" s="45"/>
      <c r="AB651" s="45"/>
      <c r="AC651" s="45"/>
      <c r="AD651" s="45"/>
      <c r="AE651" s="45"/>
    </row>
    <row r="652" spans="1:31" s="12" customFormat="1" ht="12">
      <c r="A652" s="27">
        <v>45616</v>
      </c>
      <c r="B652" s="74" t="s">
        <v>160</v>
      </c>
      <c r="C652" s="37" t="s">
        <v>82</v>
      </c>
      <c r="D652" s="34" t="s">
        <v>186</v>
      </c>
      <c r="E652" s="34" t="e">
        <f>IF(B652="","",VLOOKUP($B652,#REF!,4,FALSE))</f>
        <v>#REF!</v>
      </c>
      <c r="F652" s="34" t="e">
        <f>IF(E652="","",VLOOKUP($B652,#REF!,5,FALSE))</f>
        <v>#REF!</v>
      </c>
      <c r="G652" s="34" t="e">
        <f>IF(F652="","",VLOOKUP($B652,#REF!,6,FALSE))</f>
        <v>#REF!</v>
      </c>
      <c r="H652" s="34" t="e">
        <f>IF(G652="","",VLOOKUP($B652,#REF!,7,FALSE))</f>
        <v>#REF!</v>
      </c>
      <c r="I652" s="25"/>
      <c r="J652" s="25"/>
      <c r="K652" s="25"/>
      <c r="L652" s="25"/>
      <c r="M652" s="25"/>
      <c r="N652" s="25"/>
      <c r="O652" s="33">
        <f t="shared" si="21"/>
        <v>0</v>
      </c>
      <c r="P652" s="25"/>
      <c r="Q652" s="25">
        <v>0</v>
      </c>
      <c r="R652" s="25"/>
      <c r="S652" s="25"/>
      <c r="T652" s="25"/>
      <c r="U652" s="25"/>
      <c r="V652" s="39">
        <v>192</v>
      </c>
      <c r="W652" s="25"/>
      <c r="X652" s="33">
        <f t="shared" si="20"/>
        <v>192</v>
      </c>
      <c r="Y652" s="39">
        <v>100300</v>
      </c>
      <c r="Z652" s="25">
        <v>19257600</v>
      </c>
      <c r="AA652" s="45"/>
      <c r="AB652" s="45"/>
      <c r="AC652" s="45"/>
      <c r="AD652" s="45"/>
      <c r="AE652" s="45"/>
    </row>
    <row r="653" spans="1:31" s="12" customFormat="1" ht="12">
      <c r="A653" s="27">
        <v>45616</v>
      </c>
      <c r="B653" s="74" t="s">
        <v>160</v>
      </c>
      <c r="C653" s="37" t="s">
        <v>82</v>
      </c>
      <c r="D653" s="34" t="s">
        <v>186</v>
      </c>
      <c r="E653" s="34" t="e">
        <f>IF(B653="","",VLOOKUP($B653,#REF!,4,FALSE))</f>
        <v>#REF!</v>
      </c>
      <c r="F653" s="34" t="e">
        <f>IF(E653="","",VLOOKUP($B653,#REF!,5,FALSE))</f>
        <v>#REF!</v>
      </c>
      <c r="G653" s="34" t="e">
        <f>IF(F653="","",VLOOKUP($B653,#REF!,6,FALSE))</f>
        <v>#REF!</v>
      </c>
      <c r="H653" s="34" t="e">
        <f>IF(G653="","",VLOOKUP($B653,#REF!,7,FALSE))</f>
        <v>#REF!</v>
      </c>
      <c r="I653" s="25"/>
      <c r="J653" s="25"/>
      <c r="K653" s="25"/>
      <c r="L653" s="25"/>
      <c r="M653" s="25"/>
      <c r="N653" s="25"/>
      <c r="O653" s="33">
        <f t="shared" si="21"/>
        <v>0</v>
      </c>
      <c r="P653" s="25"/>
      <c r="Q653" s="25">
        <v>0</v>
      </c>
      <c r="R653" s="25"/>
      <c r="S653" s="25"/>
      <c r="T653" s="25"/>
      <c r="U653" s="25"/>
      <c r="V653" s="39">
        <v>48</v>
      </c>
      <c r="W653" s="25"/>
      <c r="X653" s="33">
        <f t="shared" si="20"/>
        <v>48</v>
      </c>
      <c r="Y653" s="39">
        <v>100300</v>
      </c>
      <c r="Z653" s="25">
        <v>4814400</v>
      </c>
      <c r="AA653" s="45"/>
      <c r="AB653" s="45"/>
      <c r="AC653" s="45"/>
      <c r="AD653" s="45"/>
      <c r="AE653" s="45"/>
    </row>
    <row r="654" spans="1:31" s="12" customFormat="1" ht="12">
      <c r="A654" s="27">
        <v>45616</v>
      </c>
      <c r="B654" s="74" t="s">
        <v>57</v>
      </c>
      <c r="C654" s="37" t="s">
        <v>82</v>
      </c>
      <c r="D654" s="34" t="s">
        <v>186</v>
      </c>
      <c r="E654" s="34" t="e">
        <f>IF(B654="","",VLOOKUP($B654,#REF!,4,FALSE))</f>
        <v>#REF!</v>
      </c>
      <c r="F654" s="34" t="e">
        <f>IF(E654="","",VLOOKUP($B654,#REF!,5,FALSE))</f>
        <v>#REF!</v>
      </c>
      <c r="G654" s="34" t="e">
        <f>IF(F654="","",VLOOKUP($B654,#REF!,6,FALSE))</f>
        <v>#REF!</v>
      </c>
      <c r="H654" s="34" t="e">
        <f>IF(G654="","",VLOOKUP($B654,#REF!,7,FALSE))</f>
        <v>#REF!</v>
      </c>
      <c r="I654" s="25"/>
      <c r="J654" s="25"/>
      <c r="K654" s="25"/>
      <c r="L654" s="25"/>
      <c r="M654" s="25"/>
      <c r="N654" s="25"/>
      <c r="O654" s="33">
        <f t="shared" si="21"/>
        <v>0</v>
      </c>
      <c r="P654" s="25"/>
      <c r="Q654" s="25">
        <v>0</v>
      </c>
      <c r="R654" s="25"/>
      <c r="S654" s="25"/>
      <c r="T654" s="25"/>
      <c r="U654" s="25"/>
      <c r="V654" s="39">
        <v>16</v>
      </c>
      <c r="W654" s="25"/>
      <c r="X654" s="33">
        <f t="shared" si="20"/>
        <v>16</v>
      </c>
      <c r="Y654" s="39">
        <v>163800</v>
      </c>
      <c r="Z654" s="25">
        <v>2620800</v>
      </c>
      <c r="AA654" s="45"/>
      <c r="AB654" s="45"/>
      <c r="AC654" s="45"/>
      <c r="AD654" s="45"/>
      <c r="AE654" s="45"/>
    </row>
    <row r="655" spans="1:31" s="12" customFormat="1" ht="12">
      <c r="A655" s="27">
        <v>45616</v>
      </c>
      <c r="B655" s="74" t="s">
        <v>21</v>
      </c>
      <c r="C655" s="37" t="s">
        <v>82</v>
      </c>
      <c r="D655" s="34" t="s">
        <v>186</v>
      </c>
      <c r="E655" s="34" t="e">
        <f>IF(B655="","",VLOOKUP($B655,#REF!,4,FALSE))</f>
        <v>#REF!</v>
      </c>
      <c r="F655" s="34" t="e">
        <f>IF(E655="","",VLOOKUP($B655,#REF!,5,FALSE))</f>
        <v>#REF!</v>
      </c>
      <c r="G655" s="34" t="e">
        <f>IF(F655="","",VLOOKUP($B655,#REF!,6,FALSE))</f>
        <v>#REF!</v>
      </c>
      <c r="H655" s="34" t="e">
        <f>IF(G655="","",VLOOKUP($B655,#REF!,7,FALSE))</f>
        <v>#REF!</v>
      </c>
      <c r="I655" s="25"/>
      <c r="J655" s="25"/>
      <c r="K655" s="25"/>
      <c r="L655" s="25"/>
      <c r="M655" s="25"/>
      <c r="N655" s="25"/>
      <c r="O655" s="33">
        <f t="shared" si="21"/>
        <v>0</v>
      </c>
      <c r="P655" s="25"/>
      <c r="Q655" s="25">
        <v>0</v>
      </c>
      <c r="R655" s="25"/>
      <c r="S655" s="25"/>
      <c r="T655" s="25"/>
      <c r="U655" s="25"/>
      <c r="V655" s="39">
        <v>144</v>
      </c>
      <c r="W655" s="25"/>
      <c r="X655" s="33">
        <f t="shared" si="20"/>
        <v>144</v>
      </c>
      <c r="Y655" s="39">
        <v>81800</v>
      </c>
      <c r="Z655" s="25">
        <v>11779200</v>
      </c>
      <c r="AA655" s="45"/>
      <c r="AB655" s="45"/>
      <c r="AC655" s="45"/>
      <c r="AD655" s="45"/>
      <c r="AE655" s="45"/>
    </row>
    <row r="656" spans="1:31" s="12" customFormat="1" ht="12">
      <c r="A656" s="27">
        <v>45616</v>
      </c>
      <c r="B656" s="53" t="s">
        <v>211</v>
      </c>
      <c r="C656" s="37" t="s">
        <v>82</v>
      </c>
      <c r="D656" s="34" t="s">
        <v>186</v>
      </c>
      <c r="E656" s="34" t="e">
        <f>IF(B656="","",VLOOKUP($B656,#REF!,4,FALSE))</f>
        <v>#REF!</v>
      </c>
      <c r="F656" s="34" t="e">
        <f>IF(E656="","",VLOOKUP($B656,#REF!,5,FALSE))</f>
        <v>#REF!</v>
      </c>
      <c r="G656" s="34" t="e">
        <f>IF(F656="","",VLOOKUP($B656,#REF!,6,FALSE))</f>
        <v>#REF!</v>
      </c>
      <c r="H656" s="34" t="e">
        <f>IF(G656="","",VLOOKUP($B656,#REF!,7,FALSE))</f>
        <v>#REF!</v>
      </c>
      <c r="I656" s="25"/>
      <c r="J656" s="25"/>
      <c r="K656" s="25"/>
      <c r="L656" s="25"/>
      <c r="M656" s="25"/>
      <c r="N656" s="25"/>
      <c r="O656" s="33">
        <f t="shared" si="21"/>
        <v>0</v>
      </c>
      <c r="P656" s="25"/>
      <c r="Q656" s="25">
        <v>0</v>
      </c>
      <c r="R656" s="25"/>
      <c r="S656" s="25"/>
      <c r="T656" s="25"/>
      <c r="U656" s="25"/>
      <c r="V656" s="39">
        <v>180</v>
      </c>
      <c r="W656" s="25"/>
      <c r="X656" s="33">
        <f t="shared" si="20"/>
        <v>180</v>
      </c>
      <c r="Y656" s="39">
        <v>46020</v>
      </c>
      <c r="Z656" s="25">
        <v>8283600</v>
      </c>
      <c r="AA656" s="45"/>
      <c r="AB656" s="45"/>
      <c r="AC656" s="45"/>
      <c r="AD656" s="45"/>
      <c r="AE656" s="45"/>
    </row>
    <row r="657" spans="1:31" s="12" customFormat="1" ht="12">
      <c r="A657" s="27">
        <v>45616</v>
      </c>
      <c r="B657" s="53" t="s">
        <v>15</v>
      </c>
      <c r="C657" s="37" t="s">
        <v>83</v>
      </c>
      <c r="D657" s="34" t="s">
        <v>185</v>
      </c>
      <c r="E657" s="34" t="e">
        <f>IF(B657="","",VLOOKUP($B657,#REF!,4,FALSE))</f>
        <v>#REF!</v>
      </c>
      <c r="F657" s="34" t="e">
        <f>IF(E657="","",VLOOKUP($B657,#REF!,5,FALSE))</f>
        <v>#REF!</v>
      </c>
      <c r="G657" s="34" t="e">
        <f>IF(F657="","",VLOOKUP($B657,#REF!,6,FALSE))</f>
        <v>#REF!</v>
      </c>
      <c r="H657" s="34" t="e">
        <f>IF(G657="","",VLOOKUP($B657,#REF!,7,FALSE))</f>
        <v>#REF!</v>
      </c>
      <c r="I657" s="25"/>
      <c r="J657" s="25"/>
      <c r="K657" s="25"/>
      <c r="L657" s="25"/>
      <c r="M657" s="25"/>
      <c r="N657" s="25"/>
      <c r="O657" s="33">
        <f t="shared" si="21"/>
        <v>0</v>
      </c>
      <c r="P657" s="25"/>
      <c r="Q657" s="25">
        <v>0</v>
      </c>
      <c r="R657" s="25"/>
      <c r="S657" s="25"/>
      <c r="T657" s="25">
        <v>26</v>
      </c>
      <c r="U657" s="25"/>
      <c r="V657" s="39"/>
      <c r="W657" s="25"/>
      <c r="X657" s="33">
        <f t="shared" si="20"/>
        <v>26</v>
      </c>
      <c r="Y657" s="39"/>
      <c r="Z657" s="25">
        <v>0</v>
      </c>
      <c r="AA657" s="45"/>
      <c r="AB657" s="45"/>
      <c r="AC657" s="45"/>
      <c r="AD657" s="45"/>
      <c r="AE657" s="45"/>
    </row>
    <row r="658" spans="1:31" s="12" customFormat="1" ht="12">
      <c r="A658" s="27">
        <v>45616</v>
      </c>
      <c r="B658" s="53" t="s">
        <v>232</v>
      </c>
      <c r="C658" s="37" t="s">
        <v>82</v>
      </c>
      <c r="D658" s="34" t="s">
        <v>186</v>
      </c>
      <c r="E658" s="34" t="e">
        <f>IF(B658="","",VLOOKUP($B658,#REF!,4,FALSE))</f>
        <v>#REF!</v>
      </c>
      <c r="F658" s="34" t="e">
        <f>IF(E658="","",VLOOKUP($B658,#REF!,5,FALSE))</f>
        <v>#REF!</v>
      </c>
      <c r="G658" s="34" t="e">
        <f>IF(F658="","",VLOOKUP($B658,#REF!,6,FALSE))</f>
        <v>#REF!</v>
      </c>
      <c r="H658" s="34" t="e">
        <f>IF(G658="","",VLOOKUP($B658,#REF!,7,FALSE))</f>
        <v>#REF!</v>
      </c>
      <c r="I658" s="25"/>
      <c r="J658" s="25"/>
      <c r="K658" s="25"/>
      <c r="L658" s="25"/>
      <c r="M658" s="25">
        <v>24</v>
      </c>
      <c r="N658" s="25"/>
      <c r="O658" s="33">
        <f t="shared" si="21"/>
        <v>24</v>
      </c>
      <c r="P658" s="25"/>
      <c r="Q658" s="25">
        <v>0</v>
      </c>
      <c r="R658" s="25"/>
      <c r="S658" s="25"/>
      <c r="T658" s="25"/>
      <c r="U658" s="25"/>
      <c r="V658" s="39">
        <v>24</v>
      </c>
      <c r="W658" s="25"/>
      <c r="X658" s="33">
        <f t="shared" si="20"/>
        <v>24</v>
      </c>
      <c r="Y658" s="39">
        <v>59760</v>
      </c>
      <c r="Z658" s="25">
        <v>1434240</v>
      </c>
      <c r="AA658" s="45"/>
      <c r="AB658" s="45"/>
      <c r="AC658" s="45"/>
      <c r="AD658" s="45"/>
      <c r="AE658" s="45"/>
    </row>
    <row r="659" spans="1:31" s="12" customFormat="1" ht="12">
      <c r="A659" s="27">
        <v>45616</v>
      </c>
      <c r="B659" s="53" t="s">
        <v>232</v>
      </c>
      <c r="C659" s="37" t="s">
        <v>82</v>
      </c>
      <c r="D659" s="34" t="s">
        <v>186</v>
      </c>
      <c r="E659" s="34" t="e">
        <f>IF(B659="","",VLOOKUP($B659,#REF!,4,FALSE))</f>
        <v>#REF!</v>
      </c>
      <c r="F659" s="34" t="e">
        <f>IF(E659="","",VLOOKUP($B659,#REF!,5,FALSE))</f>
        <v>#REF!</v>
      </c>
      <c r="G659" s="34" t="e">
        <f>IF(F659="","",VLOOKUP($B659,#REF!,6,FALSE))</f>
        <v>#REF!</v>
      </c>
      <c r="H659" s="34" t="e">
        <f>IF(G659="","",VLOOKUP($B659,#REF!,7,FALSE))</f>
        <v>#REF!</v>
      </c>
      <c r="I659" s="25"/>
      <c r="J659" s="25"/>
      <c r="K659" s="25"/>
      <c r="L659" s="25"/>
      <c r="M659" s="25">
        <v>2</v>
      </c>
      <c r="N659" s="25"/>
      <c r="O659" s="33">
        <f t="shared" si="21"/>
        <v>2</v>
      </c>
      <c r="P659" s="25"/>
      <c r="Q659" s="25">
        <v>0</v>
      </c>
      <c r="R659" s="25"/>
      <c r="S659" s="25"/>
      <c r="T659" s="25"/>
      <c r="U659" s="25"/>
      <c r="V659" s="39">
        <v>2</v>
      </c>
      <c r="W659" s="25"/>
      <c r="X659" s="33">
        <f t="shared" si="20"/>
        <v>2</v>
      </c>
      <c r="Y659" s="39">
        <v>59760</v>
      </c>
      <c r="Z659" s="25">
        <v>119520</v>
      </c>
      <c r="AA659" s="45"/>
      <c r="AB659" s="45"/>
      <c r="AC659" s="45"/>
      <c r="AD659" s="45"/>
      <c r="AE659" s="45"/>
    </row>
    <row r="660" spans="1:31" s="12" customFormat="1" ht="12">
      <c r="A660" s="27">
        <v>45616</v>
      </c>
      <c r="B660" s="53" t="s">
        <v>47</v>
      </c>
      <c r="C660" s="37" t="s">
        <v>82</v>
      </c>
      <c r="D660" s="34" t="s">
        <v>186</v>
      </c>
      <c r="E660" s="34" t="e">
        <f>IF(B660="","",VLOOKUP($B660,#REF!,4,FALSE))</f>
        <v>#REF!</v>
      </c>
      <c r="F660" s="34" t="e">
        <f>IF(E660="","",VLOOKUP($B660,#REF!,5,FALSE))</f>
        <v>#REF!</v>
      </c>
      <c r="G660" s="34" t="e">
        <f>IF(F660="","",VLOOKUP($B660,#REF!,6,FALSE))</f>
        <v>#REF!</v>
      </c>
      <c r="H660" s="34" t="e">
        <f>IF(G660="","",VLOOKUP($B660,#REF!,7,FALSE))</f>
        <v>#REF!</v>
      </c>
      <c r="I660" s="25"/>
      <c r="J660" s="25"/>
      <c r="K660" s="25"/>
      <c r="L660" s="25"/>
      <c r="M660" s="25"/>
      <c r="N660" s="25"/>
      <c r="O660" s="33">
        <f t="shared" si="21"/>
        <v>0</v>
      </c>
      <c r="P660" s="25"/>
      <c r="Q660" s="25">
        <v>0</v>
      </c>
      <c r="R660" s="25"/>
      <c r="S660" s="25"/>
      <c r="T660" s="25"/>
      <c r="U660" s="25"/>
      <c r="V660" s="39">
        <v>56</v>
      </c>
      <c r="W660" s="25"/>
      <c r="X660" s="33">
        <f t="shared" si="20"/>
        <v>56</v>
      </c>
      <c r="Y660" s="39">
        <v>18860</v>
      </c>
      <c r="Z660" s="25">
        <v>1056160</v>
      </c>
      <c r="AA660" s="45"/>
      <c r="AB660" s="45"/>
      <c r="AC660" s="45"/>
      <c r="AD660" s="45"/>
      <c r="AE660" s="45"/>
    </row>
    <row r="661" spans="1:31" s="12" customFormat="1" ht="12">
      <c r="A661" s="27">
        <v>45616</v>
      </c>
      <c r="B661" s="53" t="s">
        <v>160</v>
      </c>
      <c r="C661" s="37" t="s">
        <v>82</v>
      </c>
      <c r="D661" s="34" t="s">
        <v>186</v>
      </c>
      <c r="E661" s="34" t="e">
        <f>IF(B661="","",VLOOKUP($B661,#REF!,4,FALSE))</f>
        <v>#REF!</v>
      </c>
      <c r="F661" s="34" t="e">
        <f>IF(E661="","",VLOOKUP($B661,#REF!,5,FALSE))</f>
        <v>#REF!</v>
      </c>
      <c r="G661" s="34" t="e">
        <f>IF(F661="","",VLOOKUP($B661,#REF!,6,FALSE))</f>
        <v>#REF!</v>
      </c>
      <c r="H661" s="34" t="e">
        <f>IF(G661="","",VLOOKUP($B661,#REF!,7,FALSE))</f>
        <v>#REF!</v>
      </c>
      <c r="I661" s="25"/>
      <c r="J661" s="25"/>
      <c r="K661" s="25"/>
      <c r="L661" s="25"/>
      <c r="M661" s="25"/>
      <c r="N661" s="25"/>
      <c r="O661" s="33">
        <f t="shared" si="21"/>
        <v>0</v>
      </c>
      <c r="P661" s="25"/>
      <c r="Q661" s="25">
        <v>0</v>
      </c>
      <c r="R661" s="25"/>
      <c r="S661" s="25"/>
      <c r="T661" s="25"/>
      <c r="U661" s="25"/>
      <c r="V661" s="39">
        <v>12</v>
      </c>
      <c r="W661" s="25"/>
      <c r="X661" s="33">
        <f t="shared" si="20"/>
        <v>12</v>
      </c>
      <c r="Y661" s="39">
        <v>97900</v>
      </c>
      <c r="Z661" s="25">
        <v>1174800</v>
      </c>
      <c r="AA661" s="45"/>
      <c r="AB661" s="45"/>
      <c r="AC661" s="45"/>
      <c r="AD661" s="45"/>
      <c r="AE661" s="45"/>
    </row>
    <row r="662" spans="1:31" s="12" customFormat="1" ht="12">
      <c r="A662" s="27">
        <v>45616</v>
      </c>
      <c r="B662" s="53" t="s">
        <v>35</v>
      </c>
      <c r="C662" s="37" t="s">
        <v>141</v>
      </c>
      <c r="D662" s="34" t="s">
        <v>173</v>
      </c>
      <c r="E662" s="34" t="e">
        <f>IF(B662="","",VLOOKUP($B662,#REF!,4,FALSE))</f>
        <v>#REF!</v>
      </c>
      <c r="F662" s="34" t="e">
        <f>IF(E662="","",VLOOKUP($B662,#REF!,5,FALSE))</f>
        <v>#REF!</v>
      </c>
      <c r="G662" s="34" t="e">
        <f>IF(F662="","",VLOOKUP($B662,#REF!,6,FALSE))</f>
        <v>#REF!</v>
      </c>
      <c r="H662" s="34" t="e">
        <f>IF(G662="","",VLOOKUP($B662,#REF!,7,FALSE))</f>
        <v>#REF!</v>
      </c>
      <c r="I662" s="25"/>
      <c r="J662" s="25"/>
      <c r="K662" s="25"/>
      <c r="L662" s="25"/>
      <c r="M662" s="25"/>
      <c r="N662" s="25"/>
      <c r="O662" s="33">
        <f t="shared" si="21"/>
        <v>0</v>
      </c>
      <c r="P662" s="25"/>
      <c r="Q662" s="25">
        <v>0</v>
      </c>
      <c r="R662" s="25">
        <v>960</v>
      </c>
      <c r="S662" s="25"/>
      <c r="T662" s="25"/>
      <c r="U662" s="25"/>
      <c r="V662" s="39"/>
      <c r="W662" s="25"/>
      <c r="X662" s="33">
        <f t="shared" si="20"/>
        <v>960</v>
      </c>
      <c r="Y662" s="39">
        <f>Z662/X662</f>
        <v>87519.6</v>
      </c>
      <c r="Z662" s="39">
        <v>84018816</v>
      </c>
      <c r="AA662" s="45" t="s">
        <v>206</v>
      </c>
      <c r="AB662" s="45" t="s">
        <v>141</v>
      </c>
      <c r="AC662" s="45" t="s">
        <v>173</v>
      </c>
      <c r="AD662" s="45"/>
      <c r="AE662" s="45"/>
    </row>
    <row r="663" spans="1:31" s="12" customFormat="1" ht="12">
      <c r="A663" s="27">
        <v>45616</v>
      </c>
      <c r="B663" s="53" t="s">
        <v>24</v>
      </c>
      <c r="C663" s="37" t="s">
        <v>117</v>
      </c>
      <c r="D663" s="34" t="s">
        <v>225</v>
      </c>
      <c r="E663" s="34" t="e">
        <f>IF(B663="","",VLOOKUP($B663,#REF!,4,FALSE))</f>
        <v>#REF!</v>
      </c>
      <c r="F663" s="34" t="e">
        <f>IF(E663="","",VLOOKUP($B663,#REF!,5,FALSE))</f>
        <v>#REF!</v>
      </c>
      <c r="G663" s="34" t="e">
        <f>IF(F663="","",VLOOKUP($B663,#REF!,6,FALSE))</f>
        <v>#REF!</v>
      </c>
      <c r="H663" s="34" t="e">
        <f>IF(G663="","",VLOOKUP($B663,#REF!,7,FALSE))</f>
        <v>#REF!</v>
      </c>
      <c r="I663" s="25"/>
      <c r="J663" s="25">
        <v>320</v>
      </c>
      <c r="K663" s="25"/>
      <c r="L663" s="25"/>
      <c r="M663" s="25"/>
      <c r="N663" s="25"/>
      <c r="O663" s="33">
        <f t="shared" si="21"/>
        <v>320</v>
      </c>
      <c r="P663" s="25">
        <v>74400</v>
      </c>
      <c r="Q663" s="25">
        <v>23808000</v>
      </c>
      <c r="R663" s="25"/>
      <c r="S663" s="25"/>
      <c r="T663" s="25"/>
      <c r="U663" s="25"/>
      <c r="V663" s="39"/>
      <c r="W663" s="25"/>
      <c r="X663" s="33">
        <f t="shared" si="20"/>
        <v>0</v>
      </c>
      <c r="Y663" s="39"/>
      <c r="Z663" s="25">
        <v>0</v>
      </c>
      <c r="AA663" s="45"/>
      <c r="AB663" s="45"/>
      <c r="AC663" s="45"/>
      <c r="AD663" s="45"/>
      <c r="AE663" s="45"/>
    </row>
    <row r="664" spans="1:31" s="12" customFormat="1" ht="12">
      <c r="A664" s="27">
        <v>45616</v>
      </c>
      <c r="B664" s="53" t="s">
        <v>15</v>
      </c>
      <c r="C664" s="37" t="s">
        <v>83</v>
      </c>
      <c r="D664" s="34" t="s">
        <v>185</v>
      </c>
      <c r="E664" s="34" t="e">
        <f>IF(B664="","",VLOOKUP($B664,#REF!,4,FALSE))</f>
        <v>#REF!</v>
      </c>
      <c r="F664" s="34" t="e">
        <f>IF(E664="","",VLOOKUP($B664,#REF!,5,FALSE))</f>
        <v>#REF!</v>
      </c>
      <c r="G664" s="34" t="e">
        <f>IF(F664="","",VLOOKUP($B664,#REF!,6,FALSE))</f>
        <v>#REF!</v>
      </c>
      <c r="H664" s="34" t="e">
        <f>IF(G664="","",VLOOKUP($B664,#REF!,7,FALSE))</f>
        <v>#REF!</v>
      </c>
      <c r="I664" s="25"/>
      <c r="J664" s="25"/>
      <c r="K664" s="25"/>
      <c r="L664" s="25"/>
      <c r="M664" s="25"/>
      <c r="N664" s="25"/>
      <c r="O664" s="33">
        <f t="shared" si="21"/>
        <v>0</v>
      </c>
      <c r="P664" s="25"/>
      <c r="Q664" s="25">
        <v>0</v>
      </c>
      <c r="R664" s="25"/>
      <c r="S664" s="25"/>
      <c r="T664" s="25">
        <v>4</v>
      </c>
      <c r="U664" s="25"/>
      <c r="V664" s="39"/>
      <c r="W664" s="25"/>
      <c r="X664" s="33">
        <f t="shared" si="20"/>
        <v>4</v>
      </c>
      <c r="Y664" s="39">
        <v>69600</v>
      </c>
      <c r="Z664" s="25">
        <v>278400</v>
      </c>
      <c r="AA664" s="45"/>
      <c r="AB664" s="45"/>
      <c r="AC664" s="45"/>
      <c r="AD664" s="45"/>
      <c r="AE664" s="45"/>
    </row>
    <row r="665" spans="1:31" s="12" customFormat="1" ht="12">
      <c r="A665" s="27">
        <v>45616</v>
      </c>
      <c r="B665" s="53" t="s">
        <v>25</v>
      </c>
      <c r="C665" s="37" t="s">
        <v>83</v>
      </c>
      <c r="D665" s="34" t="s">
        <v>185</v>
      </c>
      <c r="E665" s="34" t="e">
        <f>IF(B665="","",VLOOKUP($B665,#REF!,4,FALSE))</f>
        <v>#REF!</v>
      </c>
      <c r="F665" s="34" t="e">
        <f>IF(E665="","",VLOOKUP($B665,#REF!,5,FALSE))</f>
        <v>#REF!</v>
      </c>
      <c r="G665" s="34" t="e">
        <f>IF(F665="","",VLOOKUP($B665,#REF!,6,FALSE))</f>
        <v>#REF!</v>
      </c>
      <c r="H665" s="34" t="e">
        <f>IF(G665="","",VLOOKUP($B665,#REF!,7,FALSE))</f>
        <v>#REF!</v>
      </c>
      <c r="I665" s="25"/>
      <c r="J665" s="25"/>
      <c r="K665" s="25"/>
      <c r="L665" s="25"/>
      <c r="M665" s="25"/>
      <c r="N665" s="25"/>
      <c r="O665" s="33">
        <f t="shared" si="21"/>
        <v>0</v>
      </c>
      <c r="P665" s="25"/>
      <c r="Q665" s="25">
        <v>0</v>
      </c>
      <c r="R665" s="25"/>
      <c r="S665" s="25"/>
      <c r="T665" s="25">
        <v>2</v>
      </c>
      <c r="U665" s="25"/>
      <c r="V665" s="39"/>
      <c r="W665" s="25"/>
      <c r="X665" s="33">
        <f t="shared" si="20"/>
        <v>2</v>
      </c>
      <c r="Y665" s="39">
        <v>57000</v>
      </c>
      <c r="Z665" s="25">
        <v>114000</v>
      </c>
      <c r="AA665" s="45"/>
      <c r="AB665" s="45"/>
      <c r="AC665" s="45"/>
      <c r="AD665" s="45"/>
      <c r="AE665" s="45"/>
    </row>
    <row r="666" spans="1:31" s="12" customFormat="1" ht="12">
      <c r="A666" s="27">
        <v>45616</v>
      </c>
      <c r="B666" s="53" t="s">
        <v>38</v>
      </c>
      <c r="C666" s="37" t="s">
        <v>83</v>
      </c>
      <c r="D666" s="34" t="s">
        <v>185</v>
      </c>
      <c r="E666" s="34" t="e">
        <f>IF(B666="","",VLOOKUP($B666,#REF!,4,FALSE))</f>
        <v>#REF!</v>
      </c>
      <c r="F666" s="34" t="e">
        <f>IF(E666="","",VLOOKUP($B666,#REF!,5,FALSE))</f>
        <v>#REF!</v>
      </c>
      <c r="G666" s="34" t="e">
        <f>IF(F666="","",VLOOKUP($B666,#REF!,6,FALSE))</f>
        <v>#REF!</v>
      </c>
      <c r="H666" s="34" t="e">
        <f>IF(G666="","",VLOOKUP($B666,#REF!,7,FALSE))</f>
        <v>#REF!</v>
      </c>
      <c r="I666" s="25"/>
      <c r="J666" s="25"/>
      <c r="K666" s="25"/>
      <c r="L666" s="25"/>
      <c r="M666" s="25"/>
      <c r="N666" s="25"/>
      <c r="O666" s="33">
        <f t="shared" si="21"/>
        <v>0</v>
      </c>
      <c r="P666" s="25"/>
      <c r="Q666" s="25">
        <v>0</v>
      </c>
      <c r="R666" s="25"/>
      <c r="S666" s="25"/>
      <c r="T666" s="25">
        <v>153</v>
      </c>
      <c r="U666" s="25"/>
      <c r="V666" s="39"/>
      <c r="W666" s="25"/>
      <c r="X666" s="33">
        <f t="shared" si="20"/>
        <v>153</v>
      </c>
      <c r="Y666" s="39">
        <v>54600</v>
      </c>
      <c r="Z666" s="25">
        <v>8353800</v>
      </c>
      <c r="AA666" s="45"/>
      <c r="AB666" s="45"/>
      <c r="AC666" s="45"/>
      <c r="AD666" s="45"/>
      <c r="AE666" s="45"/>
    </row>
    <row r="667" spans="1:31" s="12" customFormat="1" ht="12">
      <c r="A667" s="27">
        <v>45616</v>
      </c>
      <c r="B667" s="47" t="s">
        <v>23</v>
      </c>
      <c r="C667" s="37" t="s">
        <v>83</v>
      </c>
      <c r="D667" s="34" t="s">
        <v>185</v>
      </c>
      <c r="E667" s="34" t="e">
        <f>IF(B667="","",VLOOKUP($B667,#REF!,4,FALSE))</f>
        <v>#REF!</v>
      </c>
      <c r="F667" s="34" t="e">
        <f>IF(E667="","",VLOOKUP($B667,#REF!,5,FALSE))</f>
        <v>#REF!</v>
      </c>
      <c r="G667" s="34" t="e">
        <f>IF(F667="","",VLOOKUP($B667,#REF!,6,FALSE))</f>
        <v>#REF!</v>
      </c>
      <c r="H667" s="34" t="e">
        <f>IF(G667="","",VLOOKUP($B667,#REF!,7,FALSE))</f>
        <v>#REF!</v>
      </c>
      <c r="I667" s="25"/>
      <c r="J667" s="25"/>
      <c r="K667" s="25"/>
      <c r="L667" s="25"/>
      <c r="M667" s="25"/>
      <c r="N667" s="25"/>
      <c r="O667" s="33">
        <f t="shared" si="21"/>
        <v>0</v>
      </c>
      <c r="P667" s="25"/>
      <c r="Q667" s="25">
        <v>0</v>
      </c>
      <c r="R667" s="25"/>
      <c r="S667" s="25"/>
      <c r="T667" s="25">
        <v>7</v>
      </c>
      <c r="U667" s="25"/>
      <c r="V667" s="39"/>
      <c r="W667" s="25"/>
      <c r="X667" s="33">
        <f t="shared" si="20"/>
        <v>7</v>
      </c>
      <c r="Y667" s="39">
        <v>46080</v>
      </c>
      <c r="Z667" s="25">
        <v>322560</v>
      </c>
      <c r="AA667" s="45"/>
      <c r="AB667" s="45"/>
      <c r="AC667" s="45"/>
      <c r="AD667" s="45"/>
      <c r="AE667" s="45"/>
    </row>
    <row r="668" spans="1:31" s="12" customFormat="1" ht="12">
      <c r="A668" s="27">
        <v>45616</v>
      </c>
      <c r="B668" s="41" t="s">
        <v>61</v>
      </c>
      <c r="C668" s="37" t="s">
        <v>83</v>
      </c>
      <c r="D668" s="34" t="s">
        <v>185</v>
      </c>
      <c r="E668" s="34" t="e">
        <f>IF(B668="","",VLOOKUP($B668,#REF!,4,FALSE))</f>
        <v>#REF!</v>
      </c>
      <c r="F668" s="34" t="e">
        <f>IF(E668="","",VLOOKUP($B668,#REF!,5,FALSE))</f>
        <v>#REF!</v>
      </c>
      <c r="G668" s="34" t="e">
        <f>IF(F668="","",VLOOKUP($B668,#REF!,6,FALSE))</f>
        <v>#REF!</v>
      </c>
      <c r="H668" s="34" t="e">
        <f>IF(G668="","",VLOOKUP($B668,#REF!,7,FALSE))</f>
        <v>#REF!</v>
      </c>
      <c r="I668" s="25"/>
      <c r="J668" s="25"/>
      <c r="K668" s="25"/>
      <c r="L668" s="25"/>
      <c r="M668" s="25"/>
      <c r="N668" s="25"/>
      <c r="O668" s="33">
        <f t="shared" si="21"/>
        <v>0</v>
      </c>
      <c r="P668" s="25"/>
      <c r="Q668" s="25">
        <v>0</v>
      </c>
      <c r="R668" s="25"/>
      <c r="S668" s="25"/>
      <c r="T668" s="25">
        <v>33</v>
      </c>
      <c r="U668" s="25"/>
      <c r="V668" s="39"/>
      <c r="W668" s="25"/>
      <c r="X668" s="33">
        <f t="shared" si="20"/>
        <v>33</v>
      </c>
      <c r="Y668" s="39">
        <v>67500</v>
      </c>
      <c r="Z668" s="25">
        <v>2227500</v>
      </c>
      <c r="AA668" s="45">
        <f>10-3-7</f>
        <v>0</v>
      </c>
      <c r="AB668" s="45" t="s">
        <v>278</v>
      </c>
      <c r="AC668" s="45"/>
      <c r="AD668" s="45"/>
      <c r="AE668" s="45"/>
    </row>
    <row r="669" spans="1:31" s="12" customFormat="1" ht="12">
      <c r="A669" s="27">
        <v>45616</v>
      </c>
      <c r="B669" s="53" t="s">
        <v>26</v>
      </c>
      <c r="C669" s="37" t="s">
        <v>83</v>
      </c>
      <c r="D669" s="34" t="s">
        <v>185</v>
      </c>
      <c r="E669" s="34" t="e">
        <f>IF(B669="","",VLOOKUP($B669,#REF!,4,FALSE))</f>
        <v>#REF!</v>
      </c>
      <c r="F669" s="34" t="e">
        <f>IF(E669="","",VLOOKUP($B669,#REF!,5,FALSE))</f>
        <v>#REF!</v>
      </c>
      <c r="G669" s="34" t="e">
        <f>IF(F669="","",VLOOKUP($B669,#REF!,6,FALSE))</f>
        <v>#REF!</v>
      </c>
      <c r="H669" s="34" t="e">
        <f>IF(G669="","",VLOOKUP($B669,#REF!,7,FALSE))</f>
        <v>#REF!</v>
      </c>
      <c r="I669" s="25"/>
      <c r="J669" s="25"/>
      <c r="K669" s="25"/>
      <c r="L669" s="25"/>
      <c r="M669" s="25"/>
      <c r="N669" s="25"/>
      <c r="O669" s="33">
        <f t="shared" si="21"/>
        <v>0</v>
      </c>
      <c r="P669" s="25"/>
      <c r="Q669" s="25">
        <v>0</v>
      </c>
      <c r="R669" s="25"/>
      <c r="S669" s="25"/>
      <c r="T669" s="25">
        <v>2</v>
      </c>
      <c r="U669" s="25"/>
      <c r="V669" s="39"/>
      <c r="W669" s="25"/>
      <c r="X669" s="33">
        <f t="shared" si="20"/>
        <v>2</v>
      </c>
      <c r="Y669" s="39">
        <v>23200</v>
      </c>
      <c r="Z669" s="25">
        <v>46400</v>
      </c>
      <c r="AA669" s="45"/>
      <c r="AB669" s="45"/>
      <c r="AC669" s="45"/>
      <c r="AD669" s="45"/>
      <c r="AE669" s="45"/>
    </row>
    <row r="670" spans="1:31" s="12" customFormat="1" ht="12">
      <c r="A670" s="27">
        <v>45616</v>
      </c>
      <c r="B670" s="53" t="s">
        <v>8</v>
      </c>
      <c r="C670" s="37" t="s">
        <v>83</v>
      </c>
      <c r="D670" s="34" t="s">
        <v>185</v>
      </c>
      <c r="E670" s="34" t="e">
        <f>IF(B670="","",VLOOKUP($B670,#REF!,4,FALSE))</f>
        <v>#REF!</v>
      </c>
      <c r="F670" s="34" t="e">
        <f>IF(E670="","",VLOOKUP($B670,#REF!,5,FALSE))</f>
        <v>#REF!</v>
      </c>
      <c r="G670" s="34" t="e">
        <f>IF(F670="","",VLOOKUP($B670,#REF!,6,FALSE))</f>
        <v>#REF!</v>
      </c>
      <c r="H670" s="34" t="e">
        <f>IF(G670="","",VLOOKUP($B670,#REF!,7,FALSE))</f>
        <v>#REF!</v>
      </c>
      <c r="I670" s="25"/>
      <c r="J670" s="25"/>
      <c r="K670" s="25"/>
      <c r="L670" s="25"/>
      <c r="M670" s="25"/>
      <c r="N670" s="25"/>
      <c r="O670" s="33">
        <f t="shared" si="21"/>
        <v>0</v>
      </c>
      <c r="P670" s="25"/>
      <c r="Q670" s="25">
        <v>0</v>
      </c>
      <c r="R670" s="25"/>
      <c r="S670" s="25"/>
      <c r="T670" s="25">
        <v>35</v>
      </c>
      <c r="U670" s="25"/>
      <c r="V670" s="39"/>
      <c r="W670" s="25"/>
      <c r="X670" s="33">
        <f t="shared" si="20"/>
        <v>35</v>
      </c>
      <c r="Y670" s="39">
        <v>36300</v>
      </c>
      <c r="Z670" s="25">
        <v>1270500</v>
      </c>
      <c r="AA670" s="45"/>
      <c r="AB670" s="45"/>
      <c r="AC670" s="45"/>
      <c r="AD670" s="45"/>
      <c r="AE670" s="45"/>
    </row>
    <row r="671" spans="1:31" s="12" customFormat="1" ht="12">
      <c r="A671" s="27">
        <v>45616</v>
      </c>
      <c r="B671" s="53" t="s">
        <v>10</v>
      </c>
      <c r="C671" s="37" t="s">
        <v>83</v>
      </c>
      <c r="D671" s="34" t="s">
        <v>185</v>
      </c>
      <c r="E671" s="34" t="e">
        <f>IF(B671="","",VLOOKUP($B671,#REF!,4,FALSE))</f>
        <v>#REF!</v>
      </c>
      <c r="F671" s="34" t="e">
        <f>IF(E671="","",VLOOKUP($B671,#REF!,5,FALSE))</f>
        <v>#REF!</v>
      </c>
      <c r="G671" s="34" t="e">
        <f>IF(F671="","",VLOOKUP($B671,#REF!,6,FALSE))</f>
        <v>#REF!</v>
      </c>
      <c r="H671" s="34" t="e">
        <f>IF(G671="","",VLOOKUP($B671,#REF!,7,FALSE))</f>
        <v>#REF!</v>
      </c>
      <c r="I671" s="25"/>
      <c r="J671" s="25"/>
      <c r="K671" s="25"/>
      <c r="L671" s="25"/>
      <c r="M671" s="25"/>
      <c r="N671" s="25"/>
      <c r="O671" s="33">
        <f t="shared" si="21"/>
        <v>0</v>
      </c>
      <c r="P671" s="25"/>
      <c r="Q671" s="25">
        <v>0</v>
      </c>
      <c r="R671" s="25"/>
      <c r="S671" s="25"/>
      <c r="T671" s="25">
        <v>1</v>
      </c>
      <c r="U671" s="25"/>
      <c r="V671" s="39"/>
      <c r="W671" s="25"/>
      <c r="X671" s="33">
        <f t="shared" si="20"/>
        <v>1</v>
      </c>
      <c r="Y671" s="39"/>
      <c r="Z671" s="25">
        <v>0</v>
      </c>
      <c r="AA671" s="45"/>
      <c r="AB671" s="45"/>
      <c r="AC671" s="45"/>
      <c r="AD671" s="45"/>
      <c r="AE671" s="45"/>
    </row>
    <row r="672" spans="1:31" s="12" customFormat="1" ht="12">
      <c r="A672" s="27">
        <v>45616</v>
      </c>
      <c r="B672" s="75" t="s">
        <v>161</v>
      </c>
      <c r="C672" s="37" t="s">
        <v>83</v>
      </c>
      <c r="D672" s="34" t="s">
        <v>185</v>
      </c>
      <c r="E672" s="34" t="e">
        <f>IF(B672="","",VLOOKUP($B672,#REF!,4,FALSE))</f>
        <v>#REF!</v>
      </c>
      <c r="F672" s="34" t="e">
        <f>IF(E672="","",VLOOKUP($B672,#REF!,5,FALSE))</f>
        <v>#REF!</v>
      </c>
      <c r="G672" s="34" t="e">
        <f>IF(F672="","",VLOOKUP($B672,#REF!,6,FALSE))</f>
        <v>#REF!</v>
      </c>
      <c r="H672" s="34" t="e">
        <f>IF(G672="","",VLOOKUP($B672,#REF!,7,FALSE))</f>
        <v>#REF!</v>
      </c>
      <c r="I672" s="25"/>
      <c r="J672" s="25"/>
      <c r="K672" s="25">
        <v>1</v>
      </c>
      <c r="L672" s="25"/>
      <c r="M672" s="25"/>
      <c r="N672" s="25"/>
      <c r="O672" s="33">
        <f t="shared" si="21"/>
        <v>1</v>
      </c>
      <c r="P672" s="25"/>
      <c r="Q672" s="25">
        <v>0</v>
      </c>
      <c r="R672" s="25"/>
      <c r="S672" s="25"/>
      <c r="T672" s="25">
        <v>1</v>
      </c>
      <c r="U672" s="25"/>
      <c r="V672" s="39"/>
      <c r="W672" s="25"/>
      <c r="X672" s="33">
        <f t="shared" si="20"/>
        <v>1</v>
      </c>
      <c r="Y672" s="39">
        <v>44280</v>
      </c>
      <c r="Z672" s="25">
        <v>44280</v>
      </c>
      <c r="AA672" s="45"/>
      <c r="AB672" s="45"/>
      <c r="AC672" s="45"/>
      <c r="AD672" s="45"/>
      <c r="AE672" s="45"/>
    </row>
    <row r="673" spans="1:31" s="12" customFormat="1" ht="12">
      <c r="A673" s="27">
        <v>45616</v>
      </c>
      <c r="B673" s="47" t="s">
        <v>14</v>
      </c>
      <c r="C673" s="37" t="s">
        <v>84</v>
      </c>
      <c r="D673" s="34" t="s">
        <v>184</v>
      </c>
      <c r="E673" s="34" t="e">
        <f>IF(B673="","",VLOOKUP($B673,#REF!,4,FALSE))</f>
        <v>#REF!</v>
      </c>
      <c r="F673" s="34" t="e">
        <f>IF(E673="","",VLOOKUP($B673,#REF!,5,FALSE))</f>
        <v>#REF!</v>
      </c>
      <c r="G673" s="34" t="e">
        <f>IF(F673="","",VLOOKUP($B673,#REF!,6,FALSE))</f>
        <v>#REF!</v>
      </c>
      <c r="H673" s="34" t="e">
        <f>IF(G673="","",VLOOKUP($B673,#REF!,7,FALSE))</f>
        <v>#REF!</v>
      </c>
      <c r="I673" s="25"/>
      <c r="J673" s="25"/>
      <c r="K673" s="25"/>
      <c r="L673" s="25"/>
      <c r="M673" s="25"/>
      <c r="N673" s="25"/>
      <c r="O673" s="33">
        <f t="shared" si="21"/>
        <v>0</v>
      </c>
      <c r="P673" s="25"/>
      <c r="Q673" s="25">
        <v>0</v>
      </c>
      <c r="R673" s="25"/>
      <c r="S673" s="25"/>
      <c r="T673" s="25">
        <v>12</v>
      </c>
      <c r="U673" s="25"/>
      <c r="V673" s="39"/>
      <c r="W673" s="25"/>
      <c r="X673" s="33">
        <f t="shared" si="20"/>
        <v>12</v>
      </c>
      <c r="Y673" s="39">
        <v>51200</v>
      </c>
      <c r="Z673" s="25">
        <v>614400</v>
      </c>
      <c r="AA673" s="45" t="s">
        <v>276</v>
      </c>
      <c r="AB673" s="45"/>
      <c r="AC673" s="45"/>
      <c r="AD673" s="45"/>
      <c r="AE673" s="45"/>
    </row>
    <row r="674" spans="1:31" s="12" customFormat="1" ht="12">
      <c r="A674" s="27">
        <v>45616</v>
      </c>
      <c r="B674" s="53" t="s">
        <v>12</v>
      </c>
      <c r="C674" s="37" t="s">
        <v>84</v>
      </c>
      <c r="D674" s="34" t="s">
        <v>184</v>
      </c>
      <c r="E674" s="34" t="e">
        <f>IF(B674="","",VLOOKUP($B674,#REF!,4,FALSE))</f>
        <v>#REF!</v>
      </c>
      <c r="F674" s="34" t="e">
        <f>IF(E674="","",VLOOKUP($B674,#REF!,5,FALSE))</f>
        <v>#REF!</v>
      </c>
      <c r="G674" s="34" t="e">
        <f>IF(F674="","",VLOOKUP($B674,#REF!,6,FALSE))</f>
        <v>#REF!</v>
      </c>
      <c r="H674" s="34" t="e">
        <f>IF(G674="","",VLOOKUP($B674,#REF!,7,FALSE))</f>
        <v>#REF!</v>
      </c>
      <c r="I674" s="25"/>
      <c r="J674" s="25"/>
      <c r="K674" s="25"/>
      <c r="L674" s="25"/>
      <c r="M674" s="25"/>
      <c r="N674" s="25"/>
      <c r="O674" s="33">
        <f t="shared" si="21"/>
        <v>0</v>
      </c>
      <c r="P674" s="25"/>
      <c r="Q674" s="25">
        <v>0</v>
      </c>
      <c r="R674" s="25"/>
      <c r="S674" s="25"/>
      <c r="T674" s="25">
        <v>2</v>
      </c>
      <c r="U674" s="25"/>
      <c r="V674" s="39"/>
      <c r="W674" s="25"/>
      <c r="X674" s="33">
        <f t="shared" si="20"/>
        <v>2</v>
      </c>
      <c r="Y674" s="39">
        <v>41820</v>
      </c>
      <c r="Z674" s="25">
        <v>83636</v>
      </c>
      <c r="AA674" s="45" t="s">
        <v>276</v>
      </c>
      <c r="AB674" s="45"/>
      <c r="AC674" s="45"/>
      <c r="AD674" s="45"/>
      <c r="AE674" s="45"/>
    </row>
    <row r="675" spans="1:31" s="12" customFormat="1" ht="12">
      <c r="A675" s="27">
        <v>45616</v>
      </c>
      <c r="B675" s="53" t="s">
        <v>32</v>
      </c>
      <c r="C675" s="37" t="s">
        <v>84</v>
      </c>
      <c r="D675" s="34" t="s">
        <v>184</v>
      </c>
      <c r="E675" s="34" t="e">
        <f>IF(B675="","",VLOOKUP($B675,#REF!,4,FALSE))</f>
        <v>#REF!</v>
      </c>
      <c r="F675" s="34" t="e">
        <f>IF(E675="","",VLOOKUP($B675,#REF!,5,FALSE))</f>
        <v>#REF!</v>
      </c>
      <c r="G675" s="34" t="e">
        <f>IF(F675="","",VLOOKUP($B675,#REF!,6,FALSE))</f>
        <v>#REF!</v>
      </c>
      <c r="H675" s="34" t="e">
        <f>IF(G675="","",VLOOKUP($B675,#REF!,7,FALSE))</f>
        <v>#REF!</v>
      </c>
      <c r="I675" s="25"/>
      <c r="J675" s="25"/>
      <c r="K675" s="25"/>
      <c r="L675" s="25"/>
      <c r="M675" s="25"/>
      <c r="N675" s="25"/>
      <c r="O675" s="33">
        <f t="shared" si="21"/>
        <v>0</v>
      </c>
      <c r="P675" s="25"/>
      <c r="Q675" s="25">
        <v>0</v>
      </c>
      <c r="R675" s="25"/>
      <c r="S675" s="25"/>
      <c r="T675" s="25">
        <v>6</v>
      </c>
      <c r="U675" s="25"/>
      <c r="V675" s="39"/>
      <c r="W675" s="25"/>
      <c r="X675" s="33">
        <f t="shared" si="20"/>
        <v>6</v>
      </c>
      <c r="Y675" s="39">
        <v>81816</v>
      </c>
      <c r="Z675" s="25">
        <v>490909</v>
      </c>
      <c r="AA675" s="45" t="s">
        <v>276</v>
      </c>
      <c r="AB675" s="45"/>
      <c r="AC675" s="45"/>
      <c r="AD675" s="45"/>
      <c r="AE675" s="45"/>
    </row>
    <row r="676" spans="1:31" s="12" customFormat="1" ht="12">
      <c r="A676" s="27">
        <v>45616</v>
      </c>
      <c r="B676" s="53" t="s">
        <v>198</v>
      </c>
      <c r="C676" s="37" t="s">
        <v>84</v>
      </c>
      <c r="D676" s="34" t="s">
        <v>184</v>
      </c>
      <c r="E676" s="34" t="e">
        <f>IF(B676="","",VLOOKUP($B676,#REF!,4,FALSE))</f>
        <v>#REF!</v>
      </c>
      <c r="F676" s="34" t="e">
        <f>IF(E676="","",VLOOKUP($B676,#REF!,5,FALSE))</f>
        <v>#REF!</v>
      </c>
      <c r="G676" s="34" t="e">
        <f>IF(F676="","",VLOOKUP($B676,#REF!,6,FALSE))</f>
        <v>#REF!</v>
      </c>
      <c r="H676" s="34" t="e">
        <f>IF(G676="","",VLOOKUP($B676,#REF!,7,FALSE))</f>
        <v>#REF!</v>
      </c>
      <c r="I676" s="25"/>
      <c r="J676" s="25"/>
      <c r="K676" s="25"/>
      <c r="L676" s="25"/>
      <c r="M676" s="25"/>
      <c r="N676" s="25"/>
      <c r="O676" s="33">
        <f t="shared" si="21"/>
        <v>0</v>
      </c>
      <c r="P676" s="25"/>
      <c r="Q676" s="25">
        <v>0</v>
      </c>
      <c r="R676" s="25"/>
      <c r="S676" s="25"/>
      <c r="T676" s="25">
        <v>1</v>
      </c>
      <c r="U676" s="25"/>
      <c r="V676" s="39"/>
      <c r="W676" s="25"/>
      <c r="X676" s="33">
        <f t="shared" si="20"/>
        <v>1</v>
      </c>
      <c r="Y676" s="39">
        <v>76360</v>
      </c>
      <c r="Z676" s="25">
        <v>76364</v>
      </c>
      <c r="AA676" s="45" t="s">
        <v>276</v>
      </c>
      <c r="AB676" s="45"/>
      <c r="AC676" s="45"/>
      <c r="AD676" s="45"/>
      <c r="AE676" s="45"/>
    </row>
    <row r="677" spans="1:31" s="12" customFormat="1" ht="12">
      <c r="A677" s="27">
        <v>45616</v>
      </c>
      <c r="B677" s="73" t="s">
        <v>63</v>
      </c>
      <c r="C677" s="37" t="s">
        <v>84</v>
      </c>
      <c r="D677" s="34" t="s">
        <v>184</v>
      </c>
      <c r="E677" s="34" t="e">
        <f>IF(B677="","",VLOOKUP($B677,#REF!,4,FALSE))</f>
        <v>#REF!</v>
      </c>
      <c r="F677" s="34" t="e">
        <f>IF(E677="","",VLOOKUP($B677,#REF!,5,FALSE))</f>
        <v>#REF!</v>
      </c>
      <c r="G677" s="34" t="e">
        <f>IF(F677="","",VLOOKUP($B677,#REF!,6,FALSE))</f>
        <v>#REF!</v>
      </c>
      <c r="H677" s="34" t="e">
        <f>IF(G677="","",VLOOKUP($B677,#REF!,7,FALSE))</f>
        <v>#REF!</v>
      </c>
      <c r="I677" s="25"/>
      <c r="J677" s="25"/>
      <c r="K677" s="25"/>
      <c r="L677" s="25"/>
      <c r="M677" s="25"/>
      <c r="N677" s="25"/>
      <c r="O677" s="33">
        <f t="shared" si="21"/>
        <v>0</v>
      </c>
      <c r="P677" s="25"/>
      <c r="Q677" s="25">
        <v>0</v>
      </c>
      <c r="R677" s="25"/>
      <c r="S677" s="25"/>
      <c r="T677" s="25">
        <v>8</v>
      </c>
      <c r="U677" s="25"/>
      <c r="V677" s="39"/>
      <c r="W677" s="25"/>
      <c r="X677" s="33">
        <f t="shared" si="20"/>
        <v>8</v>
      </c>
      <c r="Y677" s="39">
        <v>130000</v>
      </c>
      <c r="Z677" s="25">
        <v>1040000</v>
      </c>
      <c r="AA677" s="45" t="s">
        <v>276</v>
      </c>
      <c r="AB677" s="45"/>
      <c r="AC677" s="45"/>
      <c r="AD677" s="45"/>
      <c r="AE677" s="45"/>
    </row>
    <row r="678" spans="1:31" s="12" customFormat="1" ht="12">
      <c r="A678" s="27">
        <v>45616</v>
      </c>
      <c r="B678" s="28" t="s">
        <v>64</v>
      </c>
      <c r="C678" s="37" t="s">
        <v>84</v>
      </c>
      <c r="D678" s="34" t="s">
        <v>184</v>
      </c>
      <c r="E678" s="34" t="e">
        <f>IF(B678="","",VLOOKUP($B678,#REF!,4,FALSE))</f>
        <v>#REF!</v>
      </c>
      <c r="F678" s="34" t="e">
        <f>IF(E678="","",VLOOKUP($B678,#REF!,5,FALSE))</f>
        <v>#REF!</v>
      </c>
      <c r="G678" s="34" t="e">
        <f>IF(F678="","",VLOOKUP($B678,#REF!,6,FALSE))</f>
        <v>#REF!</v>
      </c>
      <c r="H678" s="34" t="e">
        <f>IF(G678="","",VLOOKUP($B678,#REF!,7,FALSE))</f>
        <v>#REF!</v>
      </c>
      <c r="I678" s="25"/>
      <c r="J678" s="25"/>
      <c r="K678" s="25"/>
      <c r="L678" s="25"/>
      <c r="M678" s="25"/>
      <c r="N678" s="25"/>
      <c r="O678" s="33">
        <f t="shared" si="21"/>
        <v>0</v>
      </c>
      <c r="P678" s="25"/>
      <c r="Q678" s="25">
        <v>0</v>
      </c>
      <c r="R678" s="25"/>
      <c r="S678" s="25"/>
      <c r="T678" s="25">
        <v>5</v>
      </c>
      <c r="U678" s="25"/>
      <c r="V678" s="39"/>
      <c r="W678" s="25"/>
      <c r="X678" s="33">
        <f t="shared" si="20"/>
        <v>5</v>
      </c>
      <c r="Y678" s="39">
        <v>94550</v>
      </c>
      <c r="Z678" s="25">
        <v>472727</v>
      </c>
      <c r="AA678" s="45" t="s">
        <v>276</v>
      </c>
      <c r="AB678" s="45"/>
      <c r="AC678" s="45"/>
      <c r="AD678" s="45"/>
      <c r="AE678" s="45"/>
    </row>
    <row r="679" spans="1:31" s="12" customFormat="1" ht="12">
      <c r="A679" s="27">
        <v>45616</v>
      </c>
      <c r="B679" s="73" t="s">
        <v>163</v>
      </c>
      <c r="C679" s="37" t="s">
        <v>136</v>
      </c>
      <c r="D679" s="34" t="s">
        <v>177</v>
      </c>
      <c r="E679" s="34" t="e">
        <f>IF(B679="","",VLOOKUP($B679,#REF!,4,FALSE))</f>
        <v>#REF!</v>
      </c>
      <c r="F679" s="34" t="e">
        <f>IF(E679="","",VLOOKUP($B679,#REF!,5,FALSE))</f>
        <v>#REF!</v>
      </c>
      <c r="G679" s="34" t="e">
        <f>IF(F679="","",VLOOKUP($B679,#REF!,6,FALSE))</f>
        <v>#REF!</v>
      </c>
      <c r="H679" s="34" t="e">
        <f>IF(G679="","",VLOOKUP($B679,#REF!,7,FALSE))</f>
        <v>#REF!</v>
      </c>
      <c r="I679" s="25"/>
      <c r="J679" s="25"/>
      <c r="K679" s="25"/>
      <c r="L679" s="25"/>
      <c r="M679" s="25"/>
      <c r="N679" s="25"/>
      <c r="O679" s="33">
        <f t="shared" si="21"/>
        <v>0</v>
      </c>
      <c r="P679" s="25"/>
      <c r="Q679" s="25">
        <v>0</v>
      </c>
      <c r="R679" s="25"/>
      <c r="S679" s="25"/>
      <c r="T679" s="25">
        <v>2</v>
      </c>
      <c r="U679" s="25"/>
      <c r="V679" s="39"/>
      <c r="W679" s="25"/>
      <c r="X679" s="33">
        <f t="shared" si="20"/>
        <v>2</v>
      </c>
      <c r="Y679" s="39">
        <v>46400</v>
      </c>
      <c r="Z679" s="25">
        <v>92800</v>
      </c>
      <c r="AA679" s="45" t="s">
        <v>136</v>
      </c>
      <c r="AB679" s="45" t="s">
        <v>177</v>
      </c>
      <c r="AC679" s="45"/>
      <c r="AD679" s="45"/>
      <c r="AE679" s="45"/>
    </row>
    <row r="680" spans="1:31" s="12" customFormat="1" ht="12">
      <c r="A680" s="27">
        <v>45616</v>
      </c>
      <c r="B680" s="28" t="s">
        <v>11</v>
      </c>
      <c r="C680" s="37" t="s">
        <v>135</v>
      </c>
      <c r="D680" s="34" t="s">
        <v>179</v>
      </c>
      <c r="E680" s="34" t="e">
        <f>IF(B680="","",VLOOKUP($B680,#REF!,4,FALSE))</f>
        <v>#REF!</v>
      </c>
      <c r="F680" s="34" t="e">
        <f>IF(E680="","",VLOOKUP($B680,#REF!,5,FALSE))</f>
        <v>#REF!</v>
      </c>
      <c r="G680" s="34" t="e">
        <f>IF(F680="","",VLOOKUP($B680,#REF!,6,FALSE))</f>
        <v>#REF!</v>
      </c>
      <c r="H680" s="34" t="e">
        <f>IF(G680="","",VLOOKUP($B680,#REF!,7,FALSE))</f>
        <v>#REF!</v>
      </c>
      <c r="I680" s="25"/>
      <c r="J680" s="25"/>
      <c r="K680" s="25"/>
      <c r="L680" s="25"/>
      <c r="M680" s="25"/>
      <c r="N680" s="25"/>
      <c r="O680" s="33">
        <f t="shared" si="21"/>
        <v>0</v>
      </c>
      <c r="P680" s="25"/>
      <c r="Q680" s="25">
        <v>0</v>
      </c>
      <c r="R680" s="25"/>
      <c r="S680" s="25"/>
      <c r="T680" s="25">
        <v>1</v>
      </c>
      <c r="U680" s="25"/>
      <c r="V680" s="39"/>
      <c r="W680" s="25"/>
      <c r="X680" s="33">
        <f t="shared" si="20"/>
        <v>1</v>
      </c>
      <c r="Y680" s="39">
        <v>44000</v>
      </c>
      <c r="Z680" s="25">
        <v>44000</v>
      </c>
      <c r="AA680" s="45" t="s">
        <v>135</v>
      </c>
      <c r="AB680" s="45" t="s">
        <v>179</v>
      </c>
      <c r="AC680" s="45"/>
      <c r="AD680" s="45"/>
      <c r="AE680" s="45"/>
    </row>
    <row r="681" spans="1:31" s="12" customFormat="1" ht="12">
      <c r="A681" s="27">
        <v>45616</v>
      </c>
      <c r="B681" s="28" t="s">
        <v>211</v>
      </c>
      <c r="C681" s="37">
        <v>0</v>
      </c>
      <c r="D681" s="34" t="s">
        <v>187</v>
      </c>
      <c r="E681" s="34" t="e">
        <f>IF(B681="","",VLOOKUP($B681,#REF!,4,FALSE))</f>
        <v>#REF!</v>
      </c>
      <c r="F681" s="34" t="e">
        <f>IF(E681="","",VLOOKUP($B681,#REF!,5,FALSE))</f>
        <v>#REF!</v>
      </c>
      <c r="G681" s="34" t="e">
        <f>IF(F681="","",VLOOKUP($B681,#REF!,6,FALSE))</f>
        <v>#REF!</v>
      </c>
      <c r="H681" s="34" t="e">
        <f>IF(G681="","",VLOOKUP($B681,#REF!,7,FALSE))</f>
        <v>#REF!</v>
      </c>
      <c r="I681" s="25"/>
      <c r="J681" s="25"/>
      <c r="K681" s="25"/>
      <c r="L681" s="25">
        <v>229</v>
      </c>
      <c r="M681" s="25"/>
      <c r="N681" s="25"/>
      <c r="O681" s="33">
        <f t="shared" si="21"/>
        <v>229</v>
      </c>
      <c r="P681" s="25"/>
      <c r="Q681" s="25">
        <v>0</v>
      </c>
      <c r="R681" s="25"/>
      <c r="S681" s="25"/>
      <c r="T681" s="25"/>
      <c r="U681" s="25"/>
      <c r="V681" s="39"/>
      <c r="W681" s="25"/>
      <c r="X681" s="33">
        <f t="shared" si="20"/>
        <v>0</v>
      </c>
      <c r="Y681" s="39"/>
      <c r="Z681" s="25">
        <v>0</v>
      </c>
      <c r="AA681" s="45"/>
      <c r="AB681" s="45"/>
      <c r="AC681" s="45"/>
      <c r="AD681" s="45"/>
      <c r="AE681" s="45"/>
    </row>
    <row r="682" spans="1:31" s="12" customFormat="1" ht="12">
      <c r="A682" s="27">
        <v>45616</v>
      </c>
      <c r="B682" s="28" t="s">
        <v>164</v>
      </c>
      <c r="C682" s="37">
        <v>0</v>
      </c>
      <c r="D682" s="34" t="s">
        <v>187</v>
      </c>
      <c r="E682" s="34" t="e">
        <f>IF(B682="","",VLOOKUP($B682,#REF!,4,FALSE))</f>
        <v>#REF!</v>
      </c>
      <c r="F682" s="34" t="e">
        <f>IF(E682="","",VLOOKUP($B682,#REF!,5,FALSE))</f>
        <v>#REF!</v>
      </c>
      <c r="G682" s="34" t="e">
        <f>IF(F682="","",VLOOKUP($B682,#REF!,6,FALSE))</f>
        <v>#REF!</v>
      </c>
      <c r="H682" s="34" t="e">
        <f>IF(G682="","",VLOOKUP($B682,#REF!,7,FALSE))</f>
        <v>#REF!</v>
      </c>
      <c r="I682" s="25"/>
      <c r="J682" s="25"/>
      <c r="K682" s="25"/>
      <c r="L682" s="25">
        <v>514</v>
      </c>
      <c r="M682" s="25"/>
      <c r="N682" s="25"/>
      <c r="O682" s="33">
        <f t="shared" si="21"/>
        <v>514</v>
      </c>
      <c r="P682" s="25"/>
      <c r="Q682" s="25">
        <v>0</v>
      </c>
      <c r="R682" s="25"/>
      <c r="S682" s="25"/>
      <c r="T682" s="25"/>
      <c r="U682" s="25"/>
      <c r="V682" s="39"/>
      <c r="W682" s="25"/>
      <c r="X682" s="33">
        <f t="shared" si="20"/>
        <v>0</v>
      </c>
      <c r="Y682" s="39"/>
      <c r="Z682" s="25">
        <v>0</v>
      </c>
      <c r="AA682" s="45"/>
      <c r="AB682" s="45"/>
      <c r="AC682" s="45"/>
      <c r="AD682" s="45"/>
      <c r="AE682" s="45"/>
    </row>
    <row r="683" spans="1:31" s="12" customFormat="1" ht="12">
      <c r="A683" s="27">
        <v>45616</v>
      </c>
      <c r="B683" s="29" t="s">
        <v>57</v>
      </c>
      <c r="C683" s="37">
        <v>0</v>
      </c>
      <c r="D683" s="34" t="s">
        <v>187</v>
      </c>
      <c r="E683" s="34" t="e">
        <f>IF(B683="","",VLOOKUP($B683,#REF!,4,FALSE))</f>
        <v>#REF!</v>
      </c>
      <c r="F683" s="34" t="e">
        <f>IF(E683="","",VLOOKUP($B683,#REF!,5,FALSE))</f>
        <v>#REF!</v>
      </c>
      <c r="G683" s="34" t="e">
        <f>IF(F683="","",VLOOKUP($B683,#REF!,6,FALSE))</f>
        <v>#REF!</v>
      </c>
      <c r="H683" s="34" t="e">
        <f>IF(G683="","",VLOOKUP($B683,#REF!,7,FALSE))</f>
        <v>#REF!</v>
      </c>
      <c r="I683" s="25"/>
      <c r="J683" s="25"/>
      <c r="K683" s="25"/>
      <c r="L683" s="25">
        <v>151</v>
      </c>
      <c r="M683" s="25"/>
      <c r="N683" s="25"/>
      <c r="O683" s="33">
        <f t="shared" si="21"/>
        <v>151</v>
      </c>
      <c r="P683" s="25"/>
      <c r="Q683" s="25">
        <v>0</v>
      </c>
      <c r="R683" s="25"/>
      <c r="S683" s="25"/>
      <c r="T683" s="25"/>
      <c r="U683" s="25"/>
      <c r="V683" s="39"/>
      <c r="W683" s="25"/>
      <c r="X683" s="33">
        <f t="shared" si="20"/>
        <v>0</v>
      </c>
      <c r="Y683" s="39"/>
      <c r="Z683" s="25">
        <v>0</v>
      </c>
      <c r="AA683" s="45"/>
      <c r="AB683" s="45"/>
      <c r="AC683" s="45"/>
      <c r="AD683" s="45"/>
      <c r="AE683" s="45"/>
    </row>
    <row r="684" spans="1:31" s="12" customFormat="1" ht="12">
      <c r="A684" s="27">
        <v>45616</v>
      </c>
      <c r="B684" s="53" t="s">
        <v>64</v>
      </c>
      <c r="C684" s="37">
        <v>0</v>
      </c>
      <c r="D684" s="34" t="s">
        <v>187</v>
      </c>
      <c r="E684" s="34" t="e">
        <f>IF(B684="","",VLOOKUP($B684,#REF!,4,FALSE))</f>
        <v>#REF!</v>
      </c>
      <c r="F684" s="34" t="e">
        <f>IF(E684="","",VLOOKUP($B684,#REF!,5,FALSE))</f>
        <v>#REF!</v>
      </c>
      <c r="G684" s="34" t="e">
        <f>IF(F684="","",VLOOKUP($B684,#REF!,6,FALSE))</f>
        <v>#REF!</v>
      </c>
      <c r="H684" s="34" t="e">
        <f>IF(G684="","",VLOOKUP($B684,#REF!,7,FALSE))</f>
        <v>#REF!</v>
      </c>
      <c r="I684" s="25"/>
      <c r="J684" s="25"/>
      <c r="K684" s="25">
        <v>272</v>
      </c>
      <c r="L684" s="25"/>
      <c r="M684" s="25"/>
      <c r="N684" s="25"/>
      <c r="O684" s="33">
        <f t="shared" si="21"/>
        <v>272</v>
      </c>
      <c r="P684" s="25"/>
      <c r="Q684" s="25">
        <v>0</v>
      </c>
      <c r="R684" s="25"/>
      <c r="S684" s="25"/>
      <c r="T684" s="25"/>
      <c r="U684" s="25"/>
      <c r="V684" s="39"/>
      <c r="W684" s="25"/>
      <c r="X684" s="33">
        <f t="shared" si="20"/>
        <v>0</v>
      </c>
      <c r="Y684" s="39"/>
      <c r="Z684" s="25">
        <v>0</v>
      </c>
      <c r="AA684" s="45"/>
      <c r="AB684" s="45"/>
      <c r="AC684" s="45"/>
      <c r="AD684" s="45"/>
      <c r="AE684" s="45"/>
    </row>
    <row r="685" spans="1:31" s="12" customFormat="1" ht="12">
      <c r="A685" s="27">
        <v>45616</v>
      </c>
      <c r="B685" s="53" t="s">
        <v>160</v>
      </c>
      <c r="C685" s="37">
        <v>0</v>
      </c>
      <c r="D685" s="34" t="s">
        <v>187</v>
      </c>
      <c r="E685" s="34" t="e">
        <f>IF(B685="","",VLOOKUP($B685,#REF!,4,FALSE))</f>
        <v>#REF!</v>
      </c>
      <c r="F685" s="34" t="e">
        <f>IF(E685="","",VLOOKUP($B685,#REF!,5,FALSE))</f>
        <v>#REF!</v>
      </c>
      <c r="G685" s="34" t="e">
        <f>IF(F685="","",VLOOKUP($B685,#REF!,6,FALSE))</f>
        <v>#REF!</v>
      </c>
      <c r="H685" s="34" t="e">
        <f>IF(G685="","",VLOOKUP($B685,#REF!,7,FALSE))</f>
        <v>#REF!</v>
      </c>
      <c r="I685" s="25"/>
      <c r="J685" s="25">
        <v>612</v>
      </c>
      <c r="K685" s="25"/>
      <c r="L685" s="25"/>
      <c r="M685" s="25"/>
      <c r="N685" s="25"/>
      <c r="O685" s="33">
        <f t="shared" si="21"/>
        <v>612</v>
      </c>
      <c r="P685" s="25"/>
      <c r="Q685" s="25">
        <v>0</v>
      </c>
      <c r="R685" s="25"/>
      <c r="S685" s="25"/>
      <c r="T685" s="25"/>
      <c r="U685" s="25"/>
      <c r="V685" s="39"/>
      <c r="W685" s="25"/>
      <c r="X685" s="33">
        <f t="shared" si="20"/>
        <v>0</v>
      </c>
      <c r="Y685" s="39"/>
      <c r="Z685" s="25">
        <v>0</v>
      </c>
      <c r="AA685" s="45"/>
      <c r="AB685" s="45"/>
      <c r="AC685" s="45"/>
      <c r="AD685" s="45"/>
      <c r="AE685" s="45"/>
    </row>
    <row r="686" spans="1:31" s="12" customFormat="1" ht="12">
      <c r="A686" s="27">
        <v>45616</v>
      </c>
      <c r="B686" s="53" t="s">
        <v>35</v>
      </c>
      <c r="C686" s="37">
        <v>0</v>
      </c>
      <c r="D686" s="34" t="s">
        <v>187</v>
      </c>
      <c r="E686" s="34" t="e">
        <f>IF(B686="","",VLOOKUP($B686,#REF!,4,FALSE))</f>
        <v>#REF!</v>
      </c>
      <c r="F686" s="34" t="e">
        <f>IF(E686="","",VLOOKUP($B686,#REF!,5,FALSE))</f>
        <v>#REF!</v>
      </c>
      <c r="G686" s="34" t="e">
        <f>IF(F686="","",VLOOKUP($B686,#REF!,6,FALSE))</f>
        <v>#REF!</v>
      </c>
      <c r="H686" s="34" t="e">
        <f>IF(G686="","",VLOOKUP($B686,#REF!,7,FALSE))</f>
        <v>#REF!</v>
      </c>
      <c r="I686" s="25">
        <v>857</v>
      </c>
      <c r="J686" s="25"/>
      <c r="K686" s="25"/>
      <c r="L686" s="25"/>
      <c r="M686" s="25"/>
      <c r="N686" s="25"/>
      <c r="O686" s="33">
        <f t="shared" si="21"/>
        <v>857</v>
      </c>
      <c r="P686" s="25"/>
      <c r="Q686" s="25">
        <v>0</v>
      </c>
      <c r="R686" s="25"/>
      <c r="S686" s="25"/>
      <c r="T686" s="25"/>
      <c r="U686" s="25"/>
      <c r="V686" s="39"/>
      <c r="W686" s="25"/>
      <c r="X686" s="33">
        <f t="shared" si="20"/>
        <v>0</v>
      </c>
      <c r="Y686" s="39"/>
      <c r="Z686" s="25">
        <v>0</v>
      </c>
      <c r="AA686" s="45"/>
      <c r="AB686" s="45"/>
      <c r="AC686" s="45"/>
      <c r="AD686" s="45"/>
      <c r="AE686" s="45"/>
    </row>
    <row r="687" spans="1:31" s="12" customFormat="1" ht="12">
      <c r="A687" s="27">
        <v>45617</v>
      </c>
      <c r="B687" s="73" t="s">
        <v>24</v>
      </c>
      <c r="C687" s="37" t="s">
        <v>82</v>
      </c>
      <c r="D687" s="34" t="s">
        <v>186</v>
      </c>
      <c r="E687" s="34" t="e">
        <f>IF(B687="","",VLOOKUP($B687,#REF!,4,FALSE))</f>
        <v>#REF!</v>
      </c>
      <c r="F687" s="34" t="e">
        <f>IF(E687="","",VLOOKUP($B687,#REF!,5,FALSE))</f>
        <v>#REF!</v>
      </c>
      <c r="G687" s="34" t="e">
        <f>IF(F687="","",VLOOKUP($B687,#REF!,6,FALSE))</f>
        <v>#REF!</v>
      </c>
      <c r="H687" s="34" t="e">
        <f>IF(G687="","",VLOOKUP($B687,#REF!,7,FALSE))</f>
        <v>#REF!</v>
      </c>
      <c r="I687" s="25"/>
      <c r="J687" s="25"/>
      <c r="K687" s="25"/>
      <c r="L687" s="25"/>
      <c r="M687" s="25"/>
      <c r="N687" s="25"/>
      <c r="O687" s="33">
        <f t="shared" si="21"/>
        <v>0</v>
      </c>
      <c r="P687" s="25"/>
      <c r="Q687" s="25">
        <v>0</v>
      </c>
      <c r="R687" s="25"/>
      <c r="S687" s="25"/>
      <c r="T687" s="25"/>
      <c r="U687" s="25"/>
      <c r="V687" s="39">
        <v>84</v>
      </c>
      <c r="W687" s="25"/>
      <c r="X687" s="33">
        <f t="shared" si="20"/>
        <v>84</v>
      </c>
      <c r="Y687" s="39">
        <v>124920</v>
      </c>
      <c r="Z687" s="25">
        <v>10493280</v>
      </c>
      <c r="AA687" s="45"/>
      <c r="AB687" s="45"/>
      <c r="AC687" s="45"/>
      <c r="AD687" s="45"/>
      <c r="AE687" s="45"/>
    </row>
    <row r="688" spans="1:31" s="12" customFormat="1" ht="12">
      <c r="A688" s="27">
        <v>45617</v>
      </c>
      <c r="B688" s="28" t="s">
        <v>160</v>
      </c>
      <c r="C688" s="37" t="s">
        <v>82</v>
      </c>
      <c r="D688" s="34" t="s">
        <v>186</v>
      </c>
      <c r="E688" s="34" t="e">
        <f>IF(B688="","",VLOOKUP($B688,#REF!,4,FALSE))</f>
        <v>#REF!</v>
      </c>
      <c r="F688" s="34" t="e">
        <f>IF(E688="","",VLOOKUP($B688,#REF!,5,FALSE))</f>
        <v>#REF!</v>
      </c>
      <c r="G688" s="34" t="e">
        <f>IF(F688="","",VLOOKUP($B688,#REF!,6,FALSE))</f>
        <v>#REF!</v>
      </c>
      <c r="H688" s="34" t="e">
        <f>IF(G688="","",VLOOKUP($B688,#REF!,7,FALSE))</f>
        <v>#REF!</v>
      </c>
      <c r="I688" s="25"/>
      <c r="J688" s="25"/>
      <c r="K688" s="25"/>
      <c r="L688" s="25"/>
      <c r="M688" s="25"/>
      <c r="N688" s="25"/>
      <c r="O688" s="33">
        <f t="shared" si="21"/>
        <v>0</v>
      </c>
      <c r="P688" s="25"/>
      <c r="Q688" s="25">
        <v>0</v>
      </c>
      <c r="R688" s="25"/>
      <c r="S688" s="25"/>
      <c r="T688" s="25"/>
      <c r="U688" s="25"/>
      <c r="V688" s="39">
        <v>144</v>
      </c>
      <c r="W688" s="25"/>
      <c r="X688" s="33">
        <f t="shared" si="20"/>
        <v>144</v>
      </c>
      <c r="Y688" s="39">
        <v>100300</v>
      </c>
      <c r="Z688" s="25">
        <v>14443200</v>
      </c>
      <c r="AA688" s="45"/>
      <c r="AB688" s="45"/>
      <c r="AC688" s="45"/>
      <c r="AD688" s="45"/>
      <c r="AE688" s="45"/>
    </row>
    <row r="689" spans="1:31" s="12" customFormat="1" ht="12">
      <c r="A689" s="27">
        <v>45617</v>
      </c>
      <c r="B689" s="53" t="s">
        <v>59</v>
      </c>
      <c r="C689" s="37" t="s">
        <v>82</v>
      </c>
      <c r="D689" s="34" t="s">
        <v>186</v>
      </c>
      <c r="E689" s="34" t="e">
        <f>IF(B689="","",VLOOKUP($B689,#REF!,4,FALSE))</f>
        <v>#REF!</v>
      </c>
      <c r="F689" s="34" t="e">
        <f>IF(E689="","",VLOOKUP($B689,#REF!,5,FALSE))</f>
        <v>#REF!</v>
      </c>
      <c r="G689" s="34" t="e">
        <f>IF(F689="","",VLOOKUP($B689,#REF!,6,FALSE))</f>
        <v>#REF!</v>
      </c>
      <c r="H689" s="34" t="e">
        <f>IF(G689="","",VLOOKUP($B689,#REF!,7,FALSE))</f>
        <v>#REF!</v>
      </c>
      <c r="I689" s="25"/>
      <c r="J689" s="25"/>
      <c r="K689" s="25"/>
      <c r="L689" s="25"/>
      <c r="M689" s="25"/>
      <c r="N689" s="25"/>
      <c r="O689" s="33">
        <f t="shared" si="21"/>
        <v>0</v>
      </c>
      <c r="P689" s="25"/>
      <c r="Q689" s="25">
        <v>0</v>
      </c>
      <c r="R689" s="25"/>
      <c r="S689" s="25"/>
      <c r="T689" s="25"/>
      <c r="U689" s="25"/>
      <c r="V689" s="39">
        <v>10</v>
      </c>
      <c r="W689" s="25"/>
      <c r="X689" s="33">
        <f t="shared" si="20"/>
        <v>10</v>
      </c>
      <c r="Y689" s="39">
        <v>140000</v>
      </c>
      <c r="Z689" s="25">
        <v>1400000</v>
      </c>
      <c r="AA689" s="45"/>
      <c r="AB689" s="45"/>
      <c r="AC689" s="45"/>
      <c r="AD689" s="45"/>
      <c r="AE689" s="45"/>
    </row>
    <row r="690" spans="1:31" s="12" customFormat="1" ht="12">
      <c r="A690" s="27">
        <v>45617</v>
      </c>
      <c r="B690" s="28" t="s">
        <v>203</v>
      </c>
      <c r="C690" s="37" t="s">
        <v>82</v>
      </c>
      <c r="D690" s="34" t="s">
        <v>186</v>
      </c>
      <c r="E690" s="34" t="e">
        <f>IF(B690="","",VLOOKUP($B690,#REF!,4,FALSE))</f>
        <v>#REF!</v>
      </c>
      <c r="F690" s="34" t="e">
        <f>IF(E690="","",VLOOKUP($B690,#REF!,5,FALSE))</f>
        <v>#REF!</v>
      </c>
      <c r="G690" s="34" t="e">
        <f>IF(F690="","",VLOOKUP($B690,#REF!,6,FALSE))</f>
        <v>#REF!</v>
      </c>
      <c r="H690" s="34" t="e">
        <f>IF(G690="","",VLOOKUP($B690,#REF!,7,FALSE))</f>
        <v>#REF!</v>
      </c>
      <c r="I690" s="25"/>
      <c r="J690" s="25"/>
      <c r="K690" s="25"/>
      <c r="L690" s="25"/>
      <c r="M690" s="25"/>
      <c r="N690" s="25"/>
      <c r="O690" s="33">
        <f t="shared" si="21"/>
        <v>0</v>
      </c>
      <c r="P690" s="25"/>
      <c r="Q690" s="25">
        <v>0</v>
      </c>
      <c r="R690" s="25"/>
      <c r="S690" s="25"/>
      <c r="T690" s="25"/>
      <c r="U690" s="25"/>
      <c r="V690" s="39">
        <v>2</v>
      </c>
      <c r="W690" s="25"/>
      <c r="X690" s="33">
        <f t="shared" si="20"/>
        <v>2</v>
      </c>
      <c r="Y690" s="39">
        <v>238000</v>
      </c>
      <c r="Z690" s="25">
        <v>476000</v>
      </c>
      <c r="AA690" s="45"/>
      <c r="AB690" s="45"/>
      <c r="AC690" s="45"/>
      <c r="AD690" s="45"/>
      <c r="AE690" s="45"/>
    </row>
    <row r="691" spans="1:31" s="12" customFormat="1" ht="12">
      <c r="A691" s="27">
        <v>45617</v>
      </c>
      <c r="B691" s="73" t="s">
        <v>48</v>
      </c>
      <c r="C691" s="37" t="s">
        <v>82</v>
      </c>
      <c r="D691" s="34" t="s">
        <v>186</v>
      </c>
      <c r="E691" s="34" t="e">
        <f>IF(B691="","",VLOOKUP($B691,#REF!,4,FALSE))</f>
        <v>#REF!</v>
      </c>
      <c r="F691" s="34" t="e">
        <f>IF(E691="","",VLOOKUP($B691,#REF!,5,FALSE))</f>
        <v>#REF!</v>
      </c>
      <c r="G691" s="34" t="e">
        <f>IF(F691="","",VLOOKUP($B691,#REF!,6,FALSE))</f>
        <v>#REF!</v>
      </c>
      <c r="H691" s="34" t="e">
        <f>IF(G691="","",VLOOKUP($B691,#REF!,7,FALSE))</f>
        <v>#REF!</v>
      </c>
      <c r="I691" s="25"/>
      <c r="J691" s="25"/>
      <c r="K691" s="25"/>
      <c r="L691" s="25"/>
      <c r="M691" s="25"/>
      <c r="N691" s="25"/>
      <c r="O691" s="33">
        <f t="shared" si="21"/>
        <v>0</v>
      </c>
      <c r="P691" s="25"/>
      <c r="Q691" s="25">
        <v>0</v>
      </c>
      <c r="R691" s="25"/>
      <c r="S691" s="25"/>
      <c r="T691" s="25"/>
      <c r="U691" s="25"/>
      <c r="V691" s="39">
        <v>2</v>
      </c>
      <c r="W691" s="25"/>
      <c r="X691" s="33">
        <f t="shared" si="20"/>
        <v>2</v>
      </c>
      <c r="Y691" s="25">
        <v>64500</v>
      </c>
      <c r="Z691" s="25">
        <v>129000</v>
      </c>
      <c r="AA691" s="45"/>
      <c r="AB691" s="45"/>
      <c r="AC691" s="45"/>
      <c r="AD691" s="45"/>
      <c r="AE691" s="45"/>
    </row>
    <row r="692" spans="1:31" s="12" customFormat="1" ht="12">
      <c r="A692" s="27">
        <v>45617</v>
      </c>
      <c r="B692" s="73" t="s">
        <v>211</v>
      </c>
      <c r="C692" s="37" t="s">
        <v>82</v>
      </c>
      <c r="D692" s="34" t="s">
        <v>186</v>
      </c>
      <c r="E692" s="34" t="e">
        <f>IF(B692="","",VLOOKUP($B692,#REF!,4,FALSE))</f>
        <v>#REF!</v>
      </c>
      <c r="F692" s="34" t="e">
        <f>IF(E692="","",VLOOKUP($B692,#REF!,5,FALSE))</f>
        <v>#REF!</v>
      </c>
      <c r="G692" s="34" t="e">
        <f>IF(F692="","",VLOOKUP($B692,#REF!,6,FALSE))</f>
        <v>#REF!</v>
      </c>
      <c r="H692" s="34" t="e">
        <f>IF(G692="","",VLOOKUP($B692,#REF!,7,FALSE))</f>
        <v>#REF!</v>
      </c>
      <c r="I692" s="25"/>
      <c r="J692" s="25"/>
      <c r="K692" s="25"/>
      <c r="L692" s="25"/>
      <c r="M692" s="25"/>
      <c r="N692" s="25"/>
      <c r="O692" s="33">
        <f t="shared" si="21"/>
        <v>0</v>
      </c>
      <c r="P692" s="25"/>
      <c r="Q692" s="25">
        <v>0</v>
      </c>
      <c r="R692" s="25"/>
      <c r="S692" s="25"/>
      <c r="T692" s="25"/>
      <c r="U692" s="25"/>
      <c r="V692" s="39">
        <v>120</v>
      </c>
      <c r="W692" s="25"/>
      <c r="X692" s="33">
        <f t="shared" si="20"/>
        <v>120</v>
      </c>
      <c r="Y692" s="25">
        <v>46020</v>
      </c>
      <c r="Z692" s="25">
        <v>5522400</v>
      </c>
      <c r="AA692" s="45"/>
      <c r="AB692" s="45"/>
      <c r="AC692" s="45"/>
      <c r="AD692" s="45"/>
      <c r="AE692" s="45"/>
    </row>
    <row r="693" spans="1:31" s="12" customFormat="1" ht="12">
      <c r="A693" s="27">
        <v>45617</v>
      </c>
      <c r="B693" s="41" t="s">
        <v>21</v>
      </c>
      <c r="C693" s="37" t="s">
        <v>82</v>
      </c>
      <c r="D693" s="34" t="s">
        <v>186</v>
      </c>
      <c r="E693" s="34" t="e">
        <f>IF(B693="","",VLOOKUP($B693,#REF!,4,FALSE))</f>
        <v>#REF!</v>
      </c>
      <c r="F693" s="34" t="e">
        <f>IF(E693="","",VLOOKUP($B693,#REF!,5,FALSE))</f>
        <v>#REF!</v>
      </c>
      <c r="G693" s="34" t="e">
        <f>IF(F693="","",VLOOKUP($B693,#REF!,6,FALSE))</f>
        <v>#REF!</v>
      </c>
      <c r="H693" s="34" t="e">
        <f>IF(G693="","",VLOOKUP($B693,#REF!,7,FALSE))</f>
        <v>#REF!</v>
      </c>
      <c r="I693" s="25"/>
      <c r="J693" s="25"/>
      <c r="K693" s="25"/>
      <c r="L693" s="25"/>
      <c r="M693" s="25"/>
      <c r="N693" s="25"/>
      <c r="O693" s="33">
        <f t="shared" si="21"/>
        <v>0</v>
      </c>
      <c r="P693" s="25"/>
      <c r="Q693" s="25">
        <v>0</v>
      </c>
      <c r="R693" s="25"/>
      <c r="S693" s="25"/>
      <c r="T693" s="25"/>
      <c r="U693" s="25"/>
      <c r="V693" s="39">
        <v>12</v>
      </c>
      <c r="W693" s="25"/>
      <c r="X693" s="33">
        <f t="shared" si="20"/>
        <v>12</v>
      </c>
      <c r="Y693" s="25">
        <v>80400</v>
      </c>
      <c r="Z693" s="25">
        <v>964800</v>
      </c>
      <c r="AA693" s="45"/>
      <c r="AB693" s="45"/>
      <c r="AC693" s="45"/>
      <c r="AD693" s="45"/>
      <c r="AE693" s="45"/>
    </row>
    <row r="694" spans="1:31" s="12" customFormat="1" ht="12">
      <c r="A694" s="27">
        <v>45617</v>
      </c>
      <c r="B694" s="53" t="s">
        <v>20</v>
      </c>
      <c r="C694" s="37" t="s">
        <v>129</v>
      </c>
      <c r="D694" s="34" t="s">
        <v>181</v>
      </c>
      <c r="E694" s="34" t="e">
        <f>IF(B694="","",VLOOKUP($B694,#REF!,4,FALSE))</f>
        <v>#REF!</v>
      </c>
      <c r="F694" s="34" t="e">
        <f>IF(E694="","",VLOOKUP($B694,#REF!,5,FALSE))</f>
        <v>#REF!</v>
      </c>
      <c r="G694" s="34" t="e">
        <f>IF(F694="","",VLOOKUP($B694,#REF!,6,FALSE))</f>
        <v>#REF!</v>
      </c>
      <c r="H694" s="34" t="e">
        <f>IF(G694="","",VLOOKUP($B694,#REF!,7,FALSE))</f>
        <v>#REF!</v>
      </c>
      <c r="I694" s="25"/>
      <c r="J694" s="25"/>
      <c r="K694" s="25"/>
      <c r="L694" s="25"/>
      <c r="M694" s="25"/>
      <c r="N694" s="25"/>
      <c r="O694" s="33">
        <f t="shared" si="21"/>
        <v>0</v>
      </c>
      <c r="P694" s="25"/>
      <c r="Q694" s="25">
        <v>0</v>
      </c>
      <c r="R694" s="25"/>
      <c r="S694" s="25"/>
      <c r="T694" s="25"/>
      <c r="U694" s="25">
        <v>1100</v>
      </c>
      <c r="V694" s="39"/>
      <c r="W694" s="25"/>
      <c r="X694" s="33">
        <f t="shared" si="20"/>
        <v>1100</v>
      </c>
      <c r="Y694" s="39">
        <f>Z694/X694</f>
        <v>5819.2972727272727</v>
      </c>
      <c r="Z694" s="39">
        <v>6401227</v>
      </c>
      <c r="AA694" s="45" t="s">
        <v>154</v>
      </c>
      <c r="AB694" s="45" t="s">
        <v>129</v>
      </c>
      <c r="AC694" s="45" t="s">
        <v>181</v>
      </c>
      <c r="AD694" s="45"/>
      <c r="AE694" s="45"/>
    </row>
    <row r="695" spans="1:31" s="12" customFormat="1" ht="12">
      <c r="A695" s="27">
        <v>45617</v>
      </c>
      <c r="B695" s="53" t="s">
        <v>230</v>
      </c>
      <c r="C695" s="37" t="s">
        <v>117</v>
      </c>
      <c r="D695" s="34" t="s">
        <v>225</v>
      </c>
      <c r="E695" s="34" t="e">
        <f>IF(B695="","",VLOOKUP($B695,#REF!,4,FALSE))</f>
        <v>#REF!</v>
      </c>
      <c r="F695" s="34" t="e">
        <f>IF(E695="","",VLOOKUP($B695,#REF!,5,FALSE))</f>
        <v>#REF!</v>
      </c>
      <c r="G695" s="34" t="e">
        <f>IF(F695="","",VLOOKUP($B695,#REF!,6,FALSE))</f>
        <v>#REF!</v>
      </c>
      <c r="H695" s="34" t="e">
        <f>IF(G695="","",VLOOKUP($B695,#REF!,7,FALSE))</f>
        <v>#REF!</v>
      </c>
      <c r="I695" s="25"/>
      <c r="J695" s="25"/>
      <c r="K695" s="25"/>
      <c r="L695" s="25"/>
      <c r="M695" s="25"/>
      <c r="N695" s="25"/>
      <c r="O695" s="33">
        <f t="shared" si="21"/>
        <v>0</v>
      </c>
      <c r="P695" s="25"/>
      <c r="Q695" s="25">
        <v>0</v>
      </c>
      <c r="R695" s="25">
        <v>672</v>
      </c>
      <c r="S695" s="25"/>
      <c r="T695" s="25"/>
      <c r="U695" s="25"/>
      <c r="V695" s="39"/>
      <c r="W695" s="25"/>
      <c r="X695" s="33">
        <f t="shared" si="20"/>
        <v>672</v>
      </c>
      <c r="Y695" s="39">
        <v>150000</v>
      </c>
      <c r="Z695" s="25">
        <v>100800000</v>
      </c>
      <c r="AA695" s="45" t="s">
        <v>117</v>
      </c>
      <c r="AB695" s="45" t="s">
        <v>158</v>
      </c>
      <c r="AC695" s="45"/>
      <c r="AD695" s="45"/>
      <c r="AE695" s="45"/>
    </row>
    <row r="696" spans="1:31" s="12" customFormat="1" ht="12">
      <c r="A696" s="27">
        <v>45617</v>
      </c>
      <c r="B696" s="53" t="s">
        <v>35</v>
      </c>
      <c r="C696" s="37" t="s">
        <v>141</v>
      </c>
      <c r="D696" s="34" t="s">
        <v>173</v>
      </c>
      <c r="E696" s="34" t="e">
        <f>IF(B696="","",VLOOKUP($B696,#REF!,4,FALSE))</f>
        <v>#REF!</v>
      </c>
      <c r="F696" s="34" t="e">
        <f>IF(E696="","",VLOOKUP($B696,#REF!,5,FALSE))</f>
        <v>#REF!</v>
      </c>
      <c r="G696" s="34" t="e">
        <f>IF(F696="","",VLOOKUP($B696,#REF!,6,FALSE))</f>
        <v>#REF!</v>
      </c>
      <c r="H696" s="34" t="e">
        <f>IF(G696="","",VLOOKUP($B696,#REF!,7,FALSE))</f>
        <v>#REF!</v>
      </c>
      <c r="I696" s="25"/>
      <c r="J696" s="25"/>
      <c r="K696" s="25"/>
      <c r="L696" s="25"/>
      <c r="M696" s="25"/>
      <c r="N696" s="25"/>
      <c r="O696" s="33">
        <f t="shared" si="21"/>
        <v>0</v>
      </c>
      <c r="P696" s="25"/>
      <c r="Q696" s="25">
        <v>0</v>
      </c>
      <c r="R696" s="25">
        <v>960</v>
      </c>
      <c r="S696" s="25"/>
      <c r="T696" s="25"/>
      <c r="U696" s="25"/>
      <c r="V696" s="39"/>
      <c r="W696" s="25"/>
      <c r="X696" s="33">
        <f t="shared" si="20"/>
        <v>960</v>
      </c>
      <c r="Y696" s="39">
        <f>Z696/X696</f>
        <v>87725.358333333337</v>
      </c>
      <c r="Z696" s="39">
        <v>84216344</v>
      </c>
      <c r="AA696" s="45" t="s">
        <v>206</v>
      </c>
      <c r="AB696" s="45" t="s">
        <v>141</v>
      </c>
      <c r="AC696" s="45" t="s">
        <v>173</v>
      </c>
      <c r="AD696" s="45"/>
      <c r="AE696" s="45"/>
    </row>
    <row r="697" spans="1:31" s="12" customFormat="1" ht="12">
      <c r="A697" s="27">
        <v>45617</v>
      </c>
      <c r="B697" s="53" t="s">
        <v>24</v>
      </c>
      <c r="C697" s="37" t="s">
        <v>117</v>
      </c>
      <c r="D697" s="34" t="s">
        <v>225</v>
      </c>
      <c r="E697" s="34" t="e">
        <f>IF(B697="","",VLOOKUP($B697,#REF!,4,FALSE))</f>
        <v>#REF!</v>
      </c>
      <c r="F697" s="34" t="e">
        <f>IF(E697="","",VLOOKUP($B697,#REF!,5,FALSE))</f>
        <v>#REF!</v>
      </c>
      <c r="G697" s="34" t="e">
        <f>IF(F697="","",VLOOKUP($B697,#REF!,6,FALSE))</f>
        <v>#REF!</v>
      </c>
      <c r="H697" s="34" t="e">
        <f>IF(G697="","",VLOOKUP($B697,#REF!,7,FALSE))</f>
        <v>#REF!</v>
      </c>
      <c r="I697" s="25"/>
      <c r="J697" s="25">
        <v>260</v>
      </c>
      <c r="K697" s="25"/>
      <c r="L697" s="25"/>
      <c r="M697" s="25"/>
      <c r="N697" s="25"/>
      <c r="O697" s="33">
        <f t="shared" si="21"/>
        <v>260</v>
      </c>
      <c r="P697" s="25">
        <v>74400</v>
      </c>
      <c r="Q697" s="25">
        <v>19344000</v>
      </c>
      <c r="R697" s="25"/>
      <c r="S697" s="25"/>
      <c r="T697" s="25"/>
      <c r="U697" s="25"/>
      <c r="V697" s="39"/>
      <c r="W697" s="25"/>
      <c r="X697" s="33">
        <f t="shared" si="20"/>
        <v>0</v>
      </c>
      <c r="Y697" s="39"/>
      <c r="Z697" s="25">
        <v>0</v>
      </c>
      <c r="AA697" s="45"/>
      <c r="AB697" s="45"/>
      <c r="AC697" s="45"/>
      <c r="AD697" s="45"/>
      <c r="AE697" s="45"/>
    </row>
    <row r="698" spans="1:31" s="12" customFormat="1" ht="12">
      <c r="A698" s="27">
        <v>45617</v>
      </c>
      <c r="B698" s="53" t="s">
        <v>79</v>
      </c>
      <c r="C698" s="37" t="s">
        <v>87</v>
      </c>
      <c r="D698" s="34" t="s">
        <v>111</v>
      </c>
      <c r="E698" s="34" t="e">
        <f>IF(B698="","",VLOOKUP($B698,#REF!,4,FALSE))</f>
        <v>#REF!</v>
      </c>
      <c r="F698" s="34" t="e">
        <f>IF(E698="","",VLOOKUP($B698,#REF!,5,FALSE))</f>
        <v>#REF!</v>
      </c>
      <c r="G698" s="34" t="e">
        <f>IF(F698="","",VLOOKUP($B698,#REF!,6,FALSE))</f>
        <v>#REF!</v>
      </c>
      <c r="H698" s="34" t="e">
        <f>IF(G698="","",VLOOKUP($B698,#REF!,7,FALSE))</f>
        <v>#REF!</v>
      </c>
      <c r="I698" s="25"/>
      <c r="J698" s="25"/>
      <c r="K698" s="25"/>
      <c r="L698" s="25"/>
      <c r="M698" s="25"/>
      <c r="N698" s="25"/>
      <c r="O698" s="33">
        <f t="shared" si="21"/>
        <v>0</v>
      </c>
      <c r="P698" s="25"/>
      <c r="Q698" s="25">
        <v>0</v>
      </c>
      <c r="R698" s="25"/>
      <c r="S698" s="25"/>
      <c r="T698" s="25">
        <v>40</v>
      </c>
      <c r="U698" s="25"/>
      <c r="V698" s="39"/>
      <c r="W698" s="25"/>
      <c r="X698" s="33">
        <f t="shared" si="20"/>
        <v>40</v>
      </c>
      <c r="Y698" s="39"/>
      <c r="Z698" s="25">
        <v>0</v>
      </c>
      <c r="AA698" s="45"/>
      <c r="AB698" s="45"/>
      <c r="AC698" s="45"/>
      <c r="AD698" s="45"/>
      <c r="AE698" s="45"/>
    </row>
    <row r="699" spans="1:31" s="12" customFormat="1" ht="12">
      <c r="A699" s="27">
        <v>45617</v>
      </c>
      <c r="B699" s="53" t="s">
        <v>74</v>
      </c>
      <c r="C699" s="37" t="s">
        <v>86</v>
      </c>
      <c r="D699" s="34" t="s">
        <v>51</v>
      </c>
      <c r="E699" s="34" t="e">
        <f>IF(B699="","",VLOOKUP($B699,#REF!,4,FALSE))</f>
        <v>#REF!</v>
      </c>
      <c r="F699" s="34" t="e">
        <f>IF(E699="","",VLOOKUP($B699,#REF!,5,FALSE))</f>
        <v>#REF!</v>
      </c>
      <c r="G699" s="34" t="e">
        <f>IF(F699="","",VLOOKUP($B699,#REF!,6,FALSE))</f>
        <v>#REF!</v>
      </c>
      <c r="H699" s="34" t="e">
        <f>IF(G699="","",VLOOKUP($B699,#REF!,7,FALSE))</f>
        <v>#REF!</v>
      </c>
      <c r="I699" s="25"/>
      <c r="J699" s="25"/>
      <c r="K699" s="25">
        <v>40</v>
      </c>
      <c r="L699" s="25"/>
      <c r="M699" s="25"/>
      <c r="N699" s="25"/>
      <c r="O699" s="33">
        <f t="shared" si="21"/>
        <v>40</v>
      </c>
      <c r="P699" s="25"/>
      <c r="Q699" s="25">
        <v>0</v>
      </c>
      <c r="R699" s="25"/>
      <c r="S699" s="25"/>
      <c r="T699" s="25">
        <v>40</v>
      </c>
      <c r="U699" s="25"/>
      <c r="V699" s="39"/>
      <c r="W699" s="25"/>
      <c r="X699" s="33">
        <f t="shared" si="20"/>
        <v>40</v>
      </c>
      <c r="Y699" s="39">
        <v>8000</v>
      </c>
      <c r="Z699" s="25">
        <f>Y699*X699</f>
        <v>320000</v>
      </c>
      <c r="AA699" s="45"/>
      <c r="AB699" s="45"/>
      <c r="AC699" s="45"/>
      <c r="AD699" s="45"/>
      <c r="AE699" s="45"/>
    </row>
    <row r="700" spans="1:31" s="12" customFormat="1" ht="12">
      <c r="A700" s="27">
        <v>45617</v>
      </c>
      <c r="B700" s="47" t="s">
        <v>32</v>
      </c>
      <c r="C700" s="37" t="s">
        <v>84</v>
      </c>
      <c r="D700" s="34" t="s">
        <v>184</v>
      </c>
      <c r="E700" s="34" t="e">
        <f>IF(B700="","",VLOOKUP($B700,#REF!,4,FALSE))</f>
        <v>#REF!</v>
      </c>
      <c r="F700" s="34" t="e">
        <f>IF(E700="","",VLOOKUP($B700,#REF!,5,FALSE))</f>
        <v>#REF!</v>
      </c>
      <c r="G700" s="34" t="e">
        <f>IF(F700="","",VLOOKUP($B700,#REF!,6,FALSE))</f>
        <v>#REF!</v>
      </c>
      <c r="H700" s="34" t="e">
        <f>IF(G700="","",VLOOKUP($B700,#REF!,7,FALSE))</f>
        <v>#REF!</v>
      </c>
      <c r="I700" s="25"/>
      <c r="J700" s="25"/>
      <c r="K700" s="25"/>
      <c r="L700" s="25"/>
      <c r="M700" s="25"/>
      <c r="N700" s="25"/>
      <c r="O700" s="33">
        <f t="shared" si="21"/>
        <v>0</v>
      </c>
      <c r="P700" s="25"/>
      <c r="Q700" s="25">
        <v>0</v>
      </c>
      <c r="R700" s="25"/>
      <c r="S700" s="25"/>
      <c r="T700" s="25">
        <v>1</v>
      </c>
      <c r="U700" s="25"/>
      <c r="V700" s="39"/>
      <c r="W700" s="25"/>
      <c r="X700" s="33">
        <f t="shared" si="20"/>
        <v>1</v>
      </c>
      <c r="Y700" s="39"/>
      <c r="Z700" s="25">
        <v>0</v>
      </c>
      <c r="AA700" s="45"/>
      <c r="AB700" s="45"/>
      <c r="AC700" s="45"/>
      <c r="AD700" s="45"/>
      <c r="AE700" s="45"/>
    </row>
    <row r="701" spans="1:31" s="12" customFormat="1" ht="12">
      <c r="A701" s="27">
        <v>45617</v>
      </c>
      <c r="B701" s="53" t="s">
        <v>172</v>
      </c>
      <c r="C701" s="37" t="s">
        <v>86</v>
      </c>
      <c r="D701" s="34" t="s">
        <v>51</v>
      </c>
      <c r="E701" s="34" t="e">
        <f>IF(B701="","",VLOOKUP($B701,#REF!,4,FALSE))</f>
        <v>#REF!</v>
      </c>
      <c r="F701" s="34" t="e">
        <f>IF(E701="","",VLOOKUP($B701,#REF!,5,FALSE))</f>
        <v>#REF!</v>
      </c>
      <c r="G701" s="34" t="e">
        <f>IF(F701="","",VLOOKUP($B701,#REF!,6,FALSE))</f>
        <v>#REF!</v>
      </c>
      <c r="H701" s="34" t="e">
        <f>IF(G701="","",VLOOKUP($B701,#REF!,7,FALSE))</f>
        <v>#REF!</v>
      </c>
      <c r="I701" s="25"/>
      <c r="J701" s="25"/>
      <c r="K701" s="25">
        <v>1</v>
      </c>
      <c r="L701" s="25"/>
      <c r="M701" s="25"/>
      <c r="N701" s="25"/>
      <c r="O701" s="33">
        <f t="shared" si="21"/>
        <v>1</v>
      </c>
      <c r="P701" s="25"/>
      <c r="Q701" s="25">
        <v>0</v>
      </c>
      <c r="R701" s="25"/>
      <c r="S701" s="25"/>
      <c r="T701" s="25">
        <v>1</v>
      </c>
      <c r="U701" s="25"/>
      <c r="V701" s="39"/>
      <c r="W701" s="25"/>
      <c r="X701" s="33">
        <f t="shared" si="20"/>
        <v>1</v>
      </c>
      <c r="Y701" s="39">
        <v>72000</v>
      </c>
      <c r="Z701" s="25">
        <v>72000</v>
      </c>
      <c r="AA701" s="45"/>
      <c r="AB701" s="45"/>
      <c r="AC701" s="45"/>
      <c r="AD701" s="45"/>
      <c r="AE701" s="45"/>
    </row>
    <row r="702" spans="1:31" s="12" customFormat="1" ht="12">
      <c r="A702" s="27">
        <v>45617</v>
      </c>
      <c r="B702" s="56" t="s">
        <v>163</v>
      </c>
      <c r="C702" s="37">
        <v>0</v>
      </c>
      <c r="D702" s="34" t="s">
        <v>183</v>
      </c>
      <c r="E702" s="34" t="e">
        <f>IF(B702="","",VLOOKUP($B702,#REF!,4,FALSE))</f>
        <v>#REF!</v>
      </c>
      <c r="F702" s="34" t="e">
        <f>IF(E702="","",VLOOKUP($B702,#REF!,5,FALSE))</f>
        <v>#REF!</v>
      </c>
      <c r="G702" s="34" t="e">
        <f>IF(F702="","",VLOOKUP($B702,#REF!,6,FALSE))</f>
        <v>#REF!</v>
      </c>
      <c r="H702" s="34" t="e">
        <f>IF(G702="","",VLOOKUP($B702,#REF!,7,FALSE))</f>
        <v>#REF!</v>
      </c>
      <c r="I702" s="25"/>
      <c r="J702" s="25"/>
      <c r="K702" s="25"/>
      <c r="L702" s="25"/>
      <c r="M702" s="25"/>
      <c r="N702" s="25"/>
      <c r="O702" s="33">
        <f t="shared" si="21"/>
        <v>0</v>
      </c>
      <c r="P702" s="25"/>
      <c r="Q702" s="25">
        <v>0</v>
      </c>
      <c r="R702" s="25"/>
      <c r="S702" s="25"/>
      <c r="T702" s="25">
        <v>1</v>
      </c>
      <c r="U702" s="25"/>
      <c r="V702" s="39"/>
      <c r="W702" s="25"/>
      <c r="X702" s="33">
        <f t="shared" si="20"/>
        <v>1</v>
      </c>
      <c r="Y702" s="39"/>
      <c r="Z702" s="25">
        <v>0</v>
      </c>
      <c r="AA702" s="45"/>
      <c r="AB702" s="45"/>
      <c r="AC702" s="45"/>
      <c r="AD702" s="45"/>
      <c r="AE702" s="45"/>
    </row>
    <row r="703" spans="1:31" s="12" customFormat="1" ht="12">
      <c r="A703" s="27">
        <v>45617</v>
      </c>
      <c r="B703" s="53" t="s">
        <v>9</v>
      </c>
      <c r="C703" s="37" t="s">
        <v>86</v>
      </c>
      <c r="D703" s="34" t="s">
        <v>51</v>
      </c>
      <c r="E703" s="34" t="e">
        <f>IF(B703="","",VLOOKUP($B703,#REF!,4,FALSE))</f>
        <v>#REF!</v>
      </c>
      <c r="F703" s="34" t="e">
        <f>IF(E703="","",VLOOKUP($B703,#REF!,5,FALSE))</f>
        <v>#REF!</v>
      </c>
      <c r="G703" s="34" t="e">
        <f>IF(F703="","",VLOOKUP($B703,#REF!,6,FALSE))</f>
        <v>#REF!</v>
      </c>
      <c r="H703" s="34" t="e">
        <f>IF(G703="","",VLOOKUP($B703,#REF!,7,FALSE))</f>
        <v>#REF!</v>
      </c>
      <c r="I703" s="25"/>
      <c r="J703" s="25"/>
      <c r="K703" s="25">
        <v>1</v>
      </c>
      <c r="L703" s="25"/>
      <c r="M703" s="25"/>
      <c r="N703" s="25"/>
      <c r="O703" s="33">
        <f t="shared" si="21"/>
        <v>1</v>
      </c>
      <c r="P703" s="25"/>
      <c r="Q703" s="25">
        <v>0</v>
      </c>
      <c r="R703" s="25"/>
      <c r="S703" s="25"/>
      <c r="T703" s="25">
        <v>1</v>
      </c>
      <c r="U703" s="25"/>
      <c r="V703" s="39"/>
      <c r="W703" s="25"/>
      <c r="X703" s="33">
        <f t="shared" si="20"/>
        <v>1</v>
      </c>
      <c r="Y703" s="39">
        <v>46400</v>
      </c>
      <c r="Z703" s="25">
        <v>46400</v>
      </c>
      <c r="AA703" s="45"/>
      <c r="AB703" s="45"/>
      <c r="AC703" s="45"/>
      <c r="AD703" s="45"/>
      <c r="AE703" s="45"/>
    </row>
    <row r="704" spans="1:31" s="12" customFormat="1" ht="12">
      <c r="A704" s="27">
        <v>45617</v>
      </c>
      <c r="B704" s="53" t="s">
        <v>78</v>
      </c>
      <c r="C704" s="37" t="s">
        <v>87</v>
      </c>
      <c r="D704" s="34" t="s">
        <v>111</v>
      </c>
      <c r="E704" s="34" t="e">
        <f>IF(B704="","",VLOOKUP($B704,#REF!,4,FALSE))</f>
        <v>#REF!</v>
      </c>
      <c r="F704" s="34" t="e">
        <f>IF(E704="","",VLOOKUP($B704,#REF!,5,FALSE))</f>
        <v>#REF!</v>
      </c>
      <c r="G704" s="34" t="e">
        <f>IF(F704="","",VLOOKUP($B704,#REF!,6,FALSE))</f>
        <v>#REF!</v>
      </c>
      <c r="H704" s="34" t="e">
        <f>IF(G704="","",VLOOKUP($B704,#REF!,7,FALSE))</f>
        <v>#REF!</v>
      </c>
      <c r="I704" s="25"/>
      <c r="J704" s="25"/>
      <c r="K704" s="25"/>
      <c r="L704" s="25"/>
      <c r="M704" s="25"/>
      <c r="N704" s="25"/>
      <c r="O704" s="33">
        <f t="shared" si="21"/>
        <v>0</v>
      </c>
      <c r="P704" s="25"/>
      <c r="Q704" s="25">
        <v>0</v>
      </c>
      <c r="R704" s="25"/>
      <c r="S704" s="25"/>
      <c r="T704" s="25">
        <v>5</v>
      </c>
      <c r="U704" s="25"/>
      <c r="V704" s="39"/>
      <c r="W704" s="25"/>
      <c r="X704" s="33">
        <f t="shared" si="20"/>
        <v>5</v>
      </c>
      <c r="Y704" s="39"/>
      <c r="Z704" s="25">
        <v>0</v>
      </c>
      <c r="AA704" s="45"/>
      <c r="AB704" s="45"/>
      <c r="AC704" s="45"/>
      <c r="AD704" s="45"/>
      <c r="AE704" s="45"/>
    </row>
    <row r="705" spans="1:31" s="12" customFormat="1" ht="12">
      <c r="A705" s="27">
        <v>45617</v>
      </c>
      <c r="B705" s="47" t="s">
        <v>72</v>
      </c>
      <c r="C705" s="37" t="s">
        <v>86</v>
      </c>
      <c r="D705" s="34" t="s">
        <v>51</v>
      </c>
      <c r="E705" s="34" t="e">
        <f>IF(B705="","",VLOOKUP($B705,#REF!,4,FALSE))</f>
        <v>#REF!</v>
      </c>
      <c r="F705" s="34" t="e">
        <f>IF(E705="","",VLOOKUP($B705,#REF!,5,FALSE))</f>
        <v>#REF!</v>
      </c>
      <c r="G705" s="34" t="e">
        <f>IF(F705="","",VLOOKUP($B705,#REF!,6,FALSE))</f>
        <v>#REF!</v>
      </c>
      <c r="H705" s="34" t="e">
        <f>IF(G705="","",VLOOKUP($B705,#REF!,7,FALSE))</f>
        <v>#REF!</v>
      </c>
      <c r="I705" s="25"/>
      <c r="J705" s="25"/>
      <c r="K705" s="25">
        <v>5</v>
      </c>
      <c r="L705" s="25"/>
      <c r="M705" s="25"/>
      <c r="N705" s="25"/>
      <c r="O705" s="33">
        <f t="shared" si="21"/>
        <v>5</v>
      </c>
      <c r="P705" s="25"/>
      <c r="Q705" s="25">
        <v>0</v>
      </c>
      <c r="R705" s="25"/>
      <c r="S705" s="25"/>
      <c r="T705" s="25">
        <v>5</v>
      </c>
      <c r="U705" s="25"/>
      <c r="V705" s="39"/>
      <c r="W705" s="25"/>
      <c r="X705" s="33">
        <f t="shared" si="20"/>
        <v>5</v>
      </c>
      <c r="Y705" s="39">
        <v>31000</v>
      </c>
      <c r="Z705" s="25">
        <v>155000</v>
      </c>
      <c r="AA705" s="45"/>
      <c r="AB705" s="45"/>
      <c r="AC705" s="45"/>
      <c r="AD705" s="45"/>
      <c r="AE705" s="45"/>
    </row>
    <row r="706" spans="1:31" s="12" customFormat="1" ht="12">
      <c r="A706" s="27">
        <v>45617</v>
      </c>
      <c r="B706" s="47" t="s">
        <v>157</v>
      </c>
      <c r="C706" s="37" t="s">
        <v>87</v>
      </c>
      <c r="D706" s="34" t="s">
        <v>111</v>
      </c>
      <c r="E706" s="34" t="e">
        <f>IF(B706="","",VLOOKUP($B706,#REF!,4,FALSE))</f>
        <v>#REF!</v>
      </c>
      <c r="F706" s="34" t="e">
        <f>IF(E706="","",VLOOKUP($B706,#REF!,5,FALSE))</f>
        <v>#REF!</v>
      </c>
      <c r="G706" s="34" t="e">
        <f>IF(F706="","",VLOOKUP($B706,#REF!,6,FALSE))</f>
        <v>#REF!</v>
      </c>
      <c r="H706" s="34" t="e">
        <f>IF(G706="","",VLOOKUP($B706,#REF!,7,FALSE))</f>
        <v>#REF!</v>
      </c>
      <c r="I706" s="25"/>
      <c r="J706" s="25"/>
      <c r="K706" s="25"/>
      <c r="L706" s="25"/>
      <c r="M706" s="25"/>
      <c r="N706" s="25"/>
      <c r="O706" s="33">
        <f t="shared" si="21"/>
        <v>0</v>
      </c>
      <c r="P706" s="25"/>
      <c r="Q706" s="25">
        <v>0</v>
      </c>
      <c r="R706" s="25"/>
      <c r="S706" s="25"/>
      <c r="T706" s="25">
        <v>6</v>
      </c>
      <c r="U706" s="25"/>
      <c r="V706" s="39"/>
      <c r="W706" s="25"/>
      <c r="X706" s="33">
        <f t="shared" si="20"/>
        <v>6</v>
      </c>
      <c r="Y706" s="39"/>
      <c r="Z706" s="25">
        <v>0</v>
      </c>
      <c r="AA706" s="45"/>
      <c r="AB706" s="45"/>
      <c r="AC706" s="45"/>
      <c r="AD706" s="45"/>
      <c r="AE706" s="45"/>
    </row>
    <row r="707" spans="1:31" s="12" customFormat="1" ht="12">
      <c r="A707" s="27">
        <v>45617</v>
      </c>
      <c r="B707" s="47" t="s">
        <v>73</v>
      </c>
      <c r="C707" s="37" t="s">
        <v>86</v>
      </c>
      <c r="D707" s="34" t="s">
        <v>51</v>
      </c>
      <c r="E707" s="34" t="e">
        <f>IF(B707="","",VLOOKUP($B707,#REF!,4,FALSE))</f>
        <v>#REF!</v>
      </c>
      <c r="F707" s="34" t="e">
        <f>IF(E707="","",VLOOKUP($B707,#REF!,5,FALSE))</f>
        <v>#REF!</v>
      </c>
      <c r="G707" s="34" t="e">
        <f>IF(F707="","",VLOOKUP($B707,#REF!,6,FALSE))</f>
        <v>#REF!</v>
      </c>
      <c r="H707" s="34" t="e">
        <f>IF(G707="","",VLOOKUP($B707,#REF!,7,FALSE))</f>
        <v>#REF!</v>
      </c>
      <c r="I707" s="25"/>
      <c r="J707" s="25"/>
      <c r="K707" s="25">
        <v>1</v>
      </c>
      <c r="L707" s="25"/>
      <c r="M707" s="25"/>
      <c r="N707" s="25"/>
      <c r="O707" s="33">
        <f t="shared" si="21"/>
        <v>1</v>
      </c>
      <c r="P707" s="25"/>
      <c r="Q707" s="25">
        <v>0</v>
      </c>
      <c r="R707" s="25"/>
      <c r="S707" s="25"/>
      <c r="T707" s="25">
        <v>1</v>
      </c>
      <c r="U707" s="25"/>
      <c r="V707" s="39"/>
      <c r="W707" s="25"/>
      <c r="X707" s="33">
        <f t="shared" si="20"/>
        <v>1</v>
      </c>
      <c r="Y707" s="39">
        <v>19200</v>
      </c>
      <c r="Z707" s="25">
        <v>19200</v>
      </c>
      <c r="AA707" s="45"/>
      <c r="AB707" s="45"/>
      <c r="AC707" s="45"/>
      <c r="AD707" s="45"/>
      <c r="AE707" s="45"/>
    </row>
    <row r="708" spans="1:31" s="12" customFormat="1" ht="12">
      <c r="A708" s="27">
        <v>45617</v>
      </c>
      <c r="B708" s="53" t="s">
        <v>198</v>
      </c>
      <c r="C708" s="37" t="s">
        <v>84</v>
      </c>
      <c r="D708" s="34" t="s">
        <v>184</v>
      </c>
      <c r="E708" s="34" t="e">
        <f>IF(B708="","",VLOOKUP($B708,#REF!,4,FALSE))</f>
        <v>#REF!</v>
      </c>
      <c r="F708" s="34" t="e">
        <f>IF(E708="","",VLOOKUP($B708,#REF!,5,FALSE))</f>
        <v>#REF!</v>
      </c>
      <c r="G708" s="34" t="e">
        <f>IF(F708="","",VLOOKUP($B708,#REF!,6,FALSE))</f>
        <v>#REF!</v>
      </c>
      <c r="H708" s="34" t="e">
        <f>IF(G708="","",VLOOKUP($B708,#REF!,7,FALSE))</f>
        <v>#REF!</v>
      </c>
      <c r="I708" s="25"/>
      <c r="J708" s="25"/>
      <c r="K708" s="25"/>
      <c r="L708" s="25"/>
      <c r="M708" s="25"/>
      <c r="N708" s="25"/>
      <c r="O708" s="33">
        <f t="shared" si="21"/>
        <v>0</v>
      </c>
      <c r="P708" s="25"/>
      <c r="Q708" s="25">
        <v>0</v>
      </c>
      <c r="R708" s="25"/>
      <c r="S708" s="25"/>
      <c r="T708" s="25">
        <v>1</v>
      </c>
      <c r="U708" s="25"/>
      <c r="V708" s="39"/>
      <c r="W708" s="25"/>
      <c r="X708" s="33">
        <f t="shared" si="20"/>
        <v>1</v>
      </c>
      <c r="Y708" s="39"/>
      <c r="Z708" s="25">
        <v>0</v>
      </c>
      <c r="AA708" s="45"/>
      <c r="AB708" s="45"/>
      <c r="AC708" s="45"/>
      <c r="AD708" s="45"/>
      <c r="AE708" s="45"/>
    </row>
    <row r="709" spans="1:31" s="12" customFormat="1" ht="12">
      <c r="A709" s="27">
        <v>45617</v>
      </c>
      <c r="B709" s="47" t="s">
        <v>76</v>
      </c>
      <c r="C709" s="37" t="s">
        <v>86</v>
      </c>
      <c r="D709" s="34" t="s">
        <v>51</v>
      </c>
      <c r="E709" s="34" t="e">
        <f>IF(B709="","",VLOOKUP($B709,#REF!,4,FALSE))</f>
        <v>#REF!</v>
      </c>
      <c r="F709" s="34" t="e">
        <f>IF(E709="","",VLOOKUP($B709,#REF!,5,FALSE))</f>
        <v>#REF!</v>
      </c>
      <c r="G709" s="34" t="e">
        <f>IF(F709="","",VLOOKUP($B709,#REF!,6,FALSE))</f>
        <v>#REF!</v>
      </c>
      <c r="H709" s="34" t="e">
        <f>IF(G709="","",VLOOKUP($B709,#REF!,7,FALSE))</f>
        <v>#REF!</v>
      </c>
      <c r="I709" s="25"/>
      <c r="J709" s="25"/>
      <c r="K709" s="25">
        <v>1</v>
      </c>
      <c r="L709" s="25"/>
      <c r="M709" s="25"/>
      <c r="N709" s="25"/>
      <c r="O709" s="33">
        <f t="shared" si="21"/>
        <v>1</v>
      </c>
      <c r="P709" s="25"/>
      <c r="Q709" s="25">
        <v>0</v>
      </c>
      <c r="R709" s="25"/>
      <c r="S709" s="25"/>
      <c r="T709" s="25">
        <v>1</v>
      </c>
      <c r="U709" s="25"/>
      <c r="V709" s="39"/>
      <c r="W709" s="25"/>
      <c r="X709" s="33">
        <f t="shared" ref="X709:X772" si="22">SUM(R709:W709)</f>
        <v>1</v>
      </c>
      <c r="Y709" s="39">
        <v>80000</v>
      </c>
      <c r="Z709" s="25">
        <v>80000</v>
      </c>
      <c r="AA709" s="45"/>
      <c r="AB709" s="45"/>
      <c r="AC709" s="45"/>
      <c r="AD709" s="45"/>
      <c r="AE709" s="45"/>
    </row>
    <row r="710" spans="1:31" s="12" customFormat="1" ht="12">
      <c r="A710" s="27">
        <v>45617</v>
      </c>
      <c r="B710" s="47" t="s">
        <v>60</v>
      </c>
      <c r="C710" s="37" t="s">
        <v>82</v>
      </c>
      <c r="D710" s="34" t="s">
        <v>186</v>
      </c>
      <c r="E710" s="34" t="e">
        <f>IF(B710="","",VLOOKUP($B710,#REF!,4,FALSE))</f>
        <v>#REF!</v>
      </c>
      <c r="F710" s="34" t="e">
        <f>IF(E710="","",VLOOKUP($B710,#REF!,5,FALSE))</f>
        <v>#REF!</v>
      </c>
      <c r="G710" s="34" t="e">
        <f>IF(F710="","",VLOOKUP($B710,#REF!,6,FALSE))</f>
        <v>#REF!</v>
      </c>
      <c r="H710" s="34" t="e">
        <f>IF(G710="","",VLOOKUP($B710,#REF!,7,FALSE))</f>
        <v>#REF!</v>
      </c>
      <c r="I710" s="25"/>
      <c r="J710" s="25"/>
      <c r="K710" s="25"/>
      <c r="L710" s="25"/>
      <c r="M710" s="25"/>
      <c r="N710" s="25"/>
      <c r="O710" s="33">
        <f t="shared" ref="O710:O773" si="23">SUM(I710:N710)</f>
        <v>0</v>
      </c>
      <c r="P710" s="25"/>
      <c r="Q710" s="25">
        <v>0</v>
      </c>
      <c r="R710" s="25"/>
      <c r="S710" s="25"/>
      <c r="T710" s="25">
        <v>2</v>
      </c>
      <c r="U710" s="25"/>
      <c r="V710" s="39"/>
      <c r="W710" s="25"/>
      <c r="X710" s="33">
        <f t="shared" si="22"/>
        <v>2</v>
      </c>
      <c r="Y710" s="39"/>
      <c r="Z710" s="25">
        <v>0</v>
      </c>
      <c r="AA710" s="45"/>
      <c r="AB710" s="45"/>
      <c r="AC710" s="45"/>
      <c r="AD710" s="45"/>
      <c r="AE710" s="45"/>
    </row>
    <row r="711" spans="1:31" s="12" customFormat="1" ht="12">
      <c r="A711" s="27">
        <v>45617</v>
      </c>
      <c r="B711" s="47" t="s">
        <v>60</v>
      </c>
      <c r="C711" s="37" t="s">
        <v>86</v>
      </c>
      <c r="D711" s="34" t="s">
        <v>51</v>
      </c>
      <c r="E711" s="34" t="e">
        <f>IF(B711="","",VLOOKUP($B711,#REF!,4,FALSE))</f>
        <v>#REF!</v>
      </c>
      <c r="F711" s="34" t="e">
        <f>IF(E711="","",VLOOKUP($B711,#REF!,5,FALSE))</f>
        <v>#REF!</v>
      </c>
      <c r="G711" s="34" t="e">
        <f>IF(F711="","",VLOOKUP($B711,#REF!,6,FALSE))</f>
        <v>#REF!</v>
      </c>
      <c r="H711" s="34" t="e">
        <f>IF(G711="","",VLOOKUP($B711,#REF!,7,FALSE))</f>
        <v>#REF!</v>
      </c>
      <c r="I711" s="25"/>
      <c r="J711" s="25"/>
      <c r="K711" s="25">
        <v>2</v>
      </c>
      <c r="L711" s="25"/>
      <c r="M711" s="25"/>
      <c r="N711" s="25"/>
      <c r="O711" s="33">
        <f t="shared" si="23"/>
        <v>2</v>
      </c>
      <c r="P711" s="25"/>
      <c r="Q711" s="25">
        <v>0</v>
      </c>
      <c r="R711" s="25"/>
      <c r="S711" s="25"/>
      <c r="T711" s="25">
        <v>2</v>
      </c>
      <c r="U711" s="25"/>
      <c r="V711" s="39"/>
      <c r="W711" s="25"/>
      <c r="X711" s="33">
        <f t="shared" si="22"/>
        <v>2</v>
      </c>
      <c r="Y711" s="39">
        <v>13000</v>
      </c>
      <c r="Z711" s="25">
        <v>26000</v>
      </c>
      <c r="AA711" s="45"/>
      <c r="AB711" s="45"/>
      <c r="AC711" s="45"/>
      <c r="AD711" s="45"/>
      <c r="AE711" s="45"/>
    </row>
    <row r="712" spans="1:31" s="12" customFormat="1" ht="12">
      <c r="A712" s="27">
        <v>45617</v>
      </c>
      <c r="B712" s="53" t="s">
        <v>15</v>
      </c>
      <c r="C712" s="37" t="s">
        <v>83</v>
      </c>
      <c r="D712" s="34" t="s">
        <v>185</v>
      </c>
      <c r="E712" s="34" t="e">
        <f>IF(B712="","",VLOOKUP($B712,#REF!,4,FALSE))</f>
        <v>#REF!</v>
      </c>
      <c r="F712" s="34" t="e">
        <f>IF(E712="","",VLOOKUP($B712,#REF!,5,FALSE))</f>
        <v>#REF!</v>
      </c>
      <c r="G712" s="34" t="e">
        <f>IF(F712="","",VLOOKUP($B712,#REF!,6,FALSE))</f>
        <v>#REF!</v>
      </c>
      <c r="H712" s="34" t="e">
        <f>IF(G712="","",VLOOKUP($B712,#REF!,7,FALSE))</f>
        <v>#REF!</v>
      </c>
      <c r="I712" s="25"/>
      <c r="J712" s="25"/>
      <c r="K712" s="25"/>
      <c r="L712" s="25"/>
      <c r="M712" s="25"/>
      <c r="N712" s="25"/>
      <c r="O712" s="33">
        <f t="shared" si="23"/>
        <v>0</v>
      </c>
      <c r="P712" s="25"/>
      <c r="Q712" s="25">
        <v>0</v>
      </c>
      <c r="R712" s="25"/>
      <c r="S712" s="25"/>
      <c r="T712" s="25">
        <v>5</v>
      </c>
      <c r="U712" s="25"/>
      <c r="V712" s="39"/>
      <c r="W712" s="25"/>
      <c r="X712" s="33">
        <f t="shared" si="22"/>
        <v>5</v>
      </c>
      <c r="Y712" s="39">
        <v>69600</v>
      </c>
      <c r="Z712" s="25">
        <v>348000</v>
      </c>
      <c r="AA712" s="45"/>
      <c r="AB712" s="45"/>
      <c r="AC712" s="45"/>
      <c r="AD712" s="45"/>
      <c r="AE712" s="45"/>
    </row>
    <row r="713" spans="1:31" s="12" customFormat="1" ht="12">
      <c r="A713" s="27">
        <v>45617</v>
      </c>
      <c r="B713" s="47" t="s">
        <v>10</v>
      </c>
      <c r="C713" s="37" t="s">
        <v>83</v>
      </c>
      <c r="D713" s="34" t="s">
        <v>185</v>
      </c>
      <c r="E713" s="34" t="e">
        <f>IF(B713="","",VLOOKUP($B713,#REF!,4,FALSE))</f>
        <v>#REF!</v>
      </c>
      <c r="F713" s="34" t="e">
        <f>IF(E713="","",VLOOKUP($B713,#REF!,5,FALSE))</f>
        <v>#REF!</v>
      </c>
      <c r="G713" s="34" t="e">
        <f>IF(F713="","",VLOOKUP($B713,#REF!,6,FALSE))</f>
        <v>#REF!</v>
      </c>
      <c r="H713" s="34" t="e">
        <f>IF(G713="","",VLOOKUP($B713,#REF!,7,FALSE))</f>
        <v>#REF!</v>
      </c>
      <c r="I713" s="25"/>
      <c r="J713" s="25"/>
      <c r="K713" s="25"/>
      <c r="L713" s="25"/>
      <c r="M713" s="25"/>
      <c r="N713" s="25"/>
      <c r="O713" s="33">
        <f t="shared" si="23"/>
        <v>0</v>
      </c>
      <c r="P713" s="25"/>
      <c r="Q713" s="25">
        <v>0</v>
      </c>
      <c r="R713" s="25"/>
      <c r="S713" s="25"/>
      <c r="T713" s="25">
        <v>1</v>
      </c>
      <c r="U713" s="25"/>
      <c r="V713" s="39"/>
      <c r="W713" s="25"/>
      <c r="X713" s="33">
        <f t="shared" si="22"/>
        <v>1</v>
      </c>
      <c r="Y713" s="39">
        <v>57000</v>
      </c>
      <c r="Z713" s="25">
        <v>57000</v>
      </c>
      <c r="AA713" s="45"/>
      <c r="AB713" s="45"/>
      <c r="AC713" s="45"/>
      <c r="AD713" s="45"/>
      <c r="AE713" s="45"/>
    </row>
    <row r="714" spans="1:31" s="12" customFormat="1" ht="12">
      <c r="A714" s="27">
        <v>45617</v>
      </c>
      <c r="B714" s="47" t="s">
        <v>25</v>
      </c>
      <c r="C714" s="37" t="s">
        <v>83</v>
      </c>
      <c r="D714" s="34" t="s">
        <v>185</v>
      </c>
      <c r="E714" s="34" t="e">
        <f>IF(B714="","",VLOOKUP($B714,#REF!,4,FALSE))</f>
        <v>#REF!</v>
      </c>
      <c r="F714" s="34" t="e">
        <f>IF(E714="","",VLOOKUP($B714,#REF!,5,FALSE))</f>
        <v>#REF!</v>
      </c>
      <c r="G714" s="34" t="e">
        <f>IF(F714="","",VLOOKUP($B714,#REF!,6,FALSE))</f>
        <v>#REF!</v>
      </c>
      <c r="H714" s="34" t="e">
        <f>IF(G714="","",VLOOKUP($B714,#REF!,7,FALSE))</f>
        <v>#REF!</v>
      </c>
      <c r="I714" s="25"/>
      <c r="J714" s="25"/>
      <c r="K714" s="25"/>
      <c r="L714" s="25"/>
      <c r="M714" s="25"/>
      <c r="N714" s="25"/>
      <c r="O714" s="33">
        <f t="shared" si="23"/>
        <v>0</v>
      </c>
      <c r="P714" s="25"/>
      <c r="Q714" s="25">
        <v>0</v>
      </c>
      <c r="R714" s="25"/>
      <c r="S714" s="25"/>
      <c r="T714" s="25">
        <v>2</v>
      </c>
      <c r="U714" s="25"/>
      <c r="V714" s="39"/>
      <c r="W714" s="25"/>
      <c r="X714" s="33">
        <f t="shared" si="22"/>
        <v>2</v>
      </c>
      <c r="Y714" s="39">
        <v>57000</v>
      </c>
      <c r="Z714" s="25">
        <v>114000</v>
      </c>
      <c r="AA714" s="45"/>
      <c r="AB714" s="45"/>
      <c r="AC714" s="45"/>
      <c r="AD714" s="45"/>
      <c r="AE714" s="45"/>
    </row>
    <row r="715" spans="1:31" s="12" customFormat="1" ht="12">
      <c r="A715" s="27">
        <v>45617</v>
      </c>
      <c r="B715" s="56" t="s">
        <v>38</v>
      </c>
      <c r="C715" s="37" t="s">
        <v>83</v>
      </c>
      <c r="D715" s="34" t="s">
        <v>185</v>
      </c>
      <c r="E715" s="34" t="e">
        <f>IF(B715="","",VLOOKUP($B715,#REF!,4,FALSE))</f>
        <v>#REF!</v>
      </c>
      <c r="F715" s="34" t="e">
        <f>IF(E715="","",VLOOKUP($B715,#REF!,5,FALSE))</f>
        <v>#REF!</v>
      </c>
      <c r="G715" s="34" t="e">
        <f>IF(F715="","",VLOOKUP($B715,#REF!,6,FALSE))</f>
        <v>#REF!</v>
      </c>
      <c r="H715" s="34" t="e">
        <f>IF(G715="","",VLOOKUP($B715,#REF!,7,FALSE))</f>
        <v>#REF!</v>
      </c>
      <c r="I715" s="25"/>
      <c r="J715" s="25"/>
      <c r="K715" s="25"/>
      <c r="L715" s="25"/>
      <c r="M715" s="25"/>
      <c r="N715" s="25"/>
      <c r="O715" s="33">
        <f t="shared" si="23"/>
        <v>0</v>
      </c>
      <c r="P715" s="25"/>
      <c r="Q715" s="25">
        <v>0</v>
      </c>
      <c r="R715" s="25"/>
      <c r="S715" s="25"/>
      <c r="T715" s="25">
        <v>72</v>
      </c>
      <c r="U715" s="25"/>
      <c r="V715" s="39"/>
      <c r="W715" s="25"/>
      <c r="X715" s="33">
        <f t="shared" si="22"/>
        <v>72</v>
      </c>
      <c r="Y715" s="39">
        <v>54600</v>
      </c>
      <c r="Z715" s="25">
        <v>3931200</v>
      </c>
      <c r="AA715" s="45"/>
      <c r="AB715" s="45"/>
      <c r="AC715" s="45"/>
      <c r="AD715" s="45"/>
      <c r="AE715" s="45"/>
    </row>
    <row r="716" spans="1:31" s="12" customFormat="1" ht="12">
      <c r="A716" s="27">
        <v>45617</v>
      </c>
      <c r="B716" s="53" t="s">
        <v>61</v>
      </c>
      <c r="C716" s="37" t="s">
        <v>83</v>
      </c>
      <c r="D716" s="34" t="s">
        <v>185</v>
      </c>
      <c r="E716" s="34" t="e">
        <f>IF(B716="","",VLOOKUP($B716,#REF!,4,FALSE))</f>
        <v>#REF!</v>
      </c>
      <c r="F716" s="34" t="e">
        <f>IF(E716="","",VLOOKUP($B716,#REF!,5,FALSE))</f>
        <v>#REF!</v>
      </c>
      <c r="G716" s="34" t="e">
        <f>IF(F716="","",VLOOKUP($B716,#REF!,6,FALSE))</f>
        <v>#REF!</v>
      </c>
      <c r="H716" s="34" t="e">
        <f>IF(G716="","",VLOOKUP($B716,#REF!,7,FALSE))</f>
        <v>#REF!</v>
      </c>
      <c r="I716" s="25"/>
      <c r="J716" s="25"/>
      <c r="K716" s="25"/>
      <c r="L716" s="25"/>
      <c r="M716" s="25"/>
      <c r="N716" s="25"/>
      <c r="O716" s="33">
        <f t="shared" si="23"/>
        <v>0</v>
      </c>
      <c r="P716" s="25"/>
      <c r="Q716" s="25">
        <v>0</v>
      </c>
      <c r="R716" s="25"/>
      <c r="S716" s="25"/>
      <c r="T716" s="25">
        <v>18</v>
      </c>
      <c r="U716" s="25"/>
      <c r="V716" s="39"/>
      <c r="W716" s="25"/>
      <c r="X716" s="33">
        <f t="shared" si="22"/>
        <v>18</v>
      </c>
      <c r="Y716" s="39">
        <v>67500</v>
      </c>
      <c r="Z716" s="25">
        <v>1215000</v>
      </c>
      <c r="AA716" s="45"/>
      <c r="AB716" s="45"/>
      <c r="AC716" s="45"/>
      <c r="AD716" s="45"/>
      <c r="AE716" s="45"/>
    </row>
    <row r="717" spans="1:31" s="12" customFormat="1" ht="12">
      <c r="A717" s="27">
        <v>45617</v>
      </c>
      <c r="B717" s="53" t="s">
        <v>26</v>
      </c>
      <c r="C717" s="37" t="s">
        <v>83</v>
      </c>
      <c r="D717" s="34" t="s">
        <v>185</v>
      </c>
      <c r="E717" s="34" t="e">
        <f>IF(B717="","",VLOOKUP($B717,#REF!,4,FALSE))</f>
        <v>#REF!</v>
      </c>
      <c r="F717" s="34" t="e">
        <f>IF(E717="","",VLOOKUP($B717,#REF!,5,FALSE))</f>
        <v>#REF!</v>
      </c>
      <c r="G717" s="34" t="e">
        <f>IF(F717="","",VLOOKUP($B717,#REF!,6,FALSE))</f>
        <v>#REF!</v>
      </c>
      <c r="H717" s="34" t="e">
        <f>IF(G717="","",VLOOKUP($B717,#REF!,7,FALSE))</f>
        <v>#REF!</v>
      </c>
      <c r="I717" s="25"/>
      <c r="J717" s="25"/>
      <c r="K717" s="25"/>
      <c r="L717" s="25"/>
      <c r="M717" s="25"/>
      <c r="N717" s="25"/>
      <c r="O717" s="33">
        <f t="shared" si="23"/>
        <v>0</v>
      </c>
      <c r="P717" s="25"/>
      <c r="Q717" s="25">
        <v>0</v>
      </c>
      <c r="R717" s="25"/>
      <c r="S717" s="25"/>
      <c r="T717" s="25">
        <v>5</v>
      </c>
      <c r="U717" s="25"/>
      <c r="V717" s="39"/>
      <c r="W717" s="25"/>
      <c r="X717" s="33">
        <f t="shared" si="22"/>
        <v>5</v>
      </c>
      <c r="Y717" s="39">
        <v>23200</v>
      </c>
      <c r="Z717" s="25">
        <v>116000</v>
      </c>
      <c r="AA717" s="45"/>
      <c r="AB717" s="45"/>
      <c r="AC717" s="45"/>
      <c r="AD717" s="45"/>
      <c r="AE717" s="45"/>
    </row>
    <row r="718" spans="1:31" s="12" customFormat="1" ht="12">
      <c r="A718" s="27">
        <v>45617</v>
      </c>
      <c r="B718" s="53" t="s">
        <v>8</v>
      </c>
      <c r="C718" s="37" t="s">
        <v>83</v>
      </c>
      <c r="D718" s="34" t="s">
        <v>185</v>
      </c>
      <c r="E718" s="34" t="e">
        <f>IF(B718="","",VLOOKUP($B718,#REF!,4,FALSE))</f>
        <v>#REF!</v>
      </c>
      <c r="F718" s="34" t="e">
        <f>IF(E718="","",VLOOKUP($B718,#REF!,5,FALSE))</f>
        <v>#REF!</v>
      </c>
      <c r="G718" s="34" t="e">
        <f>IF(F718="","",VLOOKUP($B718,#REF!,6,FALSE))</f>
        <v>#REF!</v>
      </c>
      <c r="H718" s="34" t="e">
        <f>IF(G718="","",VLOOKUP($B718,#REF!,7,FALSE))</f>
        <v>#REF!</v>
      </c>
      <c r="I718" s="25"/>
      <c r="J718" s="25"/>
      <c r="K718" s="25"/>
      <c r="L718" s="25"/>
      <c r="M718" s="25"/>
      <c r="N718" s="25"/>
      <c r="O718" s="33">
        <f t="shared" si="23"/>
        <v>0</v>
      </c>
      <c r="P718" s="25"/>
      <c r="Q718" s="25">
        <v>0</v>
      </c>
      <c r="R718" s="25"/>
      <c r="S718" s="25"/>
      <c r="T718" s="25">
        <v>79</v>
      </c>
      <c r="U718" s="25"/>
      <c r="V718" s="39"/>
      <c r="W718" s="25"/>
      <c r="X718" s="33">
        <f t="shared" si="22"/>
        <v>79</v>
      </c>
      <c r="Y718" s="39">
        <v>36300</v>
      </c>
      <c r="Z718" s="25">
        <v>2867700</v>
      </c>
      <c r="AA718" s="45"/>
      <c r="AB718" s="45"/>
      <c r="AC718" s="45"/>
      <c r="AD718" s="45"/>
      <c r="AE718" s="45"/>
    </row>
    <row r="719" spans="1:31" s="12" customFormat="1" ht="12">
      <c r="A719" s="27">
        <v>45617</v>
      </c>
      <c r="B719" s="53" t="s">
        <v>10</v>
      </c>
      <c r="C719" s="37" t="s">
        <v>83</v>
      </c>
      <c r="D719" s="34" t="s">
        <v>185</v>
      </c>
      <c r="E719" s="34" t="e">
        <f>IF(B719="","",VLOOKUP($B719,#REF!,4,FALSE))</f>
        <v>#REF!</v>
      </c>
      <c r="F719" s="34" t="e">
        <f>IF(E719="","",VLOOKUP($B719,#REF!,5,FALSE))</f>
        <v>#REF!</v>
      </c>
      <c r="G719" s="34" t="e">
        <f>IF(F719="","",VLOOKUP($B719,#REF!,6,FALSE))</f>
        <v>#REF!</v>
      </c>
      <c r="H719" s="34" t="e">
        <f>IF(G719="","",VLOOKUP($B719,#REF!,7,FALSE))</f>
        <v>#REF!</v>
      </c>
      <c r="I719" s="25"/>
      <c r="J719" s="25"/>
      <c r="K719" s="25"/>
      <c r="L719" s="25"/>
      <c r="M719" s="25"/>
      <c r="N719" s="25"/>
      <c r="O719" s="33">
        <f t="shared" si="23"/>
        <v>0</v>
      </c>
      <c r="P719" s="25"/>
      <c r="Q719" s="25">
        <v>0</v>
      </c>
      <c r="R719" s="25"/>
      <c r="S719" s="25"/>
      <c r="T719" s="25">
        <v>2</v>
      </c>
      <c r="U719" s="25"/>
      <c r="V719" s="39"/>
      <c r="W719" s="25"/>
      <c r="X719" s="33">
        <f t="shared" si="22"/>
        <v>2</v>
      </c>
      <c r="Y719" s="39"/>
      <c r="Z719" s="25">
        <v>0</v>
      </c>
      <c r="AA719" s="45"/>
      <c r="AB719" s="45"/>
      <c r="AC719" s="45"/>
      <c r="AD719" s="45"/>
      <c r="AE719" s="45"/>
    </row>
    <row r="720" spans="1:31" s="12" customFormat="1" ht="12">
      <c r="A720" s="27">
        <v>45617</v>
      </c>
      <c r="B720" s="53" t="s">
        <v>161</v>
      </c>
      <c r="C720" s="37" t="s">
        <v>83</v>
      </c>
      <c r="D720" s="34" t="s">
        <v>185</v>
      </c>
      <c r="E720" s="34" t="e">
        <f>IF(B720="","",VLOOKUP($B720,#REF!,4,FALSE))</f>
        <v>#REF!</v>
      </c>
      <c r="F720" s="34" t="e">
        <f>IF(E720="","",VLOOKUP($B720,#REF!,5,FALSE))</f>
        <v>#REF!</v>
      </c>
      <c r="G720" s="34" t="e">
        <f>IF(F720="","",VLOOKUP($B720,#REF!,6,FALSE))</f>
        <v>#REF!</v>
      </c>
      <c r="H720" s="34" t="e">
        <f>IF(G720="","",VLOOKUP($B720,#REF!,7,FALSE))</f>
        <v>#REF!</v>
      </c>
      <c r="I720" s="25"/>
      <c r="J720" s="25"/>
      <c r="K720" s="25">
        <v>2</v>
      </c>
      <c r="L720" s="25"/>
      <c r="M720" s="25"/>
      <c r="N720" s="25"/>
      <c r="O720" s="33">
        <f t="shared" si="23"/>
        <v>2</v>
      </c>
      <c r="P720" s="25"/>
      <c r="Q720" s="25">
        <v>0</v>
      </c>
      <c r="R720" s="25"/>
      <c r="S720" s="25"/>
      <c r="T720" s="25">
        <v>2</v>
      </c>
      <c r="U720" s="25"/>
      <c r="V720" s="39"/>
      <c r="W720" s="25"/>
      <c r="X720" s="33">
        <f t="shared" si="22"/>
        <v>2</v>
      </c>
      <c r="Y720" s="39">
        <v>44280</v>
      </c>
      <c r="Z720" s="25">
        <v>88560</v>
      </c>
      <c r="AA720" s="45"/>
      <c r="AB720" s="45"/>
      <c r="AC720" s="45"/>
      <c r="AD720" s="45"/>
      <c r="AE720" s="45"/>
    </row>
    <row r="721" spans="1:31" s="12" customFormat="1" ht="12">
      <c r="A721" s="27">
        <v>45617</v>
      </c>
      <c r="B721" s="53" t="s">
        <v>193</v>
      </c>
      <c r="C721" s="37" t="s">
        <v>150</v>
      </c>
      <c r="D721" s="34" t="s">
        <v>194</v>
      </c>
      <c r="E721" s="34" t="e">
        <f>IF(B721="","",VLOOKUP($B721,#REF!,4,FALSE))</f>
        <v>#REF!</v>
      </c>
      <c r="F721" s="34" t="e">
        <f>IF(E721="","",VLOOKUP($B721,#REF!,5,FALSE))</f>
        <v>#REF!</v>
      </c>
      <c r="G721" s="34" t="e">
        <f>IF(F721="","",VLOOKUP($B721,#REF!,6,FALSE))</f>
        <v>#REF!</v>
      </c>
      <c r="H721" s="34" t="e">
        <f>IF(G721="","",VLOOKUP($B721,#REF!,7,FALSE))</f>
        <v>#REF!</v>
      </c>
      <c r="I721" s="25"/>
      <c r="J721" s="25"/>
      <c r="K721" s="25"/>
      <c r="L721" s="25"/>
      <c r="M721" s="25"/>
      <c r="N721" s="25"/>
      <c r="O721" s="33">
        <f t="shared" si="23"/>
        <v>0</v>
      </c>
      <c r="P721" s="25"/>
      <c r="Q721" s="25">
        <v>0</v>
      </c>
      <c r="R721" s="25"/>
      <c r="S721" s="25"/>
      <c r="T721" s="25">
        <v>2</v>
      </c>
      <c r="U721" s="25"/>
      <c r="V721" s="39"/>
      <c r="W721" s="25"/>
      <c r="X721" s="33">
        <f t="shared" si="22"/>
        <v>2</v>
      </c>
      <c r="Y721" s="39">
        <v>16000</v>
      </c>
      <c r="Z721" s="25">
        <v>32000</v>
      </c>
      <c r="AA721" s="45"/>
      <c r="AB721" s="45"/>
      <c r="AC721" s="45"/>
      <c r="AD721" s="45"/>
      <c r="AE721" s="45"/>
    </row>
    <row r="722" spans="1:31" s="12" customFormat="1" ht="12">
      <c r="A722" s="27">
        <v>45617</v>
      </c>
      <c r="B722" s="47" t="s">
        <v>222</v>
      </c>
      <c r="C722" s="37" t="s">
        <v>87</v>
      </c>
      <c r="D722" s="34" t="s">
        <v>111</v>
      </c>
      <c r="E722" s="34" t="e">
        <f>IF(B722="","",VLOOKUP($B722,#REF!,4,FALSE))</f>
        <v>#REF!</v>
      </c>
      <c r="F722" s="34" t="e">
        <f>IF(E722="","",VLOOKUP($B722,#REF!,5,FALSE))</f>
        <v>#REF!</v>
      </c>
      <c r="G722" s="34" t="e">
        <f>IF(F722="","",VLOOKUP($B722,#REF!,6,FALSE))</f>
        <v>#REF!</v>
      </c>
      <c r="H722" s="34" t="e">
        <f>IF(G722="","",VLOOKUP($B722,#REF!,7,FALSE))</f>
        <v>#REF!</v>
      </c>
      <c r="I722" s="25"/>
      <c r="J722" s="25">
        <v>203</v>
      </c>
      <c r="K722" s="25"/>
      <c r="L722" s="25"/>
      <c r="M722" s="25"/>
      <c r="N722" s="25"/>
      <c r="O722" s="33">
        <f t="shared" si="23"/>
        <v>203</v>
      </c>
      <c r="P722" s="25"/>
      <c r="Q722" s="25">
        <v>0</v>
      </c>
      <c r="R722" s="25"/>
      <c r="S722" s="25"/>
      <c r="T722" s="25"/>
      <c r="U722" s="25"/>
      <c r="V722" s="39"/>
      <c r="W722" s="25"/>
      <c r="X722" s="33">
        <f t="shared" si="22"/>
        <v>0</v>
      </c>
      <c r="Y722" s="39"/>
      <c r="Z722" s="25">
        <v>0</v>
      </c>
      <c r="AA722" s="45"/>
      <c r="AB722" s="45"/>
      <c r="AC722" s="45"/>
      <c r="AD722" s="45"/>
      <c r="AE722" s="45"/>
    </row>
    <row r="723" spans="1:31" s="12" customFormat="1" ht="12">
      <c r="A723" s="27">
        <v>45617</v>
      </c>
      <c r="B723" s="53" t="s">
        <v>222</v>
      </c>
      <c r="C723" s="37" t="s">
        <v>130</v>
      </c>
      <c r="D723" s="34" t="s">
        <v>191</v>
      </c>
      <c r="E723" s="34" t="e">
        <f>IF(B723="","",VLOOKUP($B723,#REF!,4,FALSE))</f>
        <v>#REF!</v>
      </c>
      <c r="F723" s="34" t="e">
        <f>IF(E723="","",VLOOKUP($B723,#REF!,5,FALSE))</f>
        <v>#REF!</v>
      </c>
      <c r="G723" s="34" t="e">
        <f>IF(F723="","",VLOOKUP($B723,#REF!,6,FALSE))</f>
        <v>#REF!</v>
      </c>
      <c r="H723" s="34" t="e">
        <f>IF(G723="","",VLOOKUP($B723,#REF!,7,FALSE))</f>
        <v>#REF!</v>
      </c>
      <c r="I723" s="25"/>
      <c r="J723" s="25"/>
      <c r="K723" s="25"/>
      <c r="L723" s="25"/>
      <c r="M723" s="25"/>
      <c r="N723" s="25"/>
      <c r="O723" s="33">
        <f t="shared" si="23"/>
        <v>0</v>
      </c>
      <c r="P723" s="25"/>
      <c r="Q723" s="25">
        <v>0</v>
      </c>
      <c r="R723" s="25"/>
      <c r="S723" s="25">
        <v>203</v>
      </c>
      <c r="T723" s="25"/>
      <c r="U723" s="25"/>
      <c r="V723" s="39"/>
      <c r="W723" s="25"/>
      <c r="X723" s="33">
        <f t="shared" si="22"/>
        <v>203</v>
      </c>
      <c r="Y723" s="39">
        <v>10000</v>
      </c>
      <c r="Z723" s="25">
        <v>2030000</v>
      </c>
      <c r="AA723" s="45"/>
      <c r="AB723" s="45"/>
      <c r="AC723" s="45"/>
      <c r="AD723" s="45"/>
      <c r="AE723" s="45"/>
    </row>
    <row r="724" spans="1:31" s="12" customFormat="1" ht="12">
      <c r="A724" s="27">
        <v>45617</v>
      </c>
      <c r="B724" s="56" t="s">
        <v>223</v>
      </c>
      <c r="C724" s="37" t="s">
        <v>87</v>
      </c>
      <c r="D724" s="34" t="s">
        <v>111</v>
      </c>
      <c r="E724" s="34" t="e">
        <f>IF(B724="","",VLOOKUP($B724,#REF!,4,FALSE))</f>
        <v>#REF!</v>
      </c>
      <c r="F724" s="34" t="e">
        <f>IF(E724="","",VLOOKUP($B724,#REF!,5,FALSE))</f>
        <v>#REF!</v>
      </c>
      <c r="G724" s="34" t="e">
        <f>IF(F724="","",VLOOKUP($B724,#REF!,6,FALSE))</f>
        <v>#REF!</v>
      </c>
      <c r="H724" s="34" t="e">
        <f>IF(G724="","",VLOOKUP($B724,#REF!,7,FALSE))</f>
        <v>#REF!</v>
      </c>
      <c r="I724" s="25"/>
      <c r="J724" s="25">
        <v>363</v>
      </c>
      <c r="K724" s="25"/>
      <c r="L724" s="25"/>
      <c r="M724" s="25"/>
      <c r="N724" s="25"/>
      <c r="O724" s="33">
        <f t="shared" si="23"/>
        <v>363</v>
      </c>
      <c r="P724" s="25"/>
      <c r="Q724" s="25">
        <v>0</v>
      </c>
      <c r="R724" s="25"/>
      <c r="S724" s="25"/>
      <c r="T724" s="25"/>
      <c r="U724" s="25"/>
      <c r="V724" s="39"/>
      <c r="W724" s="25"/>
      <c r="X724" s="33">
        <f t="shared" si="22"/>
        <v>0</v>
      </c>
      <c r="Y724" s="39"/>
      <c r="Z724" s="25">
        <v>0</v>
      </c>
      <c r="AA724" s="45"/>
      <c r="AB724" s="45"/>
      <c r="AC724" s="45"/>
      <c r="AD724" s="45"/>
      <c r="AE724" s="45"/>
    </row>
    <row r="725" spans="1:31" s="12" customFormat="1" ht="12">
      <c r="A725" s="27">
        <v>45617</v>
      </c>
      <c r="B725" s="53" t="s">
        <v>223</v>
      </c>
      <c r="C725" s="37" t="s">
        <v>130</v>
      </c>
      <c r="D725" s="34" t="s">
        <v>191</v>
      </c>
      <c r="E725" s="34" t="e">
        <f>IF(B725="","",VLOOKUP($B725,#REF!,4,FALSE))</f>
        <v>#REF!</v>
      </c>
      <c r="F725" s="34" t="e">
        <f>IF(E725="","",VLOOKUP($B725,#REF!,5,FALSE))</f>
        <v>#REF!</v>
      </c>
      <c r="G725" s="34" t="e">
        <f>IF(F725="","",VLOOKUP($B725,#REF!,6,FALSE))</f>
        <v>#REF!</v>
      </c>
      <c r="H725" s="34" t="e">
        <f>IF(G725="","",VLOOKUP($B725,#REF!,7,FALSE))</f>
        <v>#REF!</v>
      </c>
      <c r="I725" s="25"/>
      <c r="J725" s="25"/>
      <c r="K725" s="25"/>
      <c r="L725" s="25"/>
      <c r="M725" s="25"/>
      <c r="N725" s="25"/>
      <c r="O725" s="33">
        <f t="shared" si="23"/>
        <v>0</v>
      </c>
      <c r="P725" s="25"/>
      <c r="Q725" s="25">
        <v>0</v>
      </c>
      <c r="R725" s="25"/>
      <c r="S725" s="25">
        <v>363</v>
      </c>
      <c r="T725" s="25"/>
      <c r="U725" s="25"/>
      <c r="V725" s="39"/>
      <c r="W725" s="25"/>
      <c r="X725" s="33">
        <f t="shared" si="22"/>
        <v>363</v>
      </c>
      <c r="Y725" s="39">
        <v>8000</v>
      </c>
      <c r="Z725" s="25">
        <v>2904000</v>
      </c>
      <c r="AA725" s="45"/>
      <c r="AB725" s="45"/>
      <c r="AC725" s="45"/>
      <c r="AD725" s="45"/>
      <c r="AE725" s="45"/>
    </row>
    <row r="726" spans="1:31" s="12" customFormat="1" ht="12">
      <c r="A726" s="27">
        <v>45617</v>
      </c>
      <c r="B726" s="53" t="s">
        <v>160</v>
      </c>
      <c r="C726" s="37">
        <v>0</v>
      </c>
      <c r="D726" s="34" t="s">
        <v>187</v>
      </c>
      <c r="E726" s="34" t="e">
        <f>IF(B726="","",VLOOKUP($B726,#REF!,4,FALSE))</f>
        <v>#REF!</v>
      </c>
      <c r="F726" s="34" t="e">
        <f>IF(E726="","",VLOOKUP($B726,#REF!,5,FALSE))</f>
        <v>#REF!</v>
      </c>
      <c r="G726" s="34" t="e">
        <f>IF(F726="","",VLOOKUP($B726,#REF!,6,FALSE))</f>
        <v>#REF!</v>
      </c>
      <c r="H726" s="34" t="e">
        <f>IF(G726="","",VLOOKUP($B726,#REF!,7,FALSE))</f>
        <v>#REF!</v>
      </c>
      <c r="I726" s="25"/>
      <c r="J726" s="25">
        <v>717</v>
      </c>
      <c r="K726" s="25"/>
      <c r="L726" s="25"/>
      <c r="M726" s="25"/>
      <c r="N726" s="25"/>
      <c r="O726" s="33">
        <f t="shared" si="23"/>
        <v>717</v>
      </c>
      <c r="P726" s="25"/>
      <c r="Q726" s="25">
        <v>0</v>
      </c>
      <c r="R726" s="25"/>
      <c r="S726" s="25"/>
      <c r="T726" s="25"/>
      <c r="U726" s="25"/>
      <c r="V726" s="39"/>
      <c r="W726" s="25"/>
      <c r="X726" s="33">
        <f t="shared" si="22"/>
        <v>0</v>
      </c>
      <c r="Y726" s="39"/>
      <c r="Z726" s="25">
        <v>0</v>
      </c>
      <c r="AA726" s="45"/>
      <c r="AB726" s="45"/>
      <c r="AC726" s="45"/>
      <c r="AD726" s="45"/>
      <c r="AE726" s="45"/>
    </row>
    <row r="727" spans="1:31" s="12" customFormat="1" ht="12">
      <c r="A727" s="27">
        <v>45617</v>
      </c>
      <c r="B727" s="53" t="s">
        <v>29</v>
      </c>
      <c r="C727" s="37">
        <v>0</v>
      </c>
      <c r="D727" s="34" t="s">
        <v>187</v>
      </c>
      <c r="E727" s="34" t="e">
        <f>IF(B727="","",VLOOKUP($B727,#REF!,4,FALSE))</f>
        <v>#REF!</v>
      </c>
      <c r="F727" s="34" t="e">
        <f>IF(E727="","",VLOOKUP($B727,#REF!,5,FALSE))</f>
        <v>#REF!</v>
      </c>
      <c r="G727" s="34" t="e">
        <f>IF(F727="","",VLOOKUP($B727,#REF!,6,FALSE))</f>
        <v>#REF!</v>
      </c>
      <c r="H727" s="34" t="e">
        <f>IF(G727="","",VLOOKUP($B727,#REF!,7,FALSE))</f>
        <v>#REF!</v>
      </c>
      <c r="I727" s="25"/>
      <c r="J727" s="25"/>
      <c r="K727" s="25"/>
      <c r="L727" s="25">
        <v>509</v>
      </c>
      <c r="M727" s="25"/>
      <c r="N727" s="25"/>
      <c r="O727" s="33">
        <f t="shared" si="23"/>
        <v>509</v>
      </c>
      <c r="P727" s="25"/>
      <c r="Q727" s="25">
        <v>0</v>
      </c>
      <c r="R727" s="25"/>
      <c r="S727" s="25"/>
      <c r="T727" s="25"/>
      <c r="U727" s="25"/>
      <c r="V727" s="39"/>
      <c r="W727" s="25"/>
      <c r="X727" s="33">
        <f t="shared" si="22"/>
        <v>0</v>
      </c>
      <c r="Y727" s="25"/>
      <c r="Z727" s="25">
        <v>0</v>
      </c>
      <c r="AA727" s="45"/>
      <c r="AB727" s="45"/>
      <c r="AC727" s="45"/>
      <c r="AD727" s="45"/>
      <c r="AE727" s="45"/>
    </row>
    <row r="728" spans="1:31" s="12" customFormat="1" ht="12">
      <c r="A728" s="27">
        <v>45617</v>
      </c>
      <c r="B728" s="53" t="s">
        <v>164</v>
      </c>
      <c r="C728" s="37">
        <v>0</v>
      </c>
      <c r="D728" s="34" t="s">
        <v>187</v>
      </c>
      <c r="E728" s="34" t="e">
        <f>IF(B728="","",VLOOKUP($B728,#REF!,4,FALSE))</f>
        <v>#REF!</v>
      </c>
      <c r="F728" s="34" t="e">
        <f>IF(E728="","",VLOOKUP($B728,#REF!,5,FALSE))</f>
        <v>#REF!</v>
      </c>
      <c r="G728" s="34" t="e">
        <f>IF(F728="","",VLOOKUP($B728,#REF!,6,FALSE))</f>
        <v>#REF!</v>
      </c>
      <c r="H728" s="34" t="e">
        <f>IF(G728="","",VLOOKUP($B728,#REF!,7,FALSE))</f>
        <v>#REF!</v>
      </c>
      <c r="I728" s="25"/>
      <c r="J728" s="25"/>
      <c r="K728" s="25"/>
      <c r="L728" s="25">
        <v>546</v>
      </c>
      <c r="M728" s="25"/>
      <c r="N728" s="25"/>
      <c r="O728" s="33">
        <f t="shared" si="23"/>
        <v>546</v>
      </c>
      <c r="P728" s="25"/>
      <c r="Q728" s="25">
        <v>0</v>
      </c>
      <c r="R728" s="25"/>
      <c r="S728" s="25"/>
      <c r="T728" s="25"/>
      <c r="U728" s="25"/>
      <c r="V728" s="39"/>
      <c r="W728" s="25"/>
      <c r="X728" s="33">
        <f t="shared" si="22"/>
        <v>0</v>
      </c>
      <c r="Y728" s="25"/>
      <c r="Z728" s="25">
        <v>0</v>
      </c>
      <c r="AA728" s="45"/>
      <c r="AB728" s="45"/>
      <c r="AC728" s="45"/>
      <c r="AD728" s="45"/>
      <c r="AE728" s="45"/>
    </row>
    <row r="729" spans="1:31" s="12" customFormat="1" ht="12">
      <c r="A729" s="27">
        <v>45617</v>
      </c>
      <c r="B729" s="54" t="s">
        <v>57</v>
      </c>
      <c r="C729" s="37">
        <v>0</v>
      </c>
      <c r="D729" s="34" t="s">
        <v>187</v>
      </c>
      <c r="E729" s="34" t="e">
        <f>IF(B729="","",VLOOKUP($B729,#REF!,4,FALSE))</f>
        <v>#REF!</v>
      </c>
      <c r="F729" s="34" t="e">
        <f>IF(E729="","",VLOOKUP($B729,#REF!,5,FALSE))</f>
        <v>#REF!</v>
      </c>
      <c r="G729" s="34" t="e">
        <f>IF(F729="","",VLOOKUP($B729,#REF!,6,FALSE))</f>
        <v>#REF!</v>
      </c>
      <c r="H729" s="34" t="e">
        <f>IF(G729="","",VLOOKUP($B729,#REF!,7,FALSE))</f>
        <v>#REF!</v>
      </c>
      <c r="I729" s="25"/>
      <c r="J729" s="25"/>
      <c r="K729" s="25"/>
      <c r="L729" s="25">
        <v>146</v>
      </c>
      <c r="M729" s="25"/>
      <c r="N729" s="25"/>
      <c r="O729" s="33">
        <f t="shared" si="23"/>
        <v>146</v>
      </c>
      <c r="P729" s="25"/>
      <c r="Q729" s="25">
        <v>0</v>
      </c>
      <c r="R729" s="25"/>
      <c r="S729" s="25"/>
      <c r="T729" s="25"/>
      <c r="U729" s="25"/>
      <c r="V729" s="39"/>
      <c r="W729" s="25"/>
      <c r="X729" s="33">
        <f t="shared" si="22"/>
        <v>0</v>
      </c>
      <c r="Y729" s="39"/>
      <c r="Z729" s="25">
        <v>0</v>
      </c>
      <c r="AA729" s="45"/>
      <c r="AB729" s="45"/>
      <c r="AC729" s="45"/>
      <c r="AD729" s="45"/>
      <c r="AE729" s="45"/>
    </row>
    <row r="730" spans="1:31" s="12" customFormat="1" ht="12">
      <c r="A730" s="27">
        <v>45617</v>
      </c>
      <c r="B730" s="54" t="s">
        <v>38</v>
      </c>
      <c r="C730" s="37">
        <v>0</v>
      </c>
      <c r="D730" s="34" t="s">
        <v>187</v>
      </c>
      <c r="E730" s="34" t="e">
        <f>IF(B730="","",VLOOKUP($B730,#REF!,4,FALSE))</f>
        <v>#REF!</v>
      </c>
      <c r="F730" s="34" t="e">
        <f>IF(E730="","",VLOOKUP($B730,#REF!,5,FALSE))</f>
        <v>#REF!</v>
      </c>
      <c r="G730" s="34" t="e">
        <f>IF(F730="","",VLOOKUP($B730,#REF!,6,FALSE))</f>
        <v>#REF!</v>
      </c>
      <c r="H730" s="34" t="e">
        <f>IF(G730="","",VLOOKUP($B730,#REF!,7,FALSE))</f>
        <v>#REF!</v>
      </c>
      <c r="I730" s="25"/>
      <c r="J730" s="25"/>
      <c r="K730" s="25">
        <v>188</v>
      </c>
      <c r="L730" s="25"/>
      <c r="M730" s="25"/>
      <c r="N730" s="25"/>
      <c r="O730" s="33">
        <f t="shared" si="23"/>
        <v>188</v>
      </c>
      <c r="P730" s="25"/>
      <c r="Q730" s="25">
        <v>0</v>
      </c>
      <c r="R730" s="25"/>
      <c r="S730" s="25"/>
      <c r="T730" s="25"/>
      <c r="U730" s="25"/>
      <c r="V730" s="39"/>
      <c r="W730" s="25"/>
      <c r="X730" s="33">
        <f t="shared" si="22"/>
        <v>0</v>
      </c>
      <c r="Y730" s="39"/>
      <c r="Z730" s="25">
        <v>0</v>
      </c>
      <c r="AA730" s="45"/>
      <c r="AB730" s="45"/>
      <c r="AC730" s="45"/>
      <c r="AD730" s="45"/>
      <c r="AE730" s="45"/>
    </row>
    <row r="731" spans="1:31" s="12" customFormat="1" ht="12">
      <c r="A731" s="27">
        <v>45617</v>
      </c>
      <c r="B731" s="53" t="s">
        <v>58</v>
      </c>
      <c r="C731" s="37">
        <v>0</v>
      </c>
      <c r="D731" s="34" t="s">
        <v>187</v>
      </c>
      <c r="E731" s="34" t="e">
        <f>IF(B731="","",VLOOKUP($B731,#REF!,4,FALSE))</f>
        <v>#REF!</v>
      </c>
      <c r="F731" s="34" t="e">
        <f>IF(E731="","",VLOOKUP($B731,#REF!,5,FALSE))</f>
        <v>#REF!</v>
      </c>
      <c r="G731" s="34" t="e">
        <f>IF(F731="","",VLOOKUP($B731,#REF!,6,FALSE))</f>
        <v>#REF!</v>
      </c>
      <c r="H731" s="34" t="e">
        <f>IF(G731="","",VLOOKUP($B731,#REF!,7,FALSE))</f>
        <v>#REF!</v>
      </c>
      <c r="I731" s="25"/>
      <c r="J731" s="25"/>
      <c r="K731" s="25"/>
      <c r="L731" s="25">
        <v>77</v>
      </c>
      <c r="M731" s="25"/>
      <c r="N731" s="25"/>
      <c r="O731" s="33">
        <f t="shared" si="23"/>
        <v>77</v>
      </c>
      <c r="P731" s="25"/>
      <c r="Q731" s="25">
        <v>0</v>
      </c>
      <c r="R731" s="25"/>
      <c r="S731" s="25"/>
      <c r="T731" s="25"/>
      <c r="U731" s="25"/>
      <c r="V731" s="39"/>
      <c r="W731" s="25"/>
      <c r="X731" s="33">
        <f t="shared" si="22"/>
        <v>0</v>
      </c>
      <c r="Y731" s="39"/>
      <c r="Z731" s="25">
        <v>0</v>
      </c>
      <c r="AA731" s="45"/>
      <c r="AB731" s="45"/>
      <c r="AC731" s="45"/>
      <c r="AD731" s="45"/>
      <c r="AE731" s="45"/>
    </row>
    <row r="732" spans="1:31" s="12" customFormat="1" ht="12">
      <c r="A732" s="27">
        <v>45617</v>
      </c>
      <c r="B732" s="56" t="s">
        <v>35</v>
      </c>
      <c r="C732" s="37">
        <v>0</v>
      </c>
      <c r="D732" s="34" t="s">
        <v>187</v>
      </c>
      <c r="E732" s="34" t="e">
        <f>IF(B732="","",VLOOKUP($B732,#REF!,4,FALSE))</f>
        <v>#REF!</v>
      </c>
      <c r="F732" s="34" t="e">
        <f>IF(E732="","",VLOOKUP($B732,#REF!,5,FALSE))</f>
        <v>#REF!</v>
      </c>
      <c r="G732" s="34" t="e">
        <f>IF(F732="","",VLOOKUP($B732,#REF!,6,FALSE))</f>
        <v>#REF!</v>
      </c>
      <c r="H732" s="34" t="e">
        <f>IF(G732="","",VLOOKUP($B732,#REF!,7,FALSE))</f>
        <v>#REF!</v>
      </c>
      <c r="I732" s="25">
        <v>853</v>
      </c>
      <c r="J732" s="25"/>
      <c r="K732" s="25"/>
      <c r="L732" s="25"/>
      <c r="M732" s="25"/>
      <c r="N732" s="25"/>
      <c r="O732" s="33">
        <f t="shared" si="23"/>
        <v>853</v>
      </c>
      <c r="P732" s="25"/>
      <c r="Q732" s="25">
        <v>0</v>
      </c>
      <c r="R732" s="25"/>
      <c r="S732" s="25"/>
      <c r="T732" s="25"/>
      <c r="U732" s="25"/>
      <c r="V732" s="39"/>
      <c r="W732" s="25"/>
      <c r="X732" s="33">
        <f t="shared" si="22"/>
        <v>0</v>
      </c>
      <c r="Y732" s="39"/>
      <c r="Z732" s="25">
        <v>0</v>
      </c>
      <c r="AA732" s="45"/>
      <c r="AB732" s="45"/>
      <c r="AC732" s="45"/>
      <c r="AD732" s="45"/>
      <c r="AE732" s="45"/>
    </row>
    <row r="733" spans="1:31" s="12" customFormat="1" ht="12">
      <c r="A733" s="27">
        <v>45618</v>
      </c>
      <c r="B733" s="28" t="s">
        <v>35</v>
      </c>
      <c r="C733" s="37" t="s">
        <v>141</v>
      </c>
      <c r="D733" s="34" t="s">
        <v>173</v>
      </c>
      <c r="E733" s="34" t="e">
        <f>IF(B733="","",VLOOKUP($B733,#REF!,4,FALSE))</f>
        <v>#REF!</v>
      </c>
      <c r="F733" s="34" t="e">
        <f>IF(E733="","",VLOOKUP($B733,#REF!,5,FALSE))</f>
        <v>#REF!</v>
      </c>
      <c r="G733" s="34" t="e">
        <f>IF(F733="","",VLOOKUP($B733,#REF!,6,FALSE))</f>
        <v>#REF!</v>
      </c>
      <c r="H733" s="34" t="e">
        <f>IF(G733="","",VLOOKUP($B733,#REF!,7,FALSE))</f>
        <v>#REF!</v>
      </c>
      <c r="I733" s="25"/>
      <c r="J733" s="25"/>
      <c r="K733" s="25"/>
      <c r="L733" s="25">
        <v>0</v>
      </c>
      <c r="M733" s="25"/>
      <c r="N733" s="25"/>
      <c r="O733" s="33">
        <f t="shared" si="23"/>
        <v>0</v>
      </c>
      <c r="P733" s="25"/>
      <c r="Q733" s="25">
        <v>0</v>
      </c>
      <c r="R733" s="25">
        <v>960</v>
      </c>
      <c r="S733" s="25"/>
      <c r="T733" s="25"/>
      <c r="U733" s="25"/>
      <c r="V733" s="39"/>
      <c r="W733" s="25"/>
      <c r="X733" s="33">
        <f t="shared" si="22"/>
        <v>960</v>
      </c>
      <c r="Y733" s="39">
        <f>Z733/X733</f>
        <v>88389.965624999997</v>
      </c>
      <c r="Z733" s="39">
        <v>84854367</v>
      </c>
      <c r="AA733" s="45" t="s">
        <v>206</v>
      </c>
      <c r="AB733" s="45" t="s">
        <v>141</v>
      </c>
      <c r="AC733" s="45" t="s">
        <v>173</v>
      </c>
      <c r="AD733" s="45"/>
      <c r="AE733" s="45"/>
    </row>
    <row r="734" spans="1:31" s="12" customFormat="1" ht="12">
      <c r="A734" s="27">
        <v>45618</v>
      </c>
      <c r="B734" s="53" t="s">
        <v>45</v>
      </c>
      <c r="C734" s="37" t="s">
        <v>117</v>
      </c>
      <c r="D734" s="34" t="s">
        <v>225</v>
      </c>
      <c r="E734" s="34" t="e">
        <f>IF(B734="","",VLOOKUP($B734,#REF!,4,FALSE))</f>
        <v>#REF!</v>
      </c>
      <c r="F734" s="34" t="e">
        <f>IF(E734="","",VLOOKUP($B734,#REF!,5,FALSE))</f>
        <v>#REF!</v>
      </c>
      <c r="G734" s="34" t="e">
        <f>IF(F734="","",VLOOKUP($B734,#REF!,6,FALSE))</f>
        <v>#REF!</v>
      </c>
      <c r="H734" s="34" t="e">
        <f>IF(G734="","",VLOOKUP($B734,#REF!,7,FALSE))</f>
        <v>#REF!</v>
      </c>
      <c r="I734" s="25"/>
      <c r="J734" s="25">
        <v>504</v>
      </c>
      <c r="K734" s="25"/>
      <c r="L734" s="25"/>
      <c r="M734" s="25"/>
      <c r="N734" s="25"/>
      <c r="O734" s="33">
        <f t="shared" si="23"/>
        <v>504</v>
      </c>
      <c r="P734" s="25">
        <v>78000</v>
      </c>
      <c r="Q734" s="25">
        <v>39312000</v>
      </c>
      <c r="R734" s="25"/>
      <c r="S734" s="25"/>
      <c r="T734" s="25"/>
      <c r="U734" s="25"/>
      <c r="V734" s="39"/>
      <c r="W734" s="25"/>
      <c r="X734" s="33">
        <f t="shared" si="22"/>
        <v>0</v>
      </c>
      <c r="Y734" s="39"/>
      <c r="Z734" s="25">
        <v>0</v>
      </c>
      <c r="AA734" s="45" t="s">
        <v>117</v>
      </c>
      <c r="AB734" s="45" t="s">
        <v>158</v>
      </c>
      <c r="AC734" s="45"/>
      <c r="AD734" s="45"/>
      <c r="AE734" s="45"/>
    </row>
    <row r="735" spans="1:31" s="12" customFormat="1" ht="12">
      <c r="A735" s="27">
        <v>45618</v>
      </c>
      <c r="B735" s="47" t="s">
        <v>45</v>
      </c>
      <c r="C735" s="37" t="s">
        <v>141</v>
      </c>
      <c r="D735" s="34" t="s">
        <v>173</v>
      </c>
      <c r="E735" s="34" t="e">
        <f>IF(B735="","",VLOOKUP($B735,#REF!,4,FALSE))</f>
        <v>#REF!</v>
      </c>
      <c r="F735" s="34" t="e">
        <f>IF(E735="","",VLOOKUP($B735,#REF!,5,FALSE))</f>
        <v>#REF!</v>
      </c>
      <c r="G735" s="34" t="e">
        <f>IF(F735="","",VLOOKUP($B735,#REF!,6,FALSE))</f>
        <v>#REF!</v>
      </c>
      <c r="H735" s="34" t="e">
        <f>IF(G735="","",VLOOKUP($B735,#REF!,7,FALSE))</f>
        <v>#REF!</v>
      </c>
      <c r="I735" s="25"/>
      <c r="J735" s="25"/>
      <c r="K735" s="25"/>
      <c r="L735" s="25"/>
      <c r="M735" s="25"/>
      <c r="N735" s="25"/>
      <c r="O735" s="33">
        <f t="shared" si="23"/>
        <v>0</v>
      </c>
      <c r="P735" s="25"/>
      <c r="Q735" s="25">
        <v>0</v>
      </c>
      <c r="R735" s="25"/>
      <c r="S735" s="25">
        <v>504</v>
      </c>
      <c r="T735" s="25"/>
      <c r="U735" s="25"/>
      <c r="V735" s="39"/>
      <c r="W735" s="25"/>
      <c r="X735" s="33">
        <f t="shared" si="22"/>
        <v>504</v>
      </c>
      <c r="Y735" s="39">
        <f>Z735/X735</f>
        <v>130661.74404761905</v>
      </c>
      <c r="Z735" s="39">
        <v>65853519</v>
      </c>
      <c r="AA735" s="45" t="s">
        <v>206</v>
      </c>
      <c r="AB735" s="45" t="s">
        <v>141</v>
      </c>
      <c r="AC735" s="45" t="s">
        <v>173</v>
      </c>
      <c r="AD735" s="45"/>
      <c r="AE735" s="45"/>
    </row>
    <row r="736" spans="1:31" s="12" customFormat="1" ht="12">
      <c r="A736" s="27">
        <v>45618</v>
      </c>
      <c r="B736" s="47" t="s">
        <v>14</v>
      </c>
      <c r="C736" s="37" t="s">
        <v>84</v>
      </c>
      <c r="D736" s="34" t="s">
        <v>184</v>
      </c>
      <c r="E736" s="34" t="e">
        <f>IF(B736="","",VLOOKUP($B736,#REF!,4,FALSE))</f>
        <v>#REF!</v>
      </c>
      <c r="F736" s="34" t="e">
        <f>IF(E736="","",VLOOKUP($B736,#REF!,5,FALSE))</f>
        <v>#REF!</v>
      </c>
      <c r="G736" s="34" t="e">
        <f>IF(F736="","",VLOOKUP($B736,#REF!,6,FALSE))</f>
        <v>#REF!</v>
      </c>
      <c r="H736" s="34" t="e">
        <f>IF(G736="","",VLOOKUP($B736,#REF!,7,FALSE))</f>
        <v>#REF!</v>
      </c>
      <c r="I736" s="25"/>
      <c r="J736" s="25"/>
      <c r="K736" s="25"/>
      <c r="L736" s="25"/>
      <c r="M736" s="25"/>
      <c r="N736" s="25"/>
      <c r="O736" s="33">
        <f t="shared" si="23"/>
        <v>0</v>
      </c>
      <c r="P736" s="25"/>
      <c r="Q736" s="25">
        <v>0</v>
      </c>
      <c r="R736" s="25"/>
      <c r="S736" s="25"/>
      <c r="T736" s="25">
        <v>22</v>
      </c>
      <c r="U736" s="25"/>
      <c r="V736" s="39"/>
      <c r="W736" s="25"/>
      <c r="X736" s="33">
        <f t="shared" si="22"/>
        <v>22</v>
      </c>
      <c r="Y736" s="39">
        <v>51200</v>
      </c>
      <c r="Z736" s="25">
        <v>1126400</v>
      </c>
      <c r="AA736" s="45" t="s">
        <v>279</v>
      </c>
      <c r="AB736" s="45"/>
      <c r="AC736" s="45"/>
      <c r="AD736" s="45"/>
      <c r="AE736" s="45"/>
    </row>
    <row r="737" spans="1:31" s="12" customFormat="1" ht="12">
      <c r="A737" s="27">
        <v>45618</v>
      </c>
      <c r="B737" s="47" t="s">
        <v>12</v>
      </c>
      <c r="C737" s="37" t="s">
        <v>84</v>
      </c>
      <c r="D737" s="34" t="s">
        <v>184</v>
      </c>
      <c r="E737" s="34" t="e">
        <f>IF(B737="","",VLOOKUP($B737,#REF!,4,FALSE))</f>
        <v>#REF!</v>
      </c>
      <c r="F737" s="34" t="e">
        <f>IF(E737="","",VLOOKUP($B737,#REF!,5,FALSE))</f>
        <v>#REF!</v>
      </c>
      <c r="G737" s="34" t="e">
        <f>IF(F737="","",VLOOKUP($B737,#REF!,6,FALSE))</f>
        <v>#REF!</v>
      </c>
      <c r="H737" s="34" t="e">
        <f>IF(G737="","",VLOOKUP($B737,#REF!,7,FALSE))</f>
        <v>#REF!</v>
      </c>
      <c r="I737" s="25"/>
      <c r="J737" s="25"/>
      <c r="K737" s="25"/>
      <c r="L737" s="25"/>
      <c r="M737" s="25"/>
      <c r="N737" s="25"/>
      <c r="O737" s="33">
        <f t="shared" si="23"/>
        <v>0</v>
      </c>
      <c r="P737" s="25"/>
      <c r="Q737" s="25">
        <v>0</v>
      </c>
      <c r="R737" s="25"/>
      <c r="S737" s="25"/>
      <c r="T737" s="25">
        <v>2</v>
      </c>
      <c r="U737" s="25"/>
      <c r="V737" s="39"/>
      <c r="W737" s="25"/>
      <c r="X737" s="33">
        <f t="shared" si="22"/>
        <v>2</v>
      </c>
      <c r="Y737" s="39">
        <v>41820</v>
      </c>
      <c r="Z737" s="25">
        <v>83636</v>
      </c>
      <c r="AA737" s="45" t="s">
        <v>279</v>
      </c>
      <c r="AB737" s="45"/>
      <c r="AC737" s="45"/>
      <c r="AD737" s="45"/>
      <c r="AE737" s="45"/>
    </row>
    <row r="738" spans="1:31" s="12" customFormat="1" ht="12">
      <c r="A738" s="27">
        <v>45618</v>
      </c>
      <c r="B738" s="53" t="s">
        <v>32</v>
      </c>
      <c r="C738" s="37" t="s">
        <v>84</v>
      </c>
      <c r="D738" s="34" t="s">
        <v>184</v>
      </c>
      <c r="E738" s="34" t="e">
        <f>IF(B738="","",VLOOKUP($B738,#REF!,4,FALSE))</f>
        <v>#REF!</v>
      </c>
      <c r="F738" s="34" t="e">
        <f>IF(E738="","",VLOOKUP($B738,#REF!,5,FALSE))</f>
        <v>#REF!</v>
      </c>
      <c r="G738" s="34" t="e">
        <f>IF(F738="","",VLOOKUP($B738,#REF!,6,FALSE))</f>
        <v>#REF!</v>
      </c>
      <c r="H738" s="34" t="e">
        <f>IF(G738="","",VLOOKUP($B738,#REF!,7,FALSE))</f>
        <v>#REF!</v>
      </c>
      <c r="I738" s="25"/>
      <c r="J738" s="25"/>
      <c r="K738" s="25"/>
      <c r="L738" s="25"/>
      <c r="M738" s="25"/>
      <c r="N738" s="25"/>
      <c r="O738" s="33">
        <f t="shared" si="23"/>
        <v>0</v>
      </c>
      <c r="P738" s="25"/>
      <c r="Q738" s="25">
        <v>0</v>
      </c>
      <c r="R738" s="25"/>
      <c r="S738" s="25"/>
      <c r="T738" s="25">
        <v>17</v>
      </c>
      <c r="U738" s="25"/>
      <c r="V738" s="39"/>
      <c r="W738" s="25"/>
      <c r="X738" s="33">
        <f t="shared" si="22"/>
        <v>17</v>
      </c>
      <c r="Y738" s="39">
        <v>81816</v>
      </c>
      <c r="Z738" s="25">
        <v>1390909</v>
      </c>
      <c r="AA738" s="45" t="s">
        <v>279</v>
      </c>
      <c r="AB738" s="45"/>
      <c r="AC738" s="45"/>
      <c r="AD738" s="45"/>
      <c r="AE738" s="45"/>
    </row>
    <row r="739" spans="1:31" s="12" customFormat="1" ht="12">
      <c r="A739" s="27">
        <v>45618</v>
      </c>
      <c r="B739" s="53" t="s">
        <v>198</v>
      </c>
      <c r="C739" s="37" t="s">
        <v>84</v>
      </c>
      <c r="D739" s="34" t="s">
        <v>184</v>
      </c>
      <c r="E739" s="34" t="e">
        <f>IF(B739="","",VLOOKUP($B739,#REF!,4,FALSE))</f>
        <v>#REF!</v>
      </c>
      <c r="F739" s="34" t="e">
        <f>IF(E739="","",VLOOKUP($B739,#REF!,5,FALSE))</f>
        <v>#REF!</v>
      </c>
      <c r="G739" s="34" t="e">
        <f>IF(F739="","",VLOOKUP($B739,#REF!,6,FALSE))</f>
        <v>#REF!</v>
      </c>
      <c r="H739" s="34" t="e">
        <f>IF(G739="","",VLOOKUP($B739,#REF!,7,FALSE))</f>
        <v>#REF!</v>
      </c>
      <c r="I739" s="25"/>
      <c r="J739" s="25"/>
      <c r="K739" s="25"/>
      <c r="L739" s="25"/>
      <c r="M739" s="25"/>
      <c r="N739" s="25"/>
      <c r="O739" s="33">
        <f t="shared" si="23"/>
        <v>0</v>
      </c>
      <c r="P739" s="25"/>
      <c r="Q739" s="25">
        <v>0</v>
      </c>
      <c r="R739" s="25"/>
      <c r="S739" s="25"/>
      <c r="T739" s="25">
        <v>4</v>
      </c>
      <c r="U739" s="25"/>
      <c r="V739" s="39"/>
      <c r="W739" s="25"/>
      <c r="X739" s="33">
        <f t="shared" si="22"/>
        <v>4</v>
      </c>
      <c r="Y739" s="39">
        <v>76360</v>
      </c>
      <c r="Z739" s="25">
        <v>305455</v>
      </c>
      <c r="AA739" s="45" t="s">
        <v>279</v>
      </c>
      <c r="AB739" s="45"/>
      <c r="AC739" s="45"/>
      <c r="AD739" s="45"/>
      <c r="AE739" s="45"/>
    </row>
    <row r="740" spans="1:31" s="12" customFormat="1" ht="12">
      <c r="A740" s="27">
        <v>45618</v>
      </c>
      <c r="B740" s="53" t="s">
        <v>63</v>
      </c>
      <c r="C740" s="37" t="s">
        <v>84</v>
      </c>
      <c r="D740" s="34" t="s">
        <v>184</v>
      </c>
      <c r="E740" s="34" t="e">
        <f>IF(B740="","",VLOOKUP($B740,#REF!,4,FALSE))</f>
        <v>#REF!</v>
      </c>
      <c r="F740" s="34" t="e">
        <f>IF(E740="","",VLOOKUP($B740,#REF!,5,FALSE))</f>
        <v>#REF!</v>
      </c>
      <c r="G740" s="34" t="e">
        <f>IF(F740="","",VLOOKUP($B740,#REF!,6,FALSE))</f>
        <v>#REF!</v>
      </c>
      <c r="H740" s="34" t="e">
        <f>IF(G740="","",VLOOKUP($B740,#REF!,7,FALSE))</f>
        <v>#REF!</v>
      </c>
      <c r="I740" s="25"/>
      <c r="J740" s="25"/>
      <c r="K740" s="25"/>
      <c r="L740" s="25"/>
      <c r="M740" s="25"/>
      <c r="N740" s="25"/>
      <c r="O740" s="33">
        <f t="shared" si="23"/>
        <v>0</v>
      </c>
      <c r="P740" s="25"/>
      <c r="Q740" s="25">
        <v>0</v>
      </c>
      <c r="R740" s="25"/>
      <c r="S740" s="25"/>
      <c r="T740" s="25">
        <v>7</v>
      </c>
      <c r="U740" s="25"/>
      <c r="V740" s="39"/>
      <c r="W740" s="25"/>
      <c r="X740" s="33">
        <f t="shared" si="22"/>
        <v>7</v>
      </c>
      <c r="Y740" s="39">
        <v>130000</v>
      </c>
      <c r="Z740" s="25">
        <v>910000</v>
      </c>
      <c r="AA740" s="45" t="s">
        <v>279</v>
      </c>
      <c r="AB740" s="45"/>
      <c r="AC740" s="45"/>
      <c r="AD740" s="45"/>
      <c r="AE740" s="45"/>
    </row>
    <row r="741" spans="1:31" s="12" customFormat="1" ht="12">
      <c r="A741" s="27">
        <v>45618</v>
      </c>
      <c r="B741" s="53" t="s">
        <v>64</v>
      </c>
      <c r="C741" s="37" t="s">
        <v>84</v>
      </c>
      <c r="D741" s="34" t="s">
        <v>184</v>
      </c>
      <c r="E741" s="34" t="e">
        <f>IF(B741="","",VLOOKUP($B741,#REF!,4,FALSE))</f>
        <v>#REF!</v>
      </c>
      <c r="F741" s="34" t="e">
        <f>IF(E741="","",VLOOKUP($B741,#REF!,5,FALSE))</f>
        <v>#REF!</v>
      </c>
      <c r="G741" s="34" t="e">
        <f>IF(F741="","",VLOOKUP($B741,#REF!,6,FALSE))</f>
        <v>#REF!</v>
      </c>
      <c r="H741" s="34" t="e">
        <f>IF(G741="","",VLOOKUP($B741,#REF!,7,FALSE))</f>
        <v>#REF!</v>
      </c>
      <c r="I741" s="25"/>
      <c r="J741" s="25"/>
      <c r="K741" s="25"/>
      <c r="L741" s="25"/>
      <c r="M741" s="25"/>
      <c r="N741" s="25"/>
      <c r="O741" s="33">
        <f t="shared" si="23"/>
        <v>0</v>
      </c>
      <c r="P741" s="25"/>
      <c r="Q741" s="25">
        <v>0</v>
      </c>
      <c r="R741" s="25"/>
      <c r="S741" s="25"/>
      <c r="T741" s="25">
        <v>31</v>
      </c>
      <c r="U741" s="25"/>
      <c r="V741" s="39"/>
      <c r="W741" s="25"/>
      <c r="X741" s="33">
        <f t="shared" si="22"/>
        <v>31</v>
      </c>
      <c r="Y741" s="39">
        <v>94550</v>
      </c>
      <c r="Z741" s="25">
        <v>2930909</v>
      </c>
      <c r="AA741" s="45" t="s">
        <v>279</v>
      </c>
      <c r="AB741" s="45"/>
      <c r="AC741" s="45"/>
      <c r="AD741" s="45"/>
      <c r="AE741" s="45"/>
    </row>
    <row r="742" spans="1:31" s="12" customFormat="1" ht="12">
      <c r="A742" s="27">
        <v>45618</v>
      </c>
      <c r="B742" s="53" t="s">
        <v>58</v>
      </c>
      <c r="C742" s="37" t="s">
        <v>82</v>
      </c>
      <c r="D742" s="34" t="s">
        <v>186</v>
      </c>
      <c r="E742" s="34" t="e">
        <f>IF(B742="","",VLOOKUP($B742,#REF!,4,FALSE))</f>
        <v>#REF!</v>
      </c>
      <c r="F742" s="34" t="e">
        <f>IF(E742="","",VLOOKUP($B742,#REF!,5,FALSE))</f>
        <v>#REF!</v>
      </c>
      <c r="G742" s="34" t="e">
        <f>IF(F742="","",VLOOKUP($B742,#REF!,6,FALSE))</f>
        <v>#REF!</v>
      </c>
      <c r="H742" s="34" t="e">
        <f>IF(G742="","",VLOOKUP($B742,#REF!,7,FALSE))</f>
        <v>#REF!</v>
      </c>
      <c r="I742" s="25"/>
      <c r="J742" s="25"/>
      <c r="K742" s="25"/>
      <c r="L742" s="25"/>
      <c r="M742" s="25"/>
      <c r="N742" s="25"/>
      <c r="O742" s="33">
        <f t="shared" si="23"/>
        <v>0</v>
      </c>
      <c r="P742" s="25"/>
      <c r="Q742" s="25">
        <v>0</v>
      </c>
      <c r="R742" s="25"/>
      <c r="S742" s="25"/>
      <c r="T742" s="25"/>
      <c r="U742" s="25"/>
      <c r="V742" s="39">
        <v>192</v>
      </c>
      <c r="W742" s="25"/>
      <c r="X742" s="33">
        <f t="shared" si="22"/>
        <v>192</v>
      </c>
      <c r="Y742" s="39">
        <v>170880</v>
      </c>
      <c r="Z742" s="25">
        <v>32808960</v>
      </c>
      <c r="AA742" s="45"/>
      <c r="AB742" s="45"/>
      <c r="AC742" s="45"/>
      <c r="AD742" s="45"/>
      <c r="AE742" s="45"/>
    </row>
    <row r="743" spans="1:31" s="12" customFormat="1" ht="12">
      <c r="A743" s="27">
        <v>45618</v>
      </c>
      <c r="B743" s="73" t="s">
        <v>219</v>
      </c>
      <c r="C743" s="37" t="s">
        <v>82</v>
      </c>
      <c r="D743" s="34" t="s">
        <v>186</v>
      </c>
      <c r="E743" s="34" t="e">
        <f>IF(B743="","",VLOOKUP($B743,#REF!,4,FALSE))</f>
        <v>#REF!</v>
      </c>
      <c r="F743" s="34" t="e">
        <f>IF(E743="","",VLOOKUP($B743,#REF!,5,FALSE))</f>
        <v>#REF!</v>
      </c>
      <c r="G743" s="34" t="e">
        <f>IF(F743="","",VLOOKUP($B743,#REF!,6,FALSE))</f>
        <v>#REF!</v>
      </c>
      <c r="H743" s="34" t="e">
        <f>IF(G743="","",VLOOKUP($B743,#REF!,7,FALSE))</f>
        <v>#REF!</v>
      </c>
      <c r="I743" s="25"/>
      <c r="J743" s="25"/>
      <c r="K743" s="25"/>
      <c r="L743" s="25"/>
      <c r="M743" s="25"/>
      <c r="N743" s="25"/>
      <c r="O743" s="33">
        <f t="shared" si="23"/>
        <v>0</v>
      </c>
      <c r="P743" s="25"/>
      <c r="Q743" s="25">
        <v>0</v>
      </c>
      <c r="R743" s="25"/>
      <c r="S743" s="25"/>
      <c r="T743" s="25"/>
      <c r="U743" s="25"/>
      <c r="V743" s="39">
        <v>180</v>
      </c>
      <c r="W743" s="25"/>
      <c r="X743" s="33">
        <f t="shared" si="22"/>
        <v>180</v>
      </c>
      <c r="Y743" s="39">
        <v>235000</v>
      </c>
      <c r="Z743" s="25">
        <v>42300000</v>
      </c>
      <c r="AA743" s="45"/>
      <c r="AB743" s="45"/>
      <c r="AC743" s="45"/>
      <c r="AD743" s="45"/>
      <c r="AE743" s="45"/>
    </row>
    <row r="744" spans="1:31" s="12" customFormat="1" ht="12">
      <c r="A744" s="27">
        <v>45618</v>
      </c>
      <c r="B744" s="53" t="s">
        <v>57</v>
      </c>
      <c r="C744" s="37" t="s">
        <v>82</v>
      </c>
      <c r="D744" s="34" t="s">
        <v>186</v>
      </c>
      <c r="E744" s="34" t="e">
        <f>IF(B744="","",VLOOKUP($B744,#REF!,4,FALSE))</f>
        <v>#REF!</v>
      </c>
      <c r="F744" s="34" t="e">
        <f>IF(E744="","",VLOOKUP($B744,#REF!,5,FALSE))</f>
        <v>#REF!</v>
      </c>
      <c r="G744" s="34" t="e">
        <f>IF(F744="","",VLOOKUP($B744,#REF!,6,FALSE))</f>
        <v>#REF!</v>
      </c>
      <c r="H744" s="34" t="e">
        <f>IF(G744="","",VLOOKUP($B744,#REF!,7,FALSE))</f>
        <v>#REF!</v>
      </c>
      <c r="I744" s="25"/>
      <c r="J744" s="25"/>
      <c r="K744" s="25"/>
      <c r="L744" s="25"/>
      <c r="M744" s="25"/>
      <c r="N744" s="25"/>
      <c r="O744" s="33">
        <f t="shared" si="23"/>
        <v>0</v>
      </c>
      <c r="P744" s="25"/>
      <c r="Q744" s="25">
        <v>0</v>
      </c>
      <c r="R744" s="25"/>
      <c r="S744" s="25"/>
      <c r="T744" s="25"/>
      <c r="U744" s="25"/>
      <c r="V744" s="39">
        <v>256</v>
      </c>
      <c r="W744" s="25"/>
      <c r="X744" s="33">
        <f t="shared" si="22"/>
        <v>256</v>
      </c>
      <c r="Y744" s="39">
        <v>163800</v>
      </c>
      <c r="Z744" s="25">
        <v>41932800</v>
      </c>
      <c r="AA744" s="45"/>
      <c r="AB744" s="45"/>
      <c r="AC744" s="45"/>
      <c r="AD744" s="45"/>
      <c r="AE744" s="45"/>
    </row>
    <row r="745" spans="1:31" s="12" customFormat="1" ht="12">
      <c r="A745" s="27">
        <v>45618</v>
      </c>
      <c r="B745" s="28" t="s">
        <v>24</v>
      </c>
      <c r="C745" s="37" t="s">
        <v>82</v>
      </c>
      <c r="D745" s="34" t="s">
        <v>186</v>
      </c>
      <c r="E745" s="34" t="e">
        <f>IF(B745="","",VLOOKUP($B745,#REF!,4,FALSE))</f>
        <v>#REF!</v>
      </c>
      <c r="F745" s="34" t="e">
        <f>IF(E745="","",VLOOKUP($B745,#REF!,5,FALSE))</f>
        <v>#REF!</v>
      </c>
      <c r="G745" s="34" t="e">
        <f>IF(F745="","",VLOOKUP($B745,#REF!,6,FALSE))</f>
        <v>#REF!</v>
      </c>
      <c r="H745" s="34" t="e">
        <f>IF(G745="","",VLOOKUP($B745,#REF!,7,FALSE))</f>
        <v>#REF!</v>
      </c>
      <c r="I745" s="25"/>
      <c r="J745" s="25"/>
      <c r="K745" s="25"/>
      <c r="L745" s="25"/>
      <c r="M745" s="25"/>
      <c r="N745" s="25"/>
      <c r="O745" s="33">
        <f t="shared" si="23"/>
        <v>0</v>
      </c>
      <c r="P745" s="25"/>
      <c r="Q745" s="25">
        <v>0</v>
      </c>
      <c r="R745" s="25"/>
      <c r="S745" s="25"/>
      <c r="T745" s="25"/>
      <c r="U745" s="25"/>
      <c r="V745" s="39">
        <v>192</v>
      </c>
      <c r="W745" s="25"/>
      <c r="X745" s="33">
        <f t="shared" si="22"/>
        <v>192</v>
      </c>
      <c r="Y745" s="39">
        <v>124920</v>
      </c>
      <c r="Z745" s="25">
        <v>23984640</v>
      </c>
      <c r="AA745" s="45"/>
      <c r="AB745" s="45"/>
      <c r="AC745" s="45"/>
      <c r="AD745" s="45"/>
      <c r="AE745" s="45"/>
    </row>
    <row r="746" spans="1:31" s="12" customFormat="1" ht="12">
      <c r="A746" s="27">
        <v>45618</v>
      </c>
      <c r="B746" s="73" t="s">
        <v>24</v>
      </c>
      <c r="C746" s="37" t="s">
        <v>82</v>
      </c>
      <c r="D746" s="34" t="s">
        <v>186</v>
      </c>
      <c r="E746" s="34" t="e">
        <f>IF(B746="","",VLOOKUP($B746,#REF!,4,FALSE))</f>
        <v>#REF!</v>
      </c>
      <c r="F746" s="34" t="e">
        <f>IF(E746="","",VLOOKUP($B746,#REF!,5,FALSE))</f>
        <v>#REF!</v>
      </c>
      <c r="G746" s="34" t="e">
        <f>IF(F746="","",VLOOKUP($B746,#REF!,6,FALSE))</f>
        <v>#REF!</v>
      </c>
      <c r="H746" s="34" t="e">
        <f>IF(G746="","",VLOOKUP($B746,#REF!,7,FALSE))</f>
        <v>#REF!</v>
      </c>
      <c r="I746" s="25"/>
      <c r="J746" s="25"/>
      <c r="K746" s="25"/>
      <c r="L746" s="25"/>
      <c r="M746" s="25"/>
      <c r="N746" s="25"/>
      <c r="O746" s="33">
        <f t="shared" si="23"/>
        <v>0</v>
      </c>
      <c r="P746" s="25"/>
      <c r="Q746" s="25">
        <v>0</v>
      </c>
      <c r="R746" s="25"/>
      <c r="S746" s="25"/>
      <c r="T746" s="25"/>
      <c r="U746" s="25"/>
      <c r="V746" s="39">
        <v>84</v>
      </c>
      <c r="W746" s="25"/>
      <c r="X746" s="33">
        <f t="shared" si="22"/>
        <v>84</v>
      </c>
      <c r="Y746" s="39">
        <v>124920</v>
      </c>
      <c r="Z746" s="25">
        <v>10493280</v>
      </c>
      <c r="AA746" s="45"/>
      <c r="AB746" s="45"/>
      <c r="AC746" s="45"/>
      <c r="AD746" s="45"/>
      <c r="AE746" s="45"/>
    </row>
    <row r="747" spans="1:31" s="12" customFormat="1" ht="12">
      <c r="A747" s="27">
        <v>45618</v>
      </c>
      <c r="B747" s="28" t="s">
        <v>188</v>
      </c>
      <c r="C747" s="37" t="s">
        <v>82</v>
      </c>
      <c r="D747" s="34" t="s">
        <v>186</v>
      </c>
      <c r="E747" s="34" t="e">
        <f>IF(B747="","",VLOOKUP($B747,#REF!,4,FALSE))</f>
        <v>#REF!</v>
      </c>
      <c r="F747" s="34" t="e">
        <f>IF(E747="","",VLOOKUP($B747,#REF!,5,FALSE))</f>
        <v>#REF!</v>
      </c>
      <c r="G747" s="34" t="e">
        <f>IF(F747="","",VLOOKUP($B747,#REF!,6,FALSE))</f>
        <v>#REF!</v>
      </c>
      <c r="H747" s="34" t="e">
        <f>IF(G747="","",VLOOKUP($B747,#REF!,7,FALSE))</f>
        <v>#REF!</v>
      </c>
      <c r="I747" s="25"/>
      <c r="J747" s="25"/>
      <c r="K747" s="25"/>
      <c r="L747" s="25"/>
      <c r="M747" s="25"/>
      <c r="N747" s="25"/>
      <c r="O747" s="33">
        <f t="shared" si="23"/>
        <v>0</v>
      </c>
      <c r="P747" s="25"/>
      <c r="Q747" s="25">
        <v>0</v>
      </c>
      <c r="R747" s="25"/>
      <c r="S747" s="25"/>
      <c r="T747" s="25"/>
      <c r="U747" s="25"/>
      <c r="V747" s="39">
        <v>192</v>
      </c>
      <c r="W747" s="25"/>
      <c r="X747" s="33">
        <f t="shared" si="22"/>
        <v>192</v>
      </c>
      <c r="Y747" s="39">
        <v>128000</v>
      </c>
      <c r="Z747" s="25">
        <v>24576000</v>
      </c>
      <c r="AA747" s="45"/>
      <c r="AB747" s="45"/>
      <c r="AC747" s="45"/>
      <c r="AD747" s="45"/>
      <c r="AE747" s="45"/>
    </row>
    <row r="748" spans="1:31" s="12" customFormat="1" ht="12">
      <c r="A748" s="27">
        <v>45618</v>
      </c>
      <c r="B748" s="28" t="s">
        <v>28</v>
      </c>
      <c r="C748" s="37" t="s">
        <v>82</v>
      </c>
      <c r="D748" s="34" t="s">
        <v>186</v>
      </c>
      <c r="E748" s="34" t="e">
        <f>IF(B748="","",VLOOKUP($B748,#REF!,4,FALSE))</f>
        <v>#REF!</v>
      </c>
      <c r="F748" s="34" t="e">
        <f>IF(E748="","",VLOOKUP($B748,#REF!,5,FALSE))</f>
        <v>#REF!</v>
      </c>
      <c r="G748" s="34" t="e">
        <f>IF(F748="","",VLOOKUP($B748,#REF!,6,FALSE))</f>
        <v>#REF!</v>
      </c>
      <c r="H748" s="34" t="e">
        <f>IF(G748="","",VLOOKUP($B748,#REF!,7,FALSE))</f>
        <v>#REF!</v>
      </c>
      <c r="I748" s="25"/>
      <c r="J748" s="25"/>
      <c r="K748" s="25"/>
      <c r="L748" s="25"/>
      <c r="M748" s="25"/>
      <c r="N748" s="25"/>
      <c r="O748" s="33">
        <f t="shared" si="23"/>
        <v>0</v>
      </c>
      <c r="P748" s="25"/>
      <c r="Q748" s="25">
        <v>0</v>
      </c>
      <c r="R748" s="25"/>
      <c r="S748" s="25"/>
      <c r="T748" s="25"/>
      <c r="U748" s="25"/>
      <c r="V748" s="39">
        <v>96</v>
      </c>
      <c r="W748" s="25"/>
      <c r="X748" s="33">
        <f t="shared" si="22"/>
        <v>96</v>
      </c>
      <c r="Y748" s="39">
        <v>186150</v>
      </c>
      <c r="Z748" s="25">
        <v>17870400</v>
      </c>
      <c r="AA748" s="45"/>
      <c r="AB748" s="45"/>
      <c r="AC748" s="45"/>
      <c r="AD748" s="45"/>
      <c r="AE748" s="45"/>
    </row>
    <row r="749" spans="1:31" s="12" customFormat="1" ht="12">
      <c r="A749" s="27">
        <v>45618</v>
      </c>
      <c r="B749" s="28" t="s">
        <v>160</v>
      </c>
      <c r="C749" s="37" t="s">
        <v>82</v>
      </c>
      <c r="D749" s="34" t="s">
        <v>186</v>
      </c>
      <c r="E749" s="34" t="e">
        <f>IF(B749="","",VLOOKUP($B749,#REF!,4,FALSE))</f>
        <v>#REF!</v>
      </c>
      <c r="F749" s="34" t="e">
        <f>IF(E749="","",VLOOKUP($B749,#REF!,5,FALSE))</f>
        <v>#REF!</v>
      </c>
      <c r="G749" s="34" t="e">
        <f>IF(F749="","",VLOOKUP($B749,#REF!,6,FALSE))</f>
        <v>#REF!</v>
      </c>
      <c r="H749" s="34" t="e">
        <f>IF(G749="","",VLOOKUP($B749,#REF!,7,FALSE))</f>
        <v>#REF!</v>
      </c>
      <c r="I749" s="25"/>
      <c r="J749" s="25"/>
      <c r="K749" s="25"/>
      <c r="L749" s="25"/>
      <c r="M749" s="25"/>
      <c r="N749" s="25"/>
      <c r="O749" s="33">
        <f t="shared" si="23"/>
        <v>0</v>
      </c>
      <c r="P749" s="25"/>
      <c r="Q749" s="25">
        <v>0</v>
      </c>
      <c r="R749" s="25"/>
      <c r="S749" s="25"/>
      <c r="T749" s="25"/>
      <c r="U749" s="25"/>
      <c r="V749" s="39">
        <v>72</v>
      </c>
      <c r="W749" s="25"/>
      <c r="X749" s="33">
        <f t="shared" si="22"/>
        <v>72</v>
      </c>
      <c r="Y749" s="39">
        <v>100300</v>
      </c>
      <c r="Z749" s="25">
        <v>7221600</v>
      </c>
      <c r="AA749" s="45"/>
      <c r="AB749" s="45"/>
      <c r="AC749" s="45"/>
      <c r="AD749" s="45"/>
      <c r="AE749" s="45"/>
    </row>
    <row r="750" spans="1:31" s="12" customFormat="1" ht="12">
      <c r="A750" s="27">
        <v>45618</v>
      </c>
      <c r="B750" s="29" t="s">
        <v>44</v>
      </c>
      <c r="C750" s="37" t="s">
        <v>82</v>
      </c>
      <c r="D750" s="34" t="s">
        <v>186</v>
      </c>
      <c r="E750" s="34" t="e">
        <f>IF(B750="","",VLOOKUP($B750,#REF!,4,FALSE))</f>
        <v>#REF!</v>
      </c>
      <c r="F750" s="34" t="e">
        <f>IF(E750="","",VLOOKUP($B750,#REF!,5,FALSE))</f>
        <v>#REF!</v>
      </c>
      <c r="G750" s="34" t="e">
        <f>IF(F750="","",VLOOKUP($B750,#REF!,6,FALSE))</f>
        <v>#REF!</v>
      </c>
      <c r="H750" s="34" t="e">
        <f>IF(G750="","",VLOOKUP($B750,#REF!,7,FALSE))</f>
        <v>#REF!</v>
      </c>
      <c r="I750" s="25"/>
      <c r="J750" s="25"/>
      <c r="K750" s="25"/>
      <c r="L750" s="25"/>
      <c r="M750" s="25"/>
      <c r="N750" s="25"/>
      <c r="O750" s="33">
        <f t="shared" si="23"/>
        <v>0</v>
      </c>
      <c r="P750" s="25"/>
      <c r="Q750" s="25">
        <v>0</v>
      </c>
      <c r="R750" s="25"/>
      <c r="S750" s="25"/>
      <c r="T750" s="25"/>
      <c r="U750" s="25"/>
      <c r="V750" s="39">
        <v>48</v>
      </c>
      <c r="W750" s="25"/>
      <c r="X750" s="33">
        <f t="shared" si="22"/>
        <v>48</v>
      </c>
      <c r="Y750" s="39">
        <v>171900</v>
      </c>
      <c r="Z750" s="25">
        <v>8251200</v>
      </c>
      <c r="AA750" s="45"/>
      <c r="AB750" s="45"/>
      <c r="AC750" s="45"/>
      <c r="AD750" s="45"/>
      <c r="AE750" s="45"/>
    </row>
    <row r="751" spans="1:31" s="12" customFormat="1" ht="12">
      <c r="A751" s="27">
        <v>45618</v>
      </c>
      <c r="B751" s="53" t="s">
        <v>160</v>
      </c>
      <c r="C751" s="37" t="s">
        <v>82</v>
      </c>
      <c r="D751" s="34" t="s">
        <v>186</v>
      </c>
      <c r="E751" s="34" t="e">
        <f>IF(B751="","",VLOOKUP($B751,#REF!,4,FALSE))</f>
        <v>#REF!</v>
      </c>
      <c r="F751" s="34" t="e">
        <f>IF(E751="","",VLOOKUP($B751,#REF!,5,FALSE))</f>
        <v>#REF!</v>
      </c>
      <c r="G751" s="34" t="e">
        <f>IF(F751="","",VLOOKUP($B751,#REF!,6,FALSE))</f>
        <v>#REF!</v>
      </c>
      <c r="H751" s="34" t="e">
        <f>IF(G751="","",VLOOKUP($B751,#REF!,7,FALSE))</f>
        <v>#REF!</v>
      </c>
      <c r="I751" s="25"/>
      <c r="J751" s="25"/>
      <c r="K751" s="25"/>
      <c r="L751" s="25"/>
      <c r="M751" s="25"/>
      <c r="N751" s="25"/>
      <c r="O751" s="33">
        <f t="shared" si="23"/>
        <v>0</v>
      </c>
      <c r="P751" s="25"/>
      <c r="Q751" s="25">
        <v>0</v>
      </c>
      <c r="R751" s="25"/>
      <c r="S751" s="25"/>
      <c r="T751" s="25"/>
      <c r="U751" s="25"/>
      <c r="V751" s="39">
        <v>192</v>
      </c>
      <c r="W751" s="25"/>
      <c r="X751" s="33">
        <f t="shared" si="22"/>
        <v>192</v>
      </c>
      <c r="Y751" s="39">
        <v>100300</v>
      </c>
      <c r="Z751" s="25">
        <v>19257600</v>
      </c>
      <c r="AA751" s="45"/>
      <c r="AB751" s="45"/>
      <c r="AC751" s="45"/>
      <c r="AD751" s="45"/>
      <c r="AE751" s="45"/>
    </row>
    <row r="752" spans="1:31" s="12" customFormat="1" ht="12">
      <c r="A752" s="27">
        <v>45618</v>
      </c>
      <c r="B752" s="54" t="s">
        <v>21</v>
      </c>
      <c r="C752" s="37" t="s">
        <v>82</v>
      </c>
      <c r="D752" s="34" t="s">
        <v>186</v>
      </c>
      <c r="E752" s="34" t="e">
        <f>IF(B752="","",VLOOKUP($B752,#REF!,4,FALSE))</f>
        <v>#REF!</v>
      </c>
      <c r="F752" s="34" t="e">
        <f>IF(E752="","",VLOOKUP($B752,#REF!,5,FALSE))</f>
        <v>#REF!</v>
      </c>
      <c r="G752" s="34" t="e">
        <f>IF(F752="","",VLOOKUP($B752,#REF!,6,FALSE))</f>
        <v>#REF!</v>
      </c>
      <c r="H752" s="34" t="e">
        <f>IF(G752="","",VLOOKUP($B752,#REF!,7,FALSE))</f>
        <v>#REF!</v>
      </c>
      <c r="I752" s="25"/>
      <c r="J752" s="25"/>
      <c r="K752" s="25"/>
      <c r="L752" s="25"/>
      <c r="M752" s="25"/>
      <c r="N752" s="25"/>
      <c r="O752" s="33">
        <f t="shared" si="23"/>
        <v>0</v>
      </c>
      <c r="P752" s="25"/>
      <c r="Q752" s="25">
        <v>0</v>
      </c>
      <c r="R752" s="25"/>
      <c r="S752" s="25"/>
      <c r="T752" s="25"/>
      <c r="U752" s="25"/>
      <c r="V752" s="39">
        <v>192</v>
      </c>
      <c r="W752" s="25"/>
      <c r="X752" s="33">
        <f t="shared" si="22"/>
        <v>192</v>
      </c>
      <c r="Y752" s="39">
        <v>81800</v>
      </c>
      <c r="Z752" s="25">
        <v>15705600</v>
      </c>
      <c r="AA752" s="45"/>
      <c r="AB752" s="45"/>
      <c r="AC752" s="45"/>
      <c r="AD752" s="45"/>
      <c r="AE752" s="45"/>
    </row>
    <row r="753" spans="1:31" s="12" customFormat="1" ht="12">
      <c r="A753" s="27">
        <v>45618</v>
      </c>
      <c r="B753" s="54" t="s">
        <v>211</v>
      </c>
      <c r="C753" s="37" t="s">
        <v>82</v>
      </c>
      <c r="D753" s="34" t="s">
        <v>186</v>
      </c>
      <c r="E753" s="34" t="e">
        <f>IF(B753="","",VLOOKUP($B753,#REF!,4,FALSE))</f>
        <v>#REF!</v>
      </c>
      <c r="F753" s="34" t="e">
        <f>IF(E753="","",VLOOKUP($B753,#REF!,5,FALSE))</f>
        <v>#REF!</v>
      </c>
      <c r="G753" s="34" t="e">
        <f>IF(F753="","",VLOOKUP($B753,#REF!,6,FALSE))</f>
        <v>#REF!</v>
      </c>
      <c r="H753" s="34" t="e">
        <f>IF(G753="","",VLOOKUP($B753,#REF!,7,FALSE))</f>
        <v>#REF!</v>
      </c>
      <c r="I753" s="25"/>
      <c r="J753" s="25"/>
      <c r="K753" s="25"/>
      <c r="L753" s="25"/>
      <c r="M753" s="25"/>
      <c r="N753" s="25"/>
      <c r="O753" s="33">
        <f t="shared" si="23"/>
        <v>0</v>
      </c>
      <c r="P753" s="25"/>
      <c r="Q753" s="25">
        <v>0</v>
      </c>
      <c r="R753" s="25"/>
      <c r="S753" s="25"/>
      <c r="T753" s="25"/>
      <c r="U753" s="25"/>
      <c r="V753" s="39">
        <v>192</v>
      </c>
      <c r="W753" s="25"/>
      <c r="X753" s="33">
        <f t="shared" si="22"/>
        <v>192</v>
      </c>
      <c r="Y753" s="39">
        <v>46020</v>
      </c>
      <c r="Z753" s="25">
        <v>8835840</v>
      </c>
      <c r="AA753" s="45"/>
      <c r="AB753" s="45"/>
      <c r="AC753" s="45"/>
      <c r="AD753" s="45"/>
      <c r="AE753" s="45"/>
    </row>
    <row r="754" spans="1:31" s="12" customFormat="1" ht="12">
      <c r="A754" s="27">
        <v>45618</v>
      </c>
      <c r="B754" s="54" t="s">
        <v>211</v>
      </c>
      <c r="C754" s="37" t="s">
        <v>82</v>
      </c>
      <c r="D754" s="34" t="s">
        <v>186</v>
      </c>
      <c r="E754" s="34" t="e">
        <f>IF(B754="","",VLOOKUP($B754,#REF!,4,FALSE))</f>
        <v>#REF!</v>
      </c>
      <c r="F754" s="34" t="e">
        <f>IF(E754="","",VLOOKUP($B754,#REF!,5,FALSE))</f>
        <v>#REF!</v>
      </c>
      <c r="G754" s="34" t="e">
        <f>IF(F754="","",VLOOKUP($B754,#REF!,6,FALSE))</f>
        <v>#REF!</v>
      </c>
      <c r="H754" s="34" t="e">
        <f>IF(G754="","",VLOOKUP($B754,#REF!,7,FALSE))</f>
        <v>#REF!</v>
      </c>
      <c r="I754" s="25"/>
      <c r="J754" s="25"/>
      <c r="K754" s="25"/>
      <c r="L754" s="25"/>
      <c r="M754" s="25"/>
      <c r="N754" s="25"/>
      <c r="O754" s="33">
        <f t="shared" si="23"/>
        <v>0</v>
      </c>
      <c r="P754" s="25"/>
      <c r="Q754" s="25">
        <v>0</v>
      </c>
      <c r="R754" s="25"/>
      <c r="S754" s="25"/>
      <c r="T754" s="25"/>
      <c r="U754" s="25"/>
      <c r="V754" s="39">
        <v>48</v>
      </c>
      <c r="W754" s="25"/>
      <c r="X754" s="33">
        <f t="shared" si="22"/>
        <v>48</v>
      </c>
      <c r="Y754" s="39">
        <v>46020</v>
      </c>
      <c r="Z754" s="25">
        <v>2208960</v>
      </c>
      <c r="AA754" s="45"/>
      <c r="AB754" s="45"/>
      <c r="AC754" s="45"/>
      <c r="AD754" s="45"/>
      <c r="AE754" s="45"/>
    </row>
    <row r="755" spans="1:31" s="12" customFormat="1" ht="12">
      <c r="A755" s="27">
        <v>45618</v>
      </c>
      <c r="B755" s="53" t="s">
        <v>203</v>
      </c>
      <c r="C755" s="37" t="s">
        <v>82</v>
      </c>
      <c r="D755" s="34" t="s">
        <v>186</v>
      </c>
      <c r="E755" s="34" t="e">
        <f>IF(B755="","",VLOOKUP($B755,#REF!,4,FALSE))</f>
        <v>#REF!</v>
      </c>
      <c r="F755" s="34" t="e">
        <f>IF(E755="","",VLOOKUP($B755,#REF!,5,FALSE))</f>
        <v>#REF!</v>
      </c>
      <c r="G755" s="34" t="e">
        <f>IF(F755="","",VLOOKUP($B755,#REF!,6,FALSE))</f>
        <v>#REF!</v>
      </c>
      <c r="H755" s="34" t="e">
        <f>IF(G755="","",VLOOKUP($B755,#REF!,7,FALSE))</f>
        <v>#REF!</v>
      </c>
      <c r="I755" s="25"/>
      <c r="J755" s="25"/>
      <c r="K755" s="25"/>
      <c r="L755" s="25"/>
      <c r="M755" s="25"/>
      <c r="N755" s="25"/>
      <c r="O755" s="33">
        <f t="shared" si="23"/>
        <v>0</v>
      </c>
      <c r="P755" s="25"/>
      <c r="Q755" s="25">
        <v>0</v>
      </c>
      <c r="R755" s="25"/>
      <c r="S755" s="25"/>
      <c r="T755" s="25"/>
      <c r="U755" s="25"/>
      <c r="V755" s="39">
        <v>2</v>
      </c>
      <c r="W755" s="25"/>
      <c r="X755" s="33">
        <f t="shared" si="22"/>
        <v>2</v>
      </c>
      <c r="Y755" s="39">
        <v>238000</v>
      </c>
      <c r="Z755" s="25">
        <v>476000</v>
      </c>
      <c r="AA755" s="45"/>
      <c r="AB755" s="45"/>
      <c r="AC755" s="45"/>
      <c r="AD755" s="45"/>
      <c r="AE755" s="45"/>
    </row>
    <row r="756" spans="1:31" s="12" customFormat="1" ht="12">
      <c r="A756" s="27">
        <v>45618</v>
      </c>
      <c r="B756" s="28" t="s">
        <v>47</v>
      </c>
      <c r="C756" s="37" t="s">
        <v>82</v>
      </c>
      <c r="D756" s="34" t="s">
        <v>186</v>
      </c>
      <c r="E756" s="34" t="e">
        <f>IF(B756="","",VLOOKUP($B756,#REF!,4,FALSE))</f>
        <v>#REF!</v>
      </c>
      <c r="F756" s="34" t="e">
        <f>IF(E756="","",VLOOKUP($B756,#REF!,5,FALSE))</f>
        <v>#REF!</v>
      </c>
      <c r="G756" s="34" t="e">
        <f>IF(F756="","",VLOOKUP($B756,#REF!,6,FALSE))</f>
        <v>#REF!</v>
      </c>
      <c r="H756" s="34" t="e">
        <f>IF(G756="","",VLOOKUP($B756,#REF!,7,FALSE))</f>
        <v>#REF!</v>
      </c>
      <c r="I756" s="25"/>
      <c r="J756" s="25"/>
      <c r="K756" s="25"/>
      <c r="L756" s="25"/>
      <c r="M756" s="25"/>
      <c r="N756" s="25"/>
      <c r="O756" s="33">
        <f t="shared" si="23"/>
        <v>0</v>
      </c>
      <c r="P756" s="25"/>
      <c r="Q756" s="25">
        <v>0</v>
      </c>
      <c r="R756" s="25"/>
      <c r="S756" s="25"/>
      <c r="T756" s="25"/>
      <c r="U756" s="25"/>
      <c r="V756" s="39">
        <v>112</v>
      </c>
      <c r="W756" s="25"/>
      <c r="X756" s="33">
        <f t="shared" si="22"/>
        <v>112</v>
      </c>
      <c r="Y756" s="39">
        <v>18860</v>
      </c>
      <c r="Z756" s="25">
        <v>2112320</v>
      </c>
      <c r="AA756" s="45"/>
      <c r="AB756" s="45"/>
      <c r="AC756" s="45"/>
      <c r="AD756" s="45"/>
      <c r="AE756" s="45"/>
    </row>
    <row r="757" spans="1:31" s="12" customFormat="1" ht="12">
      <c r="A757" s="27">
        <v>45618</v>
      </c>
      <c r="B757" s="53" t="s">
        <v>160</v>
      </c>
      <c r="C757" s="37" t="s">
        <v>82</v>
      </c>
      <c r="D757" s="34" t="s">
        <v>186</v>
      </c>
      <c r="E757" s="34" t="e">
        <f>IF(B757="","",VLOOKUP($B757,#REF!,4,FALSE))</f>
        <v>#REF!</v>
      </c>
      <c r="F757" s="34" t="e">
        <f>IF(E757="","",VLOOKUP($B757,#REF!,5,FALSE))</f>
        <v>#REF!</v>
      </c>
      <c r="G757" s="34" t="e">
        <f>IF(F757="","",VLOOKUP($B757,#REF!,6,FALSE))</f>
        <v>#REF!</v>
      </c>
      <c r="H757" s="34" t="e">
        <f>IF(G757="","",VLOOKUP($B757,#REF!,7,FALSE))</f>
        <v>#REF!</v>
      </c>
      <c r="I757" s="25"/>
      <c r="J757" s="25"/>
      <c r="K757" s="25"/>
      <c r="L757" s="25"/>
      <c r="M757" s="25"/>
      <c r="N757" s="25"/>
      <c r="O757" s="33">
        <f t="shared" si="23"/>
        <v>0</v>
      </c>
      <c r="P757" s="25"/>
      <c r="Q757" s="25">
        <v>0</v>
      </c>
      <c r="R757" s="25"/>
      <c r="S757" s="25"/>
      <c r="T757" s="25"/>
      <c r="U757" s="25"/>
      <c r="V757" s="39">
        <v>12</v>
      </c>
      <c r="W757" s="25"/>
      <c r="X757" s="33">
        <f t="shared" si="22"/>
        <v>12</v>
      </c>
      <c r="Y757" s="39">
        <v>97900</v>
      </c>
      <c r="Z757" s="25">
        <v>1174800</v>
      </c>
      <c r="AA757" s="45"/>
      <c r="AB757" s="45"/>
      <c r="AC757" s="45"/>
      <c r="AD757" s="45"/>
      <c r="AE757" s="45"/>
    </row>
    <row r="758" spans="1:31" s="12" customFormat="1" ht="12">
      <c r="A758" s="27">
        <v>45618</v>
      </c>
      <c r="B758" s="53" t="s">
        <v>57</v>
      </c>
      <c r="C758" s="37" t="s">
        <v>82</v>
      </c>
      <c r="D758" s="34" t="s">
        <v>186</v>
      </c>
      <c r="E758" s="34" t="e">
        <f>IF(B758="","",VLOOKUP($B758,#REF!,4,FALSE))</f>
        <v>#REF!</v>
      </c>
      <c r="F758" s="34" t="e">
        <f>IF(E758="","",VLOOKUP($B758,#REF!,5,FALSE))</f>
        <v>#REF!</v>
      </c>
      <c r="G758" s="34" t="e">
        <f>IF(F758="","",VLOOKUP($B758,#REF!,6,FALSE))</f>
        <v>#REF!</v>
      </c>
      <c r="H758" s="34" t="e">
        <f>IF(G758="","",VLOOKUP($B758,#REF!,7,FALSE))</f>
        <v>#REF!</v>
      </c>
      <c r="I758" s="25"/>
      <c r="J758" s="25"/>
      <c r="K758" s="25"/>
      <c r="L758" s="25"/>
      <c r="M758" s="25"/>
      <c r="N758" s="25"/>
      <c r="O758" s="33">
        <f t="shared" si="23"/>
        <v>0</v>
      </c>
      <c r="P758" s="25"/>
      <c r="Q758" s="25">
        <v>0</v>
      </c>
      <c r="R758" s="25"/>
      <c r="S758" s="25"/>
      <c r="T758" s="25"/>
      <c r="U758" s="25">
        <v>1</v>
      </c>
      <c r="V758" s="39"/>
      <c r="W758" s="25"/>
      <c r="X758" s="33">
        <f t="shared" si="22"/>
        <v>1</v>
      </c>
      <c r="Y758" s="39"/>
      <c r="Z758" s="25">
        <v>0</v>
      </c>
      <c r="AA758" s="45"/>
      <c r="AB758" s="45"/>
      <c r="AC758" s="45"/>
      <c r="AD758" s="45"/>
      <c r="AE758" s="45"/>
    </row>
    <row r="759" spans="1:31" s="12" customFormat="1" ht="12">
      <c r="A759" s="27">
        <v>45618</v>
      </c>
      <c r="B759" s="53" t="s">
        <v>70</v>
      </c>
      <c r="C759" s="37" t="s">
        <v>86</v>
      </c>
      <c r="D759" s="34" t="s">
        <v>51</v>
      </c>
      <c r="E759" s="34" t="e">
        <f>IF(B759="","",VLOOKUP($B759,#REF!,4,FALSE))</f>
        <v>#REF!</v>
      </c>
      <c r="F759" s="34" t="e">
        <f>IF(E759="","",VLOOKUP($B759,#REF!,5,FALSE))</f>
        <v>#REF!</v>
      </c>
      <c r="G759" s="34" t="e">
        <f>IF(F759="","",VLOOKUP($B759,#REF!,6,FALSE))</f>
        <v>#REF!</v>
      </c>
      <c r="H759" s="34" t="e">
        <f>IF(G759="","",VLOOKUP($B759,#REF!,7,FALSE))</f>
        <v>#REF!</v>
      </c>
      <c r="I759" s="25"/>
      <c r="J759" s="25"/>
      <c r="K759" s="25">
        <v>1</v>
      </c>
      <c r="L759" s="25"/>
      <c r="M759" s="25"/>
      <c r="N759" s="25"/>
      <c r="O759" s="33">
        <f t="shared" si="23"/>
        <v>1</v>
      </c>
      <c r="P759" s="25"/>
      <c r="Q759" s="25">
        <v>0</v>
      </c>
      <c r="R759" s="25"/>
      <c r="S759" s="25"/>
      <c r="T759" s="25">
        <v>1</v>
      </c>
      <c r="U759" s="25"/>
      <c r="V759" s="39"/>
      <c r="W759" s="25"/>
      <c r="X759" s="33">
        <f t="shared" si="22"/>
        <v>1</v>
      </c>
      <c r="Y759" s="39">
        <v>154000</v>
      </c>
      <c r="Z759" s="25">
        <v>154000</v>
      </c>
      <c r="AA759" s="45"/>
      <c r="AB759" s="45"/>
      <c r="AC759" s="45"/>
      <c r="AD759" s="45"/>
      <c r="AE759" s="45"/>
    </row>
    <row r="760" spans="1:31" s="12" customFormat="1" ht="12">
      <c r="A760" s="27">
        <v>45618</v>
      </c>
      <c r="B760" s="53" t="s">
        <v>15</v>
      </c>
      <c r="C760" s="37" t="s">
        <v>83</v>
      </c>
      <c r="D760" s="34" t="s">
        <v>185</v>
      </c>
      <c r="E760" s="34" t="e">
        <f>IF(B760="","",VLOOKUP($B760,#REF!,4,FALSE))</f>
        <v>#REF!</v>
      </c>
      <c r="F760" s="34" t="e">
        <f>IF(E760="","",VLOOKUP($B760,#REF!,5,FALSE))</f>
        <v>#REF!</v>
      </c>
      <c r="G760" s="34" t="e">
        <f>IF(F760="","",VLOOKUP($B760,#REF!,6,FALSE))</f>
        <v>#REF!</v>
      </c>
      <c r="H760" s="34" t="e">
        <f>IF(G760="","",VLOOKUP($B760,#REF!,7,FALSE))</f>
        <v>#REF!</v>
      </c>
      <c r="I760" s="25"/>
      <c r="J760" s="25"/>
      <c r="K760" s="25"/>
      <c r="L760" s="25"/>
      <c r="M760" s="25"/>
      <c r="N760" s="25"/>
      <c r="O760" s="33">
        <f t="shared" si="23"/>
        <v>0</v>
      </c>
      <c r="P760" s="25"/>
      <c r="Q760" s="25">
        <v>0</v>
      </c>
      <c r="R760" s="25"/>
      <c r="S760" s="25"/>
      <c r="T760" s="25">
        <v>11</v>
      </c>
      <c r="U760" s="25"/>
      <c r="V760" s="39"/>
      <c r="W760" s="25"/>
      <c r="X760" s="33">
        <f t="shared" si="22"/>
        <v>11</v>
      </c>
      <c r="Y760" s="39">
        <v>69600</v>
      </c>
      <c r="Z760" s="25">
        <v>765600</v>
      </c>
      <c r="AA760" s="45"/>
      <c r="AB760" s="45"/>
      <c r="AC760" s="45"/>
      <c r="AD760" s="45"/>
      <c r="AE760" s="45"/>
    </row>
    <row r="761" spans="1:31" s="12" customFormat="1" ht="12">
      <c r="A761" s="27">
        <v>45618</v>
      </c>
      <c r="B761" s="53" t="s">
        <v>10</v>
      </c>
      <c r="C761" s="37" t="s">
        <v>83</v>
      </c>
      <c r="D761" s="34" t="s">
        <v>185</v>
      </c>
      <c r="E761" s="34" t="e">
        <f>IF(B761="","",VLOOKUP($B761,#REF!,4,FALSE))</f>
        <v>#REF!</v>
      </c>
      <c r="F761" s="34" t="e">
        <f>IF(E761="","",VLOOKUP($B761,#REF!,5,FALSE))</f>
        <v>#REF!</v>
      </c>
      <c r="G761" s="34" t="e">
        <f>IF(F761="","",VLOOKUP($B761,#REF!,6,FALSE))</f>
        <v>#REF!</v>
      </c>
      <c r="H761" s="34" t="e">
        <f>IF(G761="","",VLOOKUP($B761,#REF!,7,FALSE))</f>
        <v>#REF!</v>
      </c>
      <c r="I761" s="25"/>
      <c r="J761" s="25"/>
      <c r="K761" s="25"/>
      <c r="L761" s="25"/>
      <c r="M761" s="25"/>
      <c r="N761" s="25"/>
      <c r="O761" s="33">
        <f t="shared" si="23"/>
        <v>0</v>
      </c>
      <c r="P761" s="25"/>
      <c r="Q761" s="25">
        <v>0</v>
      </c>
      <c r="R761" s="25"/>
      <c r="S761" s="25"/>
      <c r="T761" s="25">
        <v>3</v>
      </c>
      <c r="U761" s="25"/>
      <c r="V761" s="39"/>
      <c r="W761" s="25"/>
      <c r="X761" s="33">
        <f t="shared" si="22"/>
        <v>3</v>
      </c>
      <c r="Y761" s="39">
        <v>57000</v>
      </c>
      <c r="Z761" s="25">
        <v>171000</v>
      </c>
      <c r="AA761" s="45"/>
      <c r="AB761" s="45"/>
      <c r="AC761" s="45"/>
      <c r="AD761" s="45"/>
      <c r="AE761" s="45"/>
    </row>
    <row r="762" spans="1:31" s="12" customFormat="1" ht="12">
      <c r="A762" s="27">
        <v>45618</v>
      </c>
      <c r="B762" s="53" t="s">
        <v>25</v>
      </c>
      <c r="C762" s="37" t="s">
        <v>83</v>
      </c>
      <c r="D762" s="34" t="s">
        <v>185</v>
      </c>
      <c r="E762" s="34" t="e">
        <f>IF(B762="","",VLOOKUP($B762,#REF!,4,FALSE))</f>
        <v>#REF!</v>
      </c>
      <c r="F762" s="34" t="e">
        <f>IF(E762="","",VLOOKUP($B762,#REF!,5,FALSE))</f>
        <v>#REF!</v>
      </c>
      <c r="G762" s="34" t="e">
        <f>IF(F762="","",VLOOKUP($B762,#REF!,6,FALSE))</f>
        <v>#REF!</v>
      </c>
      <c r="H762" s="34" t="e">
        <f>IF(G762="","",VLOOKUP($B762,#REF!,7,FALSE))</f>
        <v>#REF!</v>
      </c>
      <c r="I762" s="25"/>
      <c r="J762" s="25"/>
      <c r="K762" s="25"/>
      <c r="L762" s="25"/>
      <c r="M762" s="25"/>
      <c r="N762" s="25"/>
      <c r="O762" s="33">
        <f t="shared" si="23"/>
        <v>0</v>
      </c>
      <c r="P762" s="25"/>
      <c r="Q762" s="25">
        <v>0</v>
      </c>
      <c r="R762" s="25"/>
      <c r="S762" s="25"/>
      <c r="T762" s="25">
        <v>1</v>
      </c>
      <c r="U762" s="25"/>
      <c r="V762" s="39"/>
      <c r="W762" s="25"/>
      <c r="X762" s="33">
        <f t="shared" si="22"/>
        <v>1</v>
      </c>
      <c r="Y762" s="39">
        <v>57000</v>
      </c>
      <c r="Z762" s="25">
        <v>57000</v>
      </c>
      <c r="AA762" s="45"/>
      <c r="AB762" s="45"/>
      <c r="AC762" s="45"/>
      <c r="AD762" s="45"/>
      <c r="AE762" s="45"/>
    </row>
    <row r="763" spans="1:31" s="12" customFormat="1" ht="12">
      <c r="A763" s="27">
        <v>45618</v>
      </c>
      <c r="B763" s="53" t="s">
        <v>38</v>
      </c>
      <c r="C763" s="37" t="s">
        <v>83</v>
      </c>
      <c r="D763" s="34" t="s">
        <v>185</v>
      </c>
      <c r="E763" s="34" t="e">
        <f>IF(B763="","",VLOOKUP($B763,#REF!,4,FALSE))</f>
        <v>#REF!</v>
      </c>
      <c r="F763" s="34" t="e">
        <f>IF(E763="","",VLOOKUP($B763,#REF!,5,FALSE))</f>
        <v>#REF!</v>
      </c>
      <c r="G763" s="34" t="e">
        <f>IF(F763="","",VLOOKUP($B763,#REF!,6,FALSE))</f>
        <v>#REF!</v>
      </c>
      <c r="H763" s="34" t="e">
        <f>IF(G763="","",VLOOKUP($B763,#REF!,7,FALSE))</f>
        <v>#REF!</v>
      </c>
      <c r="I763" s="25"/>
      <c r="J763" s="25"/>
      <c r="K763" s="25"/>
      <c r="L763" s="25"/>
      <c r="M763" s="25"/>
      <c r="N763" s="25"/>
      <c r="O763" s="33">
        <f t="shared" si="23"/>
        <v>0</v>
      </c>
      <c r="P763" s="25"/>
      <c r="Q763" s="25">
        <v>0</v>
      </c>
      <c r="R763" s="25"/>
      <c r="S763" s="25"/>
      <c r="T763" s="25">
        <v>137</v>
      </c>
      <c r="U763" s="25"/>
      <c r="V763" s="39"/>
      <c r="W763" s="25"/>
      <c r="X763" s="33">
        <f t="shared" si="22"/>
        <v>137</v>
      </c>
      <c r="Y763" s="39">
        <v>54600</v>
      </c>
      <c r="Z763" s="25">
        <v>7480200</v>
      </c>
      <c r="AA763" s="45"/>
      <c r="AB763" s="45"/>
      <c r="AC763" s="45"/>
      <c r="AD763" s="45"/>
      <c r="AE763" s="45"/>
    </row>
    <row r="764" spans="1:31" s="12" customFormat="1" ht="12">
      <c r="A764" s="27">
        <v>45618</v>
      </c>
      <c r="B764" s="53" t="s">
        <v>61</v>
      </c>
      <c r="C764" s="37" t="s">
        <v>83</v>
      </c>
      <c r="D764" s="34" t="s">
        <v>185</v>
      </c>
      <c r="E764" s="34" t="e">
        <f>IF(B764="","",VLOOKUP($B764,#REF!,4,FALSE))</f>
        <v>#REF!</v>
      </c>
      <c r="F764" s="34" t="e">
        <f>IF(E764="","",VLOOKUP($B764,#REF!,5,FALSE))</f>
        <v>#REF!</v>
      </c>
      <c r="G764" s="34" t="e">
        <f>IF(F764="","",VLOOKUP($B764,#REF!,6,FALSE))</f>
        <v>#REF!</v>
      </c>
      <c r="H764" s="34" t="e">
        <f>IF(G764="","",VLOOKUP($B764,#REF!,7,FALSE))</f>
        <v>#REF!</v>
      </c>
      <c r="I764" s="25"/>
      <c r="J764" s="25"/>
      <c r="K764" s="25"/>
      <c r="L764" s="25"/>
      <c r="M764" s="25"/>
      <c r="N764" s="25"/>
      <c r="O764" s="33">
        <f t="shared" si="23"/>
        <v>0</v>
      </c>
      <c r="P764" s="25"/>
      <c r="Q764" s="25">
        <v>0</v>
      </c>
      <c r="R764" s="25"/>
      <c r="S764" s="25"/>
      <c r="T764" s="25">
        <v>21</v>
      </c>
      <c r="U764" s="25"/>
      <c r="V764" s="39"/>
      <c r="W764" s="25"/>
      <c r="X764" s="33">
        <f t="shared" si="22"/>
        <v>21</v>
      </c>
      <c r="Y764" s="39">
        <v>67500</v>
      </c>
      <c r="Z764" s="25">
        <v>1417500</v>
      </c>
      <c r="AA764" s="45"/>
      <c r="AB764" s="45"/>
      <c r="AC764" s="45"/>
      <c r="AD764" s="45"/>
      <c r="AE764" s="45"/>
    </row>
    <row r="765" spans="1:31" s="12" customFormat="1" ht="12">
      <c r="A765" s="27">
        <v>45618</v>
      </c>
      <c r="B765" s="53" t="s">
        <v>26</v>
      </c>
      <c r="C765" s="37" t="s">
        <v>83</v>
      </c>
      <c r="D765" s="34" t="s">
        <v>185</v>
      </c>
      <c r="E765" s="34" t="e">
        <f>IF(B765="","",VLOOKUP($B765,#REF!,4,FALSE))</f>
        <v>#REF!</v>
      </c>
      <c r="F765" s="34" t="e">
        <f>IF(E765="","",VLOOKUP($B765,#REF!,5,FALSE))</f>
        <v>#REF!</v>
      </c>
      <c r="G765" s="34" t="e">
        <f>IF(F765="","",VLOOKUP($B765,#REF!,6,FALSE))</f>
        <v>#REF!</v>
      </c>
      <c r="H765" s="34" t="e">
        <f>IF(G765="","",VLOOKUP($B765,#REF!,7,FALSE))</f>
        <v>#REF!</v>
      </c>
      <c r="I765" s="25"/>
      <c r="J765" s="25"/>
      <c r="K765" s="25"/>
      <c r="L765" s="25"/>
      <c r="M765" s="25"/>
      <c r="N765" s="25"/>
      <c r="O765" s="33">
        <f t="shared" si="23"/>
        <v>0</v>
      </c>
      <c r="P765" s="25"/>
      <c r="Q765" s="25">
        <v>0</v>
      </c>
      <c r="R765" s="25"/>
      <c r="S765" s="25"/>
      <c r="T765" s="25">
        <v>5</v>
      </c>
      <c r="U765" s="25"/>
      <c r="V765" s="39"/>
      <c r="W765" s="25"/>
      <c r="X765" s="33">
        <f t="shared" si="22"/>
        <v>5</v>
      </c>
      <c r="Y765" s="39">
        <v>23200</v>
      </c>
      <c r="Z765" s="25">
        <v>116000</v>
      </c>
      <c r="AA765" s="45"/>
      <c r="AB765" s="45"/>
      <c r="AC765" s="45"/>
      <c r="AD765" s="45"/>
      <c r="AE765" s="45"/>
    </row>
    <row r="766" spans="1:31" s="12" customFormat="1" ht="12">
      <c r="A766" s="27">
        <v>45618</v>
      </c>
      <c r="B766" s="28" t="s">
        <v>8</v>
      </c>
      <c r="C766" s="37" t="s">
        <v>83</v>
      </c>
      <c r="D766" s="34" t="s">
        <v>185</v>
      </c>
      <c r="E766" s="34" t="e">
        <f>IF(B766="","",VLOOKUP($B766,#REF!,4,FALSE))</f>
        <v>#REF!</v>
      </c>
      <c r="F766" s="34" t="e">
        <f>IF(E766="","",VLOOKUP($B766,#REF!,5,FALSE))</f>
        <v>#REF!</v>
      </c>
      <c r="G766" s="34" t="e">
        <f>IF(F766="","",VLOOKUP($B766,#REF!,6,FALSE))</f>
        <v>#REF!</v>
      </c>
      <c r="H766" s="34" t="e">
        <f>IF(G766="","",VLOOKUP($B766,#REF!,7,FALSE))</f>
        <v>#REF!</v>
      </c>
      <c r="I766" s="25"/>
      <c r="J766" s="25"/>
      <c r="K766" s="25"/>
      <c r="L766" s="25"/>
      <c r="M766" s="25"/>
      <c r="N766" s="25"/>
      <c r="O766" s="33">
        <f t="shared" si="23"/>
        <v>0</v>
      </c>
      <c r="P766" s="25"/>
      <c r="Q766" s="25">
        <v>0</v>
      </c>
      <c r="R766" s="25"/>
      <c r="S766" s="25"/>
      <c r="T766" s="25">
        <v>67</v>
      </c>
      <c r="U766" s="25"/>
      <c r="V766" s="39"/>
      <c r="W766" s="25"/>
      <c r="X766" s="33">
        <f t="shared" si="22"/>
        <v>67</v>
      </c>
      <c r="Y766" s="39">
        <v>36300</v>
      </c>
      <c r="Z766" s="25">
        <v>2432100</v>
      </c>
      <c r="AA766" s="45"/>
      <c r="AB766" s="45"/>
      <c r="AC766" s="45"/>
      <c r="AD766" s="45"/>
      <c r="AE766" s="45"/>
    </row>
    <row r="767" spans="1:31" s="12" customFormat="1" ht="12">
      <c r="A767" s="27">
        <v>45618</v>
      </c>
      <c r="B767" s="53" t="s">
        <v>10</v>
      </c>
      <c r="C767" s="37" t="s">
        <v>83</v>
      </c>
      <c r="D767" s="34" t="s">
        <v>185</v>
      </c>
      <c r="E767" s="34" t="e">
        <f>IF(B767="","",VLOOKUP($B767,#REF!,4,FALSE))</f>
        <v>#REF!</v>
      </c>
      <c r="F767" s="34" t="e">
        <f>IF(E767="","",VLOOKUP($B767,#REF!,5,FALSE))</f>
        <v>#REF!</v>
      </c>
      <c r="G767" s="34" t="e">
        <f>IF(F767="","",VLOOKUP($B767,#REF!,6,FALSE))</f>
        <v>#REF!</v>
      </c>
      <c r="H767" s="34" t="e">
        <f>IF(G767="","",VLOOKUP($B767,#REF!,7,FALSE))</f>
        <v>#REF!</v>
      </c>
      <c r="I767" s="25"/>
      <c r="J767" s="25"/>
      <c r="K767" s="25"/>
      <c r="L767" s="25"/>
      <c r="M767" s="25"/>
      <c r="N767" s="25"/>
      <c r="O767" s="33">
        <f t="shared" si="23"/>
        <v>0</v>
      </c>
      <c r="P767" s="25"/>
      <c r="Q767" s="25">
        <v>0</v>
      </c>
      <c r="R767" s="25"/>
      <c r="S767" s="25"/>
      <c r="T767" s="25">
        <v>2</v>
      </c>
      <c r="U767" s="25"/>
      <c r="V767" s="39"/>
      <c r="W767" s="25"/>
      <c r="X767" s="33">
        <f t="shared" si="22"/>
        <v>2</v>
      </c>
      <c r="Y767" s="44"/>
      <c r="Z767" s="25">
        <v>0</v>
      </c>
      <c r="AA767" s="45"/>
      <c r="AB767" s="45"/>
      <c r="AC767" s="45"/>
      <c r="AD767" s="45"/>
      <c r="AE767" s="45"/>
    </row>
    <row r="768" spans="1:31" s="12" customFormat="1" ht="12">
      <c r="A768" s="27">
        <v>45618</v>
      </c>
      <c r="B768" s="54" t="s">
        <v>161</v>
      </c>
      <c r="C768" s="37" t="s">
        <v>83</v>
      </c>
      <c r="D768" s="34" t="s">
        <v>185</v>
      </c>
      <c r="E768" s="34" t="e">
        <f>IF(B768="","",VLOOKUP($B768,#REF!,4,FALSE))</f>
        <v>#REF!</v>
      </c>
      <c r="F768" s="34" t="e">
        <f>IF(E768="","",VLOOKUP($B768,#REF!,5,FALSE))</f>
        <v>#REF!</v>
      </c>
      <c r="G768" s="34" t="e">
        <f>IF(F768="","",VLOOKUP($B768,#REF!,6,FALSE))</f>
        <v>#REF!</v>
      </c>
      <c r="H768" s="34" t="e">
        <f>IF(G768="","",VLOOKUP($B768,#REF!,7,FALSE))</f>
        <v>#REF!</v>
      </c>
      <c r="I768" s="25"/>
      <c r="J768" s="25"/>
      <c r="K768" s="25">
        <v>2</v>
      </c>
      <c r="L768" s="25"/>
      <c r="M768" s="25"/>
      <c r="N768" s="25"/>
      <c r="O768" s="33">
        <f t="shared" si="23"/>
        <v>2</v>
      </c>
      <c r="P768" s="25"/>
      <c r="Q768" s="25">
        <v>0</v>
      </c>
      <c r="R768" s="25"/>
      <c r="S768" s="25"/>
      <c r="T768" s="25">
        <v>2</v>
      </c>
      <c r="U768" s="25"/>
      <c r="V768" s="39"/>
      <c r="W768" s="25"/>
      <c r="X768" s="33">
        <f t="shared" si="22"/>
        <v>2</v>
      </c>
      <c r="Y768" s="39">
        <v>44280</v>
      </c>
      <c r="Z768" s="25">
        <v>88560</v>
      </c>
      <c r="AA768" s="45"/>
      <c r="AB768" s="45"/>
      <c r="AC768" s="45"/>
      <c r="AD768" s="45"/>
      <c r="AE768" s="45"/>
    </row>
    <row r="769" spans="1:31" s="12" customFormat="1" ht="12">
      <c r="A769" s="27">
        <v>45618</v>
      </c>
      <c r="B769" s="53" t="s">
        <v>79</v>
      </c>
      <c r="C769" s="37">
        <v>0</v>
      </c>
      <c r="D769" s="34" t="s">
        <v>187</v>
      </c>
      <c r="E769" s="34" t="e">
        <f>IF(B769="","",VLOOKUP($B769,#REF!,4,FALSE))</f>
        <v>#REF!</v>
      </c>
      <c r="F769" s="34" t="e">
        <f>IF(E769="","",VLOOKUP($B769,#REF!,5,FALSE))</f>
        <v>#REF!</v>
      </c>
      <c r="G769" s="34" t="e">
        <f>IF(F769="","",VLOOKUP($B769,#REF!,6,FALSE))</f>
        <v>#REF!</v>
      </c>
      <c r="H769" s="34" t="e">
        <f>IF(G769="","",VLOOKUP($B769,#REF!,7,FALSE))</f>
        <v>#REF!</v>
      </c>
      <c r="I769" s="25"/>
      <c r="J769" s="25"/>
      <c r="K769" s="25"/>
      <c r="L769" s="25"/>
      <c r="M769" s="25"/>
      <c r="N769" s="25"/>
      <c r="O769" s="33">
        <f t="shared" si="23"/>
        <v>0</v>
      </c>
      <c r="P769" s="25"/>
      <c r="Q769" s="25">
        <v>0</v>
      </c>
      <c r="R769" s="25"/>
      <c r="S769" s="25"/>
      <c r="T769" s="25">
        <v>3</v>
      </c>
      <c r="U769" s="25"/>
      <c r="V769" s="39"/>
      <c r="W769" s="25"/>
      <c r="X769" s="33">
        <f t="shared" si="22"/>
        <v>3</v>
      </c>
      <c r="Y769" s="39">
        <v>13636</v>
      </c>
      <c r="Z769" s="25">
        <v>40909</v>
      </c>
      <c r="AA769" s="45" t="s">
        <v>214</v>
      </c>
      <c r="AB769" s="45"/>
      <c r="AC769" s="45"/>
      <c r="AD769" s="45"/>
      <c r="AE769" s="45"/>
    </row>
    <row r="770" spans="1:31" s="12" customFormat="1" ht="12">
      <c r="A770" s="27">
        <v>45618</v>
      </c>
      <c r="B770" s="53" t="s">
        <v>78</v>
      </c>
      <c r="C770" s="37">
        <v>0</v>
      </c>
      <c r="D770" s="34" t="s">
        <v>187</v>
      </c>
      <c r="E770" s="34" t="e">
        <f>IF(B770="","",VLOOKUP($B770,#REF!,4,FALSE))</f>
        <v>#REF!</v>
      </c>
      <c r="F770" s="34" t="e">
        <f>IF(E770="","",VLOOKUP($B770,#REF!,5,FALSE))</f>
        <v>#REF!</v>
      </c>
      <c r="G770" s="34" t="e">
        <f>IF(F770="","",VLOOKUP($B770,#REF!,6,FALSE))</f>
        <v>#REF!</v>
      </c>
      <c r="H770" s="34" t="e">
        <f>IF(G770="","",VLOOKUP($B770,#REF!,7,FALSE))</f>
        <v>#REF!</v>
      </c>
      <c r="I770" s="25"/>
      <c r="J770" s="25"/>
      <c r="K770" s="25"/>
      <c r="L770" s="25"/>
      <c r="M770" s="25"/>
      <c r="N770" s="25"/>
      <c r="O770" s="33">
        <f t="shared" si="23"/>
        <v>0</v>
      </c>
      <c r="P770" s="25"/>
      <c r="Q770" s="25">
        <v>0</v>
      </c>
      <c r="R770" s="25"/>
      <c r="S770" s="25"/>
      <c r="T770" s="25">
        <v>5</v>
      </c>
      <c r="U770" s="25"/>
      <c r="V770" s="39"/>
      <c r="W770" s="25"/>
      <c r="X770" s="33">
        <f t="shared" si="22"/>
        <v>5</v>
      </c>
      <c r="Y770" s="39">
        <v>32727</v>
      </c>
      <c r="Z770" s="25">
        <v>163636</v>
      </c>
      <c r="AA770" s="45" t="s">
        <v>214</v>
      </c>
      <c r="AB770" s="45"/>
      <c r="AC770" s="45"/>
      <c r="AD770" s="45"/>
      <c r="AE770" s="45"/>
    </row>
    <row r="771" spans="1:31" s="12" customFormat="1" ht="12">
      <c r="A771" s="27">
        <v>45618</v>
      </c>
      <c r="B771" s="73" t="s">
        <v>78</v>
      </c>
      <c r="C771" s="37" t="s">
        <v>144</v>
      </c>
      <c r="D771" s="34" t="s">
        <v>190</v>
      </c>
      <c r="E771" s="34" t="e">
        <f>IF(B771="","",VLOOKUP($B771,#REF!,4,FALSE))</f>
        <v>#REF!</v>
      </c>
      <c r="F771" s="34" t="e">
        <f>IF(E771="","",VLOOKUP($B771,#REF!,5,FALSE))</f>
        <v>#REF!</v>
      </c>
      <c r="G771" s="34" t="e">
        <f>IF(F771="","",VLOOKUP($B771,#REF!,6,FALSE))</f>
        <v>#REF!</v>
      </c>
      <c r="H771" s="34" t="e">
        <f>IF(G771="","",VLOOKUP($B771,#REF!,7,FALSE))</f>
        <v>#REF!</v>
      </c>
      <c r="I771" s="25"/>
      <c r="J771" s="25"/>
      <c r="K771" s="25"/>
      <c r="L771" s="25"/>
      <c r="M771" s="25"/>
      <c r="N771" s="25"/>
      <c r="O771" s="33">
        <f t="shared" si="23"/>
        <v>0</v>
      </c>
      <c r="P771" s="25"/>
      <c r="Q771" s="25">
        <v>0</v>
      </c>
      <c r="R771" s="25"/>
      <c r="S771" s="25"/>
      <c r="T771" s="25">
        <v>1</v>
      </c>
      <c r="U771" s="25"/>
      <c r="V771" s="39"/>
      <c r="W771" s="25"/>
      <c r="X771" s="33">
        <f t="shared" si="22"/>
        <v>1</v>
      </c>
      <c r="Y771" s="39"/>
      <c r="Z771" s="25">
        <v>0</v>
      </c>
      <c r="AA771" s="45" t="s">
        <v>210</v>
      </c>
      <c r="AB771" s="45"/>
      <c r="AC771" s="45"/>
      <c r="AD771" s="45"/>
      <c r="AE771" s="45"/>
    </row>
    <row r="772" spans="1:31" s="12" customFormat="1" ht="12">
      <c r="A772" s="27">
        <v>45618</v>
      </c>
      <c r="B772" s="28" t="s">
        <v>163</v>
      </c>
      <c r="C772" s="37" t="s">
        <v>136</v>
      </c>
      <c r="D772" s="34" t="s">
        <v>177</v>
      </c>
      <c r="E772" s="34" t="e">
        <f>IF(B772="","",VLOOKUP($B772,#REF!,4,FALSE))</f>
        <v>#REF!</v>
      </c>
      <c r="F772" s="34" t="e">
        <f>IF(E772="","",VLOOKUP($B772,#REF!,5,FALSE))</f>
        <v>#REF!</v>
      </c>
      <c r="G772" s="34" t="e">
        <f>IF(F772="","",VLOOKUP($B772,#REF!,6,FALSE))</f>
        <v>#REF!</v>
      </c>
      <c r="H772" s="34" t="e">
        <f>IF(G772="","",VLOOKUP($B772,#REF!,7,FALSE))</f>
        <v>#REF!</v>
      </c>
      <c r="I772" s="25"/>
      <c r="J772" s="25"/>
      <c r="K772" s="25"/>
      <c r="L772" s="25"/>
      <c r="M772" s="25"/>
      <c r="N772" s="25"/>
      <c r="O772" s="33">
        <f t="shared" si="23"/>
        <v>0</v>
      </c>
      <c r="P772" s="25"/>
      <c r="Q772" s="25">
        <v>0</v>
      </c>
      <c r="R772" s="25"/>
      <c r="S772" s="25"/>
      <c r="T772" s="25">
        <v>4</v>
      </c>
      <c r="U772" s="25"/>
      <c r="V772" s="39"/>
      <c r="W772" s="25"/>
      <c r="X772" s="33">
        <f t="shared" si="22"/>
        <v>4</v>
      </c>
      <c r="Y772" s="39">
        <v>46400</v>
      </c>
      <c r="Z772" s="25">
        <v>185600</v>
      </c>
      <c r="AA772" s="45" t="s">
        <v>136</v>
      </c>
      <c r="AB772" s="45" t="s">
        <v>177</v>
      </c>
      <c r="AC772" s="45"/>
      <c r="AD772" s="45"/>
      <c r="AE772" s="45"/>
    </row>
    <row r="773" spans="1:31" s="12" customFormat="1" ht="12">
      <c r="A773" s="27">
        <v>45618</v>
      </c>
      <c r="B773" s="73" t="s">
        <v>11</v>
      </c>
      <c r="C773" s="37" t="s">
        <v>136</v>
      </c>
      <c r="D773" s="34" t="s">
        <v>177</v>
      </c>
      <c r="E773" s="34" t="e">
        <f>IF(B773="","",VLOOKUP($B773,#REF!,4,FALSE))</f>
        <v>#REF!</v>
      </c>
      <c r="F773" s="34" t="e">
        <f>IF(E773="","",VLOOKUP($B773,#REF!,5,FALSE))</f>
        <v>#REF!</v>
      </c>
      <c r="G773" s="34" t="e">
        <f>IF(F773="","",VLOOKUP($B773,#REF!,6,FALSE))</f>
        <v>#REF!</v>
      </c>
      <c r="H773" s="34" t="e">
        <f>IF(G773="","",VLOOKUP($B773,#REF!,7,FALSE))</f>
        <v>#REF!</v>
      </c>
      <c r="I773" s="25"/>
      <c r="J773" s="25"/>
      <c r="K773" s="25"/>
      <c r="L773" s="25"/>
      <c r="M773" s="25"/>
      <c r="N773" s="25"/>
      <c r="O773" s="33">
        <f t="shared" si="23"/>
        <v>0</v>
      </c>
      <c r="P773" s="25"/>
      <c r="Q773" s="25">
        <v>0</v>
      </c>
      <c r="R773" s="25"/>
      <c r="S773" s="25"/>
      <c r="T773" s="25">
        <v>2</v>
      </c>
      <c r="U773" s="25"/>
      <c r="V773" s="39"/>
      <c r="W773" s="25"/>
      <c r="X773" s="33">
        <f t="shared" ref="X773:X838" si="24">SUM(R773:W773)</f>
        <v>2</v>
      </c>
      <c r="Y773" s="39">
        <v>44000</v>
      </c>
      <c r="Z773" s="25">
        <v>88000</v>
      </c>
      <c r="AA773" s="45" t="s">
        <v>136</v>
      </c>
      <c r="AB773" s="45" t="s">
        <v>177</v>
      </c>
      <c r="AC773" s="45"/>
      <c r="AD773" s="45"/>
      <c r="AE773" s="45"/>
    </row>
    <row r="774" spans="1:31" s="12" customFormat="1" ht="12">
      <c r="A774" s="27">
        <v>45618</v>
      </c>
      <c r="B774" s="28" t="s">
        <v>11</v>
      </c>
      <c r="C774" s="37" t="s">
        <v>136</v>
      </c>
      <c r="D774" s="34" t="s">
        <v>178</v>
      </c>
      <c r="E774" s="34" t="e">
        <f>IF(B774="","",VLOOKUP($B774,#REF!,4,FALSE))</f>
        <v>#REF!</v>
      </c>
      <c r="F774" s="34" t="e">
        <f>IF(E774="","",VLOOKUP($B774,#REF!,5,FALSE))</f>
        <v>#REF!</v>
      </c>
      <c r="G774" s="34" t="e">
        <f>IF(F774="","",VLOOKUP($B774,#REF!,6,FALSE))</f>
        <v>#REF!</v>
      </c>
      <c r="H774" s="34" t="e">
        <f>IF(G774="","",VLOOKUP($B774,#REF!,7,FALSE))</f>
        <v>#REF!</v>
      </c>
      <c r="I774" s="25"/>
      <c r="J774" s="25"/>
      <c r="K774" s="25"/>
      <c r="L774" s="25"/>
      <c r="M774" s="25"/>
      <c r="N774" s="25"/>
      <c r="O774" s="33">
        <f t="shared" ref="O774:O839" si="25">SUM(I774:N774)</f>
        <v>0</v>
      </c>
      <c r="P774" s="25"/>
      <c r="Q774" s="25">
        <v>0</v>
      </c>
      <c r="R774" s="25"/>
      <c r="S774" s="25"/>
      <c r="T774" s="25">
        <v>1</v>
      </c>
      <c r="U774" s="25"/>
      <c r="V774" s="39"/>
      <c r="W774" s="25"/>
      <c r="X774" s="33">
        <f t="shared" si="24"/>
        <v>1</v>
      </c>
      <c r="Y774" s="39">
        <v>44000</v>
      </c>
      <c r="Z774" s="25">
        <v>44000</v>
      </c>
      <c r="AA774" s="45" t="s">
        <v>136</v>
      </c>
      <c r="AB774" s="45" t="s">
        <v>178</v>
      </c>
      <c r="AC774" s="45"/>
      <c r="AD774" s="45"/>
      <c r="AE774" s="45"/>
    </row>
    <row r="775" spans="1:31" s="12" customFormat="1" ht="12">
      <c r="A775" s="27">
        <v>45618</v>
      </c>
      <c r="B775" s="28" t="s">
        <v>163</v>
      </c>
      <c r="C775" s="37" t="s">
        <v>135</v>
      </c>
      <c r="D775" s="34" t="s">
        <v>179</v>
      </c>
      <c r="E775" s="34" t="e">
        <f>IF(B775="","",VLOOKUP($B775,#REF!,4,FALSE))</f>
        <v>#REF!</v>
      </c>
      <c r="F775" s="34" t="e">
        <f>IF(E775="","",VLOOKUP($B775,#REF!,5,FALSE))</f>
        <v>#REF!</v>
      </c>
      <c r="G775" s="34" t="e">
        <f>IF(F775="","",VLOOKUP($B775,#REF!,6,FALSE))</f>
        <v>#REF!</v>
      </c>
      <c r="H775" s="34" t="e">
        <f>IF(G775="","",VLOOKUP($B775,#REF!,7,FALSE))</f>
        <v>#REF!</v>
      </c>
      <c r="I775" s="25"/>
      <c r="J775" s="25"/>
      <c r="K775" s="25"/>
      <c r="L775" s="25"/>
      <c r="M775" s="25"/>
      <c r="N775" s="25"/>
      <c r="O775" s="33">
        <f t="shared" si="25"/>
        <v>0</v>
      </c>
      <c r="P775" s="25"/>
      <c r="Q775" s="25">
        <v>0</v>
      </c>
      <c r="R775" s="25"/>
      <c r="S775" s="25"/>
      <c r="T775" s="25">
        <v>1</v>
      </c>
      <c r="U775" s="25"/>
      <c r="V775" s="39"/>
      <c r="W775" s="25"/>
      <c r="X775" s="33">
        <f t="shared" si="24"/>
        <v>1</v>
      </c>
      <c r="Y775" s="39">
        <v>46400</v>
      </c>
      <c r="Z775" s="25">
        <v>46400</v>
      </c>
      <c r="AA775" s="45" t="s">
        <v>135</v>
      </c>
      <c r="AB775" s="45" t="s">
        <v>179</v>
      </c>
      <c r="AC775" s="45"/>
      <c r="AD775" s="45"/>
      <c r="AE775" s="45"/>
    </row>
    <row r="776" spans="1:31" s="12" customFormat="1" ht="12">
      <c r="A776" s="27">
        <v>45618</v>
      </c>
      <c r="B776" s="28" t="s">
        <v>222</v>
      </c>
      <c r="C776" s="37" t="s">
        <v>87</v>
      </c>
      <c r="D776" s="34" t="s">
        <v>111</v>
      </c>
      <c r="E776" s="34" t="e">
        <f>IF(B776="","",VLOOKUP($B776,#REF!,4,FALSE))</f>
        <v>#REF!</v>
      </c>
      <c r="F776" s="34" t="e">
        <f>IF(E776="","",VLOOKUP($B776,#REF!,5,FALSE))</f>
        <v>#REF!</v>
      </c>
      <c r="G776" s="34" t="e">
        <f>IF(F776="","",VLOOKUP($B776,#REF!,6,FALSE))</f>
        <v>#REF!</v>
      </c>
      <c r="H776" s="34" t="e">
        <f>IF(G776="","",VLOOKUP($B776,#REF!,7,FALSE))</f>
        <v>#REF!</v>
      </c>
      <c r="I776" s="25"/>
      <c r="J776" s="25">
        <v>359</v>
      </c>
      <c r="K776" s="25"/>
      <c r="L776" s="25"/>
      <c r="M776" s="25"/>
      <c r="N776" s="25"/>
      <c r="O776" s="33">
        <f t="shared" si="25"/>
        <v>359</v>
      </c>
      <c r="P776" s="25"/>
      <c r="Q776" s="25">
        <v>0</v>
      </c>
      <c r="R776" s="25"/>
      <c r="S776" s="25"/>
      <c r="T776" s="25"/>
      <c r="U776" s="25"/>
      <c r="V776" s="39"/>
      <c r="W776" s="25"/>
      <c r="X776" s="33">
        <f t="shared" si="24"/>
        <v>0</v>
      </c>
      <c r="Y776" s="39"/>
      <c r="Z776" s="25">
        <v>0</v>
      </c>
      <c r="AA776" s="45"/>
      <c r="AB776" s="45"/>
      <c r="AC776" s="45"/>
      <c r="AD776" s="45"/>
      <c r="AE776" s="45"/>
    </row>
    <row r="777" spans="1:31" s="12" customFormat="1" ht="12">
      <c r="A777" s="27">
        <v>45618</v>
      </c>
      <c r="B777" s="29" t="s">
        <v>222</v>
      </c>
      <c r="C777" s="37" t="s">
        <v>130</v>
      </c>
      <c r="D777" s="34" t="s">
        <v>191</v>
      </c>
      <c r="E777" s="34" t="e">
        <f>IF(B777="","",VLOOKUP($B777,#REF!,4,FALSE))</f>
        <v>#REF!</v>
      </c>
      <c r="F777" s="34" t="e">
        <f>IF(E777="","",VLOOKUP($B777,#REF!,5,FALSE))</f>
        <v>#REF!</v>
      </c>
      <c r="G777" s="34" t="e">
        <f>IF(F777="","",VLOOKUP($B777,#REF!,6,FALSE))</f>
        <v>#REF!</v>
      </c>
      <c r="H777" s="34" t="e">
        <f>IF(G777="","",VLOOKUP($B777,#REF!,7,FALSE))</f>
        <v>#REF!</v>
      </c>
      <c r="I777" s="25"/>
      <c r="J777" s="25"/>
      <c r="K777" s="25"/>
      <c r="L777" s="25"/>
      <c r="M777" s="25"/>
      <c r="N777" s="25"/>
      <c r="O777" s="33">
        <f t="shared" si="25"/>
        <v>0</v>
      </c>
      <c r="P777" s="25"/>
      <c r="Q777" s="25">
        <v>0</v>
      </c>
      <c r="R777" s="25"/>
      <c r="S777" s="25">
        <v>359</v>
      </c>
      <c r="T777" s="25"/>
      <c r="U777" s="25"/>
      <c r="V777" s="39"/>
      <c r="W777" s="25"/>
      <c r="X777" s="33">
        <f t="shared" si="24"/>
        <v>359</v>
      </c>
      <c r="Y777" s="39">
        <v>10000</v>
      </c>
      <c r="Z777" s="25">
        <v>3590000</v>
      </c>
      <c r="AA777" s="45"/>
      <c r="AB777" s="45"/>
      <c r="AC777" s="45"/>
      <c r="AD777" s="45"/>
      <c r="AE777" s="45"/>
    </row>
    <row r="778" spans="1:31" s="12" customFormat="1" ht="12">
      <c r="A778" s="27">
        <v>45618</v>
      </c>
      <c r="B778" s="54" t="s">
        <v>223</v>
      </c>
      <c r="C778" s="37" t="s">
        <v>87</v>
      </c>
      <c r="D778" s="34" t="s">
        <v>111</v>
      </c>
      <c r="E778" s="34" t="e">
        <f>IF(B778="","",VLOOKUP($B778,#REF!,4,FALSE))</f>
        <v>#REF!</v>
      </c>
      <c r="F778" s="34" t="e">
        <f>IF(E778="","",VLOOKUP($B778,#REF!,5,FALSE))</f>
        <v>#REF!</v>
      </c>
      <c r="G778" s="34" t="e">
        <f>IF(F778="","",VLOOKUP($B778,#REF!,6,FALSE))</f>
        <v>#REF!</v>
      </c>
      <c r="H778" s="34" t="e">
        <f>IF(G778="","",VLOOKUP($B778,#REF!,7,FALSE))</f>
        <v>#REF!</v>
      </c>
      <c r="I778" s="25"/>
      <c r="J778" s="25">
        <v>35</v>
      </c>
      <c r="K778" s="25"/>
      <c r="L778" s="25"/>
      <c r="M778" s="25"/>
      <c r="N778" s="25"/>
      <c r="O778" s="33">
        <f t="shared" si="25"/>
        <v>35</v>
      </c>
      <c r="P778" s="25"/>
      <c r="Q778" s="25">
        <v>0</v>
      </c>
      <c r="R778" s="25"/>
      <c r="S778" s="25"/>
      <c r="T778" s="25"/>
      <c r="U778" s="25"/>
      <c r="V778" s="39"/>
      <c r="W778" s="25"/>
      <c r="X778" s="33">
        <f t="shared" si="24"/>
        <v>0</v>
      </c>
      <c r="Y778" s="39"/>
      <c r="Z778" s="25">
        <v>0</v>
      </c>
      <c r="AA778" s="45"/>
      <c r="AB778" s="45"/>
      <c r="AC778" s="45"/>
      <c r="AD778" s="45"/>
      <c r="AE778" s="45"/>
    </row>
    <row r="779" spans="1:31" s="12" customFormat="1" ht="12">
      <c r="A779" s="27">
        <v>45618</v>
      </c>
      <c r="B779" s="54" t="s">
        <v>223</v>
      </c>
      <c r="C779" s="37" t="s">
        <v>130</v>
      </c>
      <c r="D779" s="34" t="s">
        <v>191</v>
      </c>
      <c r="E779" s="34" t="e">
        <f>IF(B779="","",VLOOKUP($B779,#REF!,4,FALSE))</f>
        <v>#REF!</v>
      </c>
      <c r="F779" s="34" t="e">
        <f>IF(E779="","",VLOOKUP($B779,#REF!,5,FALSE))</f>
        <v>#REF!</v>
      </c>
      <c r="G779" s="34" t="e">
        <f>IF(F779="","",VLOOKUP($B779,#REF!,6,FALSE))</f>
        <v>#REF!</v>
      </c>
      <c r="H779" s="34" t="e">
        <f>IF(G779="","",VLOOKUP($B779,#REF!,7,FALSE))</f>
        <v>#REF!</v>
      </c>
      <c r="I779" s="25"/>
      <c r="J779" s="25"/>
      <c r="K779" s="25"/>
      <c r="L779" s="25"/>
      <c r="M779" s="25"/>
      <c r="N779" s="25"/>
      <c r="O779" s="33">
        <f t="shared" si="25"/>
        <v>0</v>
      </c>
      <c r="P779" s="25"/>
      <c r="Q779" s="25">
        <v>0</v>
      </c>
      <c r="R779" s="25"/>
      <c r="S779" s="25">
        <v>35</v>
      </c>
      <c r="T779" s="25"/>
      <c r="U779" s="25"/>
      <c r="V779" s="39"/>
      <c r="W779" s="25"/>
      <c r="X779" s="33">
        <f t="shared" si="24"/>
        <v>35</v>
      </c>
      <c r="Y779" s="39">
        <v>8000</v>
      </c>
      <c r="Z779" s="25">
        <v>280000</v>
      </c>
      <c r="AA779" s="45"/>
      <c r="AB779" s="45"/>
      <c r="AC779" s="45"/>
      <c r="AD779" s="45"/>
      <c r="AE779" s="45"/>
    </row>
    <row r="780" spans="1:31" s="12" customFormat="1" ht="12">
      <c r="A780" s="27">
        <v>45618</v>
      </c>
      <c r="B780" s="47" t="s">
        <v>164</v>
      </c>
      <c r="C780" s="37">
        <v>0</v>
      </c>
      <c r="D780" s="34" t="s">
        <v>187</v>
      </c>
      <c r="E780" s="34" t="e">
        <f>IF(B780="","",VLOOKUP($B780,#REF!,4,FALSE))</f>
        <v>#REF!</v>
      </c>
      <c r="F780" s="34" t="e">
        <f>IF(E780="","",VLOOKUP($B780,#REF!,5,FALSE))</f>
        <v>#REF!</v>
      </c>
      <c r="G780" s="34" t="e">
        <f>IF(F780="","",VLOOKUP($B780,#REF!,6,FALSE))</f>
        <v>#REF!</v>
      </c>
      <c r="H780" s="34" t="e">
        <f>IF(G780="","",VLOOKUP($B780,#REF!,7,FALSE))</f>
        <v>#REF!</v>
      </c>
      <c r="I780" s="25"/>
      <c r="J780" s="25"/>
      <c r="K780" s="25"/>
      <c r="L780" s="25">
        <v>589</v>
      </c>
      <c r="M780" s="25"/>
      <c r="N780" s="25"/>
      <c r="O780" s="33">
        <f t="shared" si="25"/>
        <v>589</v>
      </c>
      <c r="P780" s="25"/>
      <c r="Q780" s="25">
        <v>0</v>
      </c>
      <c r="R780" s="25"/>
      <c r="S780" s="25"/>
      <c r="T780" s="25"/>
      <c r="U780" s="25"/>
      <c r="V780" s="39"/>
      <c r="W780" s="25"/>
      <c r="X780" s="33">
        <f t="shared" si="24"/>
        <v>0</v>
      </c>
      <c r="Y780" s="39"/>
      <c r="Z780" s="25">
        <v>0</v>
      </c>
      <c r="AA780" s="45"/>
      <c r="AB780" s="45"/>
      <c r="AC780" s="45"/>
      <c r="AD780" s="45"/>
      <c r="AE780" s="45"/>
    </row>
    <row r="781" spans="1:31" s="12" customFormat="1" ht="12">
      <c r="A781" s="27">
        <v>45618</v>
      </c>
      <c r="B781" s="47" t="s">
        <v>211</v>
      </c>
      <c r="C781" s="37">
        <v>0</v>
      </c>
      <c r="D781" s="34" t="s">
        <v>187</v>
      </c>
      <c r="E781" s="34" t="e">
        <f>IF(B781="","",VLOOKUP($B781,#REF!,4,FALSE))</f>
        <v>#REF!</v>
      </c>
      <c r="F781" s="34" t="e">
        <f>IF(E781="","",VLOOKUP($B781,#REF!,5,FALSE))</f>
        <v>#REF!</v>
      </c>
      <c r="G781" s="34" t="e">
        <f>IF(F781="","",VLOOKUP($B781,#REF!,6,FALSE))</f>
        <v>#REF!</v>
      </c>
      <c r="H781" s="34" t="e">
        <f>IF(G781="","",VLOOKUP($B781,#REF!,7,FALSE))</f>
        <v>#REF!</v>
      </c>
      <c r="I781" s="25"/>
      <c r="J781" s="25"/>
      <c r="K781" s="25"/>
      <c r="L781" s="25">
        <v>304</v>
      </c>
      <c r="M781" s="25"/>
      <c r="N781" s="25"/>
      <c r="O781" s="33">
        <f t="shared" si="25"/>
        <v>304</v>
      </c>
      <c r="P781" s="25"/>
      <c r="Q781" s="25">
        <v>0</v>
      </c>
      <c r="R781" s="25"/>
      <c r="S781" s="25"/>
      <c r="T781" s="25"/>
      <c r="U781" s="25"/>
      <c r="V781" s="39"/>
      <c r="W781" s="25"/>
      <c r="X781" s="33">
        <f t="shared" si="24"/>
        <v>0</v>
      </c>
      <c r="Y781" s="39"/>
      <c r="Z781" s="25">
        <v>0</v>
      </c>
      <c r="AA781" s="45"/>
      <c r="AB781" s="45"/>
      <c r="AC781" s="45"/>
      <c r="AD781" s="45"/>
      <c r="AE781" s="45"/>
    </row>
    <row r="782" spans="1:31" s="12" customFormat="1" ht="12">
      <c r="A782" s="27">
        <v>45618</v>
      </c>
      <c r="B782" s="47" t="s">
        <v>26</v>
      </c>
      <c r="C782" s="37">
        <v>0</v>
      </c>
      <c r="D782" s="34" t="s">
        <v>187</v>
      </c>
      <c r="E782" s="34" t="e">
        <f>IF(B782="","",VLOOKUP($B782,#REF!,4,FALSE))</f>
        <v>#REF!</v>
      </c>
      <c r="F782" s="34" t="e">
        <f>IF(E782="","",VLOOKUP($B782,#REF!,5,FALSE))</f>
        <v>#REF!</v>
      </c>
      <c r="G782" s="34" t="e">
        <f>IF(F782="","",VLOOKUP($B782,#REF!,6,FALSE))</f>
        <v>#REF!</v>
      </c>
      <c r="H782" s="34" t="e">
        <f>IF(G782="","",VLOOKUP($B782,#REF!,7,FALSE))</f>
        <v>#REF!</v>
      </c>
      <c r="I782" s="25"/>
      <c r="J782" s="25"/>
      <c r="K782" s="25">
        <v>78</v>
      </c>
      <c r="L782" s="25"/>
      <c r="M782" s="25"/>
      <c r="N782" s="25"/>
      <c r="O782" s="33">
        <f t="shared" si="25"/>
        <v>78</v>
      </c>
      <c r="P782" s="25"/>
      <c r="Q782" s="25">
        <v>0</v>
      </c>
      <c r="R782" s="25"/>
      <c r="S782" s="25"/>
      <c r="T782" s="25"/>
      <c r="U782" s="25"/>
      <c r="V782" s="39"/>
      <c r="W782" s="25"/>
      <c r="X782" s="33">
        <f t="shared" si="24"/>
        <v>0</v>
      </c>
      <c r="Y782" s="39"/>
      <c r="Z782" s="25">
        <v>0</v>
      </c>
      <c r="AA782" s="45"/>
      <c r="AB782" s="45"/>
      <c r="AC782" s="45"/>
      <c r="AD782" s="45"/>
      <c r="AE782" s="45"/>
    </row>
    <row r="783" spans="1:31" s="12" customFormat="1" ht="12">
      <c r="A783" s="27">
        <v>45618</v>
      </c>
      <c r="B783" s="47" t="s">
        <v>57</v>
      </c>
      <c r="C783" s="37">
        <v>0</v>
      </c>
      <c r="D783" s="34" t="s">
        <v>187</v>
      </c>
      <c r="E783" s="34" t="e">
        <f>IF(B783="","",VLOOKUP($B783,#REF!,4,FALSE))</f>
        <v>#REF!</v>
      </c>
      <c r="F783" s="34" t="e">
        <f>IF(E783="","",VLOOKUP($B783,#REF!,5,FALSE))</f>
        <v>#REF!</v>
      </c>
      <c r="G783" s="34" t="e">
        <f>IF(F783="","",VLOOKUP($B783,#REF!,6,FALSE))</f>
        <v>#REF!</v>
      </c>
      <c r="H783" s="34" t="e">
        <f>IF(G783="","",VLOOKUP($B783,#REF!,7,FALSE))</f>
        <v>#REF!</v>
      </c>
      <c r="I783" s="25"/>
      <c r="J783" s="25"/>
      <c r="K783" s="25"/>
      <c r="L783" s="25">
        <v>123</v>
      </c>
      <c r="M783" s="25"/>
      <c r="N783" s="25"/>
      <c r="O783" s="33">
        <f t="shared" si="25"/>
        <v>123</v>
      </c>
      <c r="P783" s="25"/>
      <c r="Q783" s="25">
        <v>0</v>
      </c>
      <c r="R783" s="25"/>
      <c r="S783" s="25"/>
      <c r="T783" s="25"/>
      <c r="U783" s="25"/>
      <c r="V783" s="39"/>
      <c r="W783" s="25"/>
      <c r="X783" s="33">
        <f>SUM(R783:W783)</f>
        <v>0</v>
      </c>
      <c r="Y783" s="39"/>
      <c r="Z783" s="25">
        <v>0</v>
      </c>
      <c r="AA783" s="45"/>
      <c r="AB783" s="45"/>
      <c r="AC783" s="45"/>
      <c r="AD783" s="45"/>
      <c r="AE783" s="45"/>
    </row>
    <row r="784" spans="1:31" s="12" customFormat="1" ht="12">
      <c r="A784" s="27">
        <v>45618</v>
      </c>
      <c r="B784" s="47" t="s">
        <v>62</v>
      </c>
      <c r="C784" s="37">
        <v>0</v>
      </c>
      <c r="D784" s="34" t="s">
        <v>187</v>
      </c>
      <c r="E784" s="34" t="e">
        <f>IF(B784="","",VLOOKUP($B784,#REF!,4,FALSE))</f>
        <v>#REF!</v>
      </c>
      <c r="F784" s="34" t="e">
        <f>IF(E784="","",VLOOKUP($B784,#REF!,5,FALSE))</f>
        <v>#REF!</v>
      </c>
      <c r="G784" s="34" t="e">
        <f>IF(F784="","",VLOOKUP($B784,#REF!,6,FALSE))</f>
        <v>#REF!</v>
      </c>
      <c r="H784" s="34" t="e">
        <f>IF(G784="","",VLOOKUP($B784,#REF!,7,FALSE))</f>
        <v>#REF!</v>
      </c>
      <c r="I784" s="25"/>
      <c r="J784" s="25"/>
      <c r="K784" s="25">
        <v>35</v>
      </c>
      <c r="L784" s="25"/>
      <c r="M784" s="25"/>
      <c r="N784" s="25"/>
      <c r="O784" s="33">
        <f t="shared" si="25"/>
        <v>35</v>
      </c>
      <c r="P784" s="25"/>
      <c r="Q784" s="25">
        <v>0</v>
      </c>
      <c r="R784" s="25"/>
      <c r="S784" s="25"/>
      <c r="T784" s="25"/>
      <c r="U784" s="25"/>
      <c r="V784" s="39"/>
      <c r="W784" s="25"/>
      <c r="X784" s="33">
        <f t="shared" si="24"/>
        <v>0</v>
      </c>
      <c r="Y784" s="39"/>
      <c r="Z784" s="25">
        <v>0</v>
      </c>
      <c r="AA784" s="45"/>
      <c r="AB784" s="45"/>
      <c r="AC784" s="45"/>
      <c r="AD784" s="45"/>
      <c r="AE784" s="45"/>
    </row>
    <row r="785" spans="1:31" s="12" customFormat="1" ht="12">
      <c r="A785" s="27">
        <v>45618</v>
      </c>
      <c r="B785" s="53" t="s">
        <v>58</v>
      </c>
      <c r="C785" s="37">
        <v>0</v>
      </c>
      <c r="D785" s="34" t="s">
        <v>187</v>
      </c>
      <c r="E785" s="34" t="e">
        <f>IF(B785="","",VLOOKUP($B785,#REF!,4,FALSE))</f>
        <v>#REF!</v>
      </c>
      <c r="F785" s="34" t="e">
        <f>IF(E785="","",VLOOKUP($B785,#REF!,5,FALSE))</f>
        <v>#REF!</v>
      </c>
      <c r="G785" s="34" t="e">
        <f>IF(F785="","",VLOOKUP($B785,#REF!,6,FALSE))</f>
        <v>#REF!</v>
      </c>
      <c r="H785" s="34" t="e">
        <f>IF(G785="","",VLOOKUP($B785,#REF!,7,FALSE))</f>
        <v>#REF!</v>
      </c>
      <c r="I785" s="25"/>
      <c r="J785" s="25"/>
      <c r="K785" s="25"/>
      <c r="L785" s="25">
        <v>180</v>
      </c>
      <c r="M785" s="25"/>
      <c r="N785" s="25"/>
      <c r="O785" s="33">
        <f t="shared" si="25"/>
        <v>180</v>
      </c>
      <c r="P785" s="25"/>
      <c r="Q785" s="25">
        <v>0</v>
      </c>
      <c r="R785" s="25"/>
      <c r="S785" s="25"/>
      <c r="T785" s="25"/>
      <c r="U785" s="25"/>
      <c r="V785" s="39"/>
      <c r="W785" s="25"/>
      <c r="X785" s="33">
        <f t="shared" si="24"/>
        <v>0</v>
      </c>
      <c r="Y785" s="39"/>
      <c r="Z785" s="25">
        <v>0</v>
      </c>
      <c r="AA785" s="45"/>
      <c r="AB785" s="45"/>
      <c r="AC785" s="45"/>
      <c r="AD785" s="45"/>
      <c r="AE785" s="45"/>
    </row>
    <row r="786" spans="1:31" s="12" customFormat="1" ht="12">
      <c r="A786" s="27">
        <v>45618</v>
      </c>
      <c r="B786" s="53" t="s">
        <v>160</v>
      </c>
      <c r="C786" s="37">
        <v>0</v>
      </c>
      <c r="D786" s="34" t="s">
        <v>187</v>
      </c>
      <c r="E786" s="34" t="e">
        <f>IF(B786="","",VLOOKUP($B786,#REF!,4,FALSE))</f>
        <v>#REF!</v>
      </c>
      <c r="F786" s="34" t="e">
        <f>IF(E786="","",VLOOKUP($B786,#REF!,5,FALSE))</f>
        <v>#REF!</v>
      </c>
      <c r="G786" s="34" t="e">
        <f>IF(F786="","",VLOOKUP($B786,#REF!,6,FALSE))</f>
        <v>#REF!</v>
      </c>
      <c r="H786" s="34" t="e">
        <f>IF(G786="","",VLOOKUP($B786,#REF!,7,FALSE))</f>
        <v>#REF!</v>
      </c>
      <c r="I786" s="25"/>
      <c r="J786" s="25">
        <v>760</v>
      </c>
      <c r="K786" s="25"/>
      <c r="L786" s="25"/>
      <c r="M786" s="25"/>
      <c r="N786" s="25"/>
      <c r="O786" s="33">
        <f t="shared" si="25"/>
        <v>760</v>
      </c>
      <c r="P786" s="25"/>
      <c r="Q786" s="25">
        <v>0</v>
      </c>
      <c r="R786" s="25"/>
      <c r="S786" s="25"/>
      <c r="T786" s="25"/>
      <c r="U786" s="25"/>
      <c r="V786" s="39"/>
      <c r="W786" s="25"/>
      <c r="X786" s="33">
        <f t="shared" si="24"/>
        <v>0</v>
      </c>
      <c r="Y786" s="39"/>
      <c r="Z786" s="25">
        <v>0</v>
      </c>
      <c r="AA786" s="45"/>
      <c r="AB786" s="45"/>
      <c r="AC786" s="45"/>
      <c r="AD786" s="45"/>
      <c r="AE786" s="45"/>
    </row>
    <row r="787" spans="1:31" s="12" customFormat="1" ht="12">
      <c r="A787" s="27">
        <v>45618</v>
      </c>
      <c r="B787" s="53" t="s">
        <v>35</v>
      </c>
      <c r="C787" s="37">
        <v>0</v>
      </c>
      <c r="D787" s="34" t="s">
        <v>187</v>
      </c>
      <c r="E787" s="34" t="e">
        <f>IF(B787="","",VLOOKUP($B787,#REF!,4,FALSE))</f>
        <v>#REF!</v>
      </c>
      <c r="F787" s="34" t="e">
        <f>IF(E787="","",VLOOKUP($B787,#REF!,5,FALSE))</f>
        <v>#REF!</v>
      </c>
      <c r="G787" s="34" t="e">
        <f>IF(F787="","",VLOOKUP($B787,#REF!,6,FALSE))</f>
        <v>#REF!</v>
      </c>
      <c r="H787" s="34" t="e">
        <f>IF(G787="","",VLOOKUP($B787,#REF!,7,FALSE))</f>
        <v>#REF!</v>
      </c>
      <c r="I787" s="25">
        <v>571</v>
      </c>
      <c r="J787" s="25"/>
      <c r="K787" s="25"/>
      <c r="L787" s="25"/>
      <c r="M787" s="25"/>
      <c r="N787" s="25"/>
      <c r="O787" s="33">
        <f t="shared" si="25"/>
        <v>571</v>
      </c>
      <c r="P787" s="25"/>
      <c r="Q787" s="25">
        <v>0</v>
      </c>
      <c r="R787" s="25"/>
      <c r="S787" s="25"/>
      <c r="T787" s="25"/>
      <c r="U787" s="25"/>
      <c r="V787" s="39"/>
      <c r="W787" s="25"/>
      <c r="X787" s="33">
        <f t="shared" si="24"/>
        <v>0</v>
      </c>
      <c r="Y787" s="39"/>
      <c r="Z787" s="25">
        <v>0</v>
      </c>
      <c r="AA787" s="45"/>
      <c r="AB787" s="45"/>
      <c r="AC787" s="45"/>
      <c r="AD787" s="45"/>
      <c r="AE787" s="45"/>
    </row>
    <row r="788" spans="1:31" s="12" customFormat="1" ht="12">
      <c r="A788" s="27">
        <v>45619</v>
      </c>
      <c r="B788" s="73" t="s">
        <v>21</v>
      </c>
      <c r="C788" s="37" t="s">
        <v>82</v>
      </c>
      <c r="D788" s="34" t="s">
        <v>186</v>
      </c>
      <c r="E788" s="34" t="e">
        <f>IF(B788="","",VLOOKUP($B788,#REF!,4,FALSE))</f>
        <v>#REF!</v>
      </c>
      <c r="F788" s="34" t="e">
        <f>IF(E788="","",VLOOKUP($B788,#REF!,5,FALSE))</f>
        <v>#REF!</v>
      </c>
      <c r="G788" s="34" t="e">
        <f>IF(F788="","",VLOOKUP($B788,#REF!,6,FALSE))</f>
        <v>#REF!</v>
      </c>
      <c r="H788" s="34" t="e">
        <f>IF(G788="","",VLOOKUP($B788,#REF!,7,FALSE))</f>
        <v>#REF!</v>
      </c>
      <c r="I788" s="25"/>
      <c r="J788" s="25"/>
      <c r="K788" s="25"/>
      <c r="L788" s="25"/>
      <c r="M788" s="25"/>
      <c r="N788" s="25"/>
      <c r="O788" s="33">
        <f t="shared" si="25"/>
        <v>0</v>
      </c>
      <c r="P788" s="25"/>
      <c r="Q788" s="25">
        <v>0</v>
      </c>
      <c r="R788" s="25"/>
      <c r="S788" s="25"/>
      <c r="T788" s="25"/>
      <c r="U788" s="25"/>
      <c r="V788" s="39">
        <v>12</v>
      </c>
      <c r="W788" s="25"/>
      <c r="X788" s="33">
        <f t="shared" si="24"/>
        <v>12</v>
      </c>
      <c r="Y788" s="39">
        <v>80400</v>
      </c>
      <c r="Z788" s="25">
        <v>964800</v>
      </c>
      <c r="AA788" s="45"/>
      <c r="AB788" s="45"/>
      <c r="AC788" s="45"/>
      <c r="AD788" s="45"/>
      <c r="AE788" s="45"/>
    </row>
    <row r="789" spans="1:31" s="12" customFormat="1" ht="12">
      <c r="A789" s="27">
        <v>45620</v>
      </c>
      <c r="B789" s="53" t="s">
        <v>211</v>
      </c>
      <c r="C789" s="37" t="s">
        <v>82</v>
      </c>
      <c r="D789" s="34" t="s">
        <v>186</v>
      </c>
      <c r="E789" s="34" t="e">
        <f>IF(B789="","",VLOOKUP($B789,#REF!,4,FALSE))</f>
        <v>#REF!</v>
      </c>
      <c r="F789" s="34" t="e">
        <f>IF(E789="","",VLOOKUP($B789,#REF!,5,FALSE))</f>
        <v>#REF!</v>
      </c>
      <c r="G789" s="34" t="e">
        <f>IF(F789="","",VLOOKUP($B789,#REF!,6,FALSE))</f>
        <v>#REF!</v>
      </c>
      <c r="H789" s="34" t="e">
        <f>IF(G789="","",VLOOKUP($B789,#REF!,7,FALSE))</f>
        <v>#REF!</v>
      </c>
      <c r="I789" s="25"/>
      <c r="J789" s="25"/>
      <c r="K789" s="25"/>
      <c r="L789" s="25"/>
      <c r="M789" s="25"/>
      <c r="N789" s="25"/>
      <c r="O789" s="33">
        <f t="shared" si="25"/>
        <v>0</v>
      </c>
      <c r="P789" s="25"/>
      <c r="Q789" s="25">
        <v>0</v>
      </c>
      <c r="R789" s="25"/>
      <c r="S789" s="25"/>
      <c r="T789" s="25"/>
      <c r="U789" s="25"/>
      <c r="V789" s="39">
        <v>132</v>
      </c>
      <c r="W789" s="25"/>
      <c r="X789" s="33">
        <f t="shared" si="24"/>
        <v>132</v>
      </c>
      <c r="Y789" s="39">
        <v>46020</v>
      </c>
      <c r="Z789" s="25">
        <v>6074640</v>
      </c>
      <c r="AA789" s="45"/>
      <c r="AB789" s="45"/>
      <c r="AC789" s="45"/>
      <c r="AD789" s="45"/>
      <c r="AE789" s="45"/>
    </row>
    <row r="790" spans="1:31" s="12" customFormat="1" ht="12">
      <c r="A790" s="27">
        <v>45620</v>
      </c>
      <c r="B790" s="53" t="s">
        <v>24</v>
      </c>
      <c r="C790" s="37" t="s">
        <v>82</v>
      </c>
      <c r="D790" s="34" t="s">
        <v>186</v>
      </c>
      <c r="E790" s="34" t="e">
        <f>IF(B790="","",VLOOKUP($B790,#REF!,4,FALSE))</f>
        <v>#REF!</v>
      </c>
      <c r="F790" s="34" t="e">
        <f>IF(E790="","",VLOOKUP($B790,#REF!,5,FALSE))</f>
        <v>#REF!</v>
      </c>
      <c r="G790" s="34" t="e">
        <f>IF(F790="","",VLOOKUP($B790,#REF!,6,FALSE))</f>
        <v>#REF!</v>
      </c>
      <c r="H790" s="34" t="e">
        <f>IF(G790="","",VLOOKUP($B790,#REF!,7,FALSE))</f>
        <v>#REF!</v>
      </c>
      <c r="I790" s="25"/>
      <c r="J790" s="25"/>
      <c r="K790" s="25"/>
      <c r="L790" s="25"/>
      <c r="M790" s="25"/>
      <c r="N790" s="25"/>
      <c r="O790" s="33">
        <f t="shared" si="25"/>
        <v>0</v>
      </c>
      <c r="P790" s="25"/>
      <c r="Q790" s="25">
        <v>0</v>
      </c>
      <c r="R790" s="25"/>
      <c r="S790" s="25"/>
      <c r="T790" s="25"/>
      <c r="U790" s="25"/>
      <c r="V790" s="39">
        <v>192</v>
      </c>
      <c r="W790" s="25"/>
      <c r="X790" s="33">
        <f t="shared" si="24"/>
        <v>192</v>
      </c>
      <c r="Y790" s="39">
        <v>124920</v>
      </c>
      <c r="Z790" s="25">
        <v>23984640</v>
      </c>
      <c r="AA790" s="45"/>
      <c r="AB790" s="45"/>
      <c r="AC790" s="45"/>
      <c r="AD790" s="45"/>
      <c r="AE790" s="45"/>
    </row>
    <row r="791" spans="1:31" s="12" customFormat="1" ht="12">
      <c r="A791" s="27">
        <v>45620</v>
      </c>
      <c r="B791" s="56" t="s">
        <v>160</v>
      </c>
      <c r="C791" s="37" t="s">
        <v>82</v>
      </c>
      <c r="D791" s="34" t="s">
        <v>186</v>
      </c>
      <c r="E791" s="34" t="e">
        <f>IF(B791="","",VLOOKUP($B791,#REF!,4,FALSE))</f>
        <v>#REF!</v>
      </c>
      <c r="F791" s="34" t="e">
        <f>IF(E791="","",VLOOKUP($B791,#REF!,5,FALSE))</f>
        <v>#REF!</v>
      </c>
      <c r="G791" s="34" t="e">
        <f>IF(F791="","",VLOOKUP($B791,#REF!,6,FALSE))</f>
        <v>#REF!</v>
      </c>
      <c r="H791" s="34" t="e">
        <f>IF(G791="","",VLOOKUP($B791,#REF!,7,FALSE))</f>
        <v>#REF!</v>
      </c>
      <c r="I791" s="25"/>
      <c r="J791" s="25"/>
      <c r="K791" s="25"/>
      <c r="L791" s="25"/>
      <c r="M791" s="25"/>
      <c r="N791" s="25"/>
      <c r="O791" s="33">
        <f t="shared" si="25"/>
        <v>0</v>
      </c>
      <c r="P791" s="25"/>
      <c r="Q791" s="25">
        <v>0</v>
      </c>
      <c r="R791" s="25"/>
      <c r="S791" s="25"/>
      <c r="T791" s="25"/>
      <c r="U791" s="25"/>
      <c r="V791" s="39">
        <v>144</v>
      </c>
      <c r="W791" s="25"/>
      <c r="X791" s="33">
        <f t="shared" si="24"/>
        <v>144</v>
      </c>
      <c r="Y791" s="39">
        <v>100300</v>
      </c>
      <c r="Z791" s="25">
        <v>14443200</v>
      </c>
      <c r="AA791" s="45"/>
      <c r="AB791" s="45"/>
      <c r="AC791" s="45"/>
      <c r="AD791" s="45"/>
      <c r="AE791" s="45"/>
    </row>
    <row r="792" spans="1:31" s="12" customFormat="1" ht="12">
      <c r="A792" s="27">
        <v>45620</v>
      </c>
      <c r="B792" s="53" t="s">
        <v>211</v>
      </c>
      <c r="C792" s="37" t="s">
        <v>82</v>
      </c>
      <c r="D792" s="34" t="s">
        <v>186</v>
      </c>
      <c r="E792" s="34" t="e">
        <f>IF(B792="","",VLOOKUP($B792,#REF!,4,FALSE))</f>
        <v>#REF!</v>
      </c>
      <c r="F792" s="34" t="e">
        <f>IF(E792="","",VLOOKUP($B792,#REF!,5,FALSE))</f>
        <v>#REF!</v>
      </c>
      <c r="G792" s="34" t="e">
        <f>IF(F792="","",VLOOKUP($B792,#REF!,6,FALSE))</f>
        <v>#REF!</v>
      </c>
      <c r="H792" s="34" t="e">
        <f>IF(G792="","",VLOOKUP($B792,#REF!,7,FALSE))</f>
        <v>#REF!</v>
      </c>
      <c r="I792" s="25"/>
      <c r="J792" s="25"/>
      <c r="K792" s="25"/>
      <c r="L792" s="25"/>
      <c r="M792" s="25"/>
      <c r="N792" s="25"/>
      <c r="O792" s="33">
        <f t="shared" si="25"/>
        <v>0</v>
      </c>
      <c r="P792" s="25"/>
      <c r="Q792" s="25">
        <v>0</v>
      </c>
      <c r="R792" s="25"/>
      <c r="S792" s="25"/>
      <c r="T792" s="25"/>
      <c r="U792" s="25"/>
      <c r="V792" s="39">
        <v>192</v>
      </c>
      <c r="W792" s="25"/>
      <c r="X792" s="33">
        <f t="shared" si="24"/>
        <v>192</v>
      </c>
      <c r="Y792" s="39">
        <v>46020</v>
      </c>
      <c r="Z792" s="25">
        <v>8835840</v>
      </c>
      <c r="AA792" s="45"/>
      <c r="AB792" s="45"/>
      <c r="AC792" s="45"/>
      <c r="AD792" s="45"/>
      <c r="AE792" s="45"/>
    </row>
    <row r="793" spans="1:31" s="12" customFormat="1" ht="12">
      <c r="A793" s="27">
        <v>45620</v>
      </c>
      <c r="B793" s="53" t="s">
        <v>21</v>
      </c>
      <c r="C793" s="37" t="s">
        <v>82</v>
      </c>
      <c r="D793" s="34" t="s">
        <v>186</v>
      </c>
      <c r="E793" s="34" t="e">
        <f>IF(B793="","",VLOOKUP($B793,#REF!,4,FALSE))</f>
        <v>#REF!</v>
      </c>
      <c r="F793" s="34" t="e">
        <f>IF(E793="","",VLOOKUP($B793,#REF!,5,FALSE))</f>
        <v>#REF!</v>
      </c>
      <c r="G793" s="34" t="e">
        <f>IF(F793="","",VLOOKUP($B793,#REF!,6,FALSE))</f>
        <v>#REF!</v>
      </c>
      <c r="H793" s="34" t="e">
        <f>IF(G793="","",VLOOKUP($B793,#REF!,7,FALSE))</f>
        <v>#REF!</v>
      </c>
      <c r="I793" s="25"/>
      <c r="J793" s="25"/>
      <c r="K793" s="25"/>
      <c r="L793" s="25"/>
      <c r="M793" s="25"/>
      <c r="N793" s="25"/>
      <c r="O793" s="33">
        <f t="shared" si="25"/>
        <v>0</v>
      </c>
      <c r="P793" s="25"/>
      <c r="Q793" s="25">
        <v>0</v>
      </c>
      <c r="R793" s="25"/>
      <c r="S793" s="25"/>
      <c r="T793" s="25"/>
      <c r="U793" s="25"/>
      <c r="V793" s="39">
        <v>12</v>
      </c>
      <c r="W793" s="25"/>
      <c r="X793" s="33">
        <f t="shared" si="24"/>
        <v>12</v>
      </c>
      <c r="Y793" s="39">
        <v>81800</v>
      </c>
      <c r="Z793" s="25">
        <v>981600</v>
      </c>
      <c r="AA793" s="45"/>
      <c r="AB793" s="45"/>
      <c r="AC793" s="45"/>
      <c r="AD793" s="45"/>
      <c r="AE793" s="45"/>
    </row>
    <row r="794" spans="1:31" s="12" customFormat="1" ht="12">
      <c r="A794" s="27">
        <v>45620</v>
      </c>
      <c r="B794" s="53" t="s">
        <v>211</v>
      </c>
      <c r="C794" s="37" t="s">
        <v>82</v>
      </c>
      <c r="D794" s="34" t="s">
        <v>186</v>
      </c>
      <c r="E794" s="34" t="e">
        <f>IF(B794="","",VLOOKUP($B794,#REF!,4,FALSE))</f>
        <v>#REF!</v>
      </c>
      <c r="F794" s="34" t="e">
        <f>IF(E794="","",VLOOKUP($B794,#REF!,5,FALSE))</f>
        <v>#REF!</v>
      </c>
      <c r="G794" s="34" t="e">
        <f>IF(F794="","",VLOOKUP($B794,#REF!,6,FALSE))</f>
        <v>#REF!</v>
      </c>
      <c r="H794" s="34" t="e">
        <f>IF(G794="","",VLOOKUP($B794,#REF!,7,FALSE))</f>
        <v>#REF!</v>
      </c>
      <c r="I794" s="25"/>
      <c r="J794" s="25"/>
      <c r="K794" s="25"/>
      <c r="L794" s="25"/>
      <c r="M794" s="25"/>
      <c r="N794" s="25"/>
      <c r="O794" s="33">
        <f t="shared" si="25"/>
        <v>0</v>
      </c>
      <c r="P794" s="25"/>
      <c r="Q794" s="25">
        <v>0</v>
      </c>
      <c r="R794" s="25"/>
      <c r="S794" s="25"/>
      <c r="T794" s="25"/>
      <c r="U794" s="25"/>
      <c r="V794" s="39">
        <v>36</v>
      </c>
      <c r="W794" s="25"/>
      <c r="X794" s="33">
        <f t="shared" si="24"/>
        <v>36</v>
      </c>
      <c r="Y794" s="39">
        <v>46020</v>
      </c>
      <c r="Z794" s="25">
        <v>1656720</v>
      </c>
      <c r="AA794" s="45"/>
      <c r="AB794" s="45"/>
      <c r="AC794" s="45"/>
      <c r="AD794" s="45"/>
      <c r="AE794" s="45"/>
    </row>
    <row r="795" spans="1:31" s="12" customFormat="1" ht="12">
      <c r="A795" s="27">
        <v>45620</v>
      </c>
      <c r="B795" s="53" t="s">
        <v>57</v>
      </c>
      <c r="C795" s="37" t="s">
        <v>82</v>
      </c>
      <c r="D795" s="34" t="s">
        <v>186</v>
      </c>
      <c r="E795" s="34" t="e">
        <f>IF(B795="","",VLOOKUP($B795,#REF!,4,FALSE))</f>
        <v>#REF!</v>
      </c>
      <c r="F795" s="34" t="e">
        <f>IF(E795="","",VLOOKUP($B795,#REF!,5,FALSE))</f>
        <v>#REF!</v>
      </c>
      <c r="G795" s="34" t="e">
        <f>IF(F795="","",VLOOKUP($B795,#REF!,6,FALSE))</f>
        <v>#REF!</v>
      </c>
      <c r="H795" s="34" t="e">
        <f>IF(G795="","",VLOOKUP($B795,#REF!,7,FALSE))</f>
        <v>#REF!</v>
      </c>
      <c r="I795" s="25"/>
      <c r="J795" s="25"/>
      <c r="K795" s="25"/>
      <c r="L795" s="25"/>
      <c r="M795" s="25"/>
      <c r="N795" s="25"/>
      <c r="O795" s="33">
        <f t="shared" si="25"/>
        <v>0</v>
      </c>
      <c r="P795" s="25"/>
      <c r="Q795" s="25">
        <v>0</v>
      </c>
      <c r="R795" s="25"/>
      <c r="S795" s="25"/>
      <c r="T795" s="25"/>
      <c r="U795" s="25"/>
      <c r="V795" s="39">
        <v>64</v>
      </c>
      <c r="W795" s="25"/>
      <c r="X795" s="33">
        <f t="shared" si="24"/>
        <v>64</v>
      </c>
      <c r="Y795" s="39">
        <v>163800</v>
      </c>
      <c r="Z795" s="25">
        <v>10483200</v>
      </c>
      <c r="AA795" s="45"/>
      <c r="AB795" s="45"/>
      <c r="AC795" s="45"/>
      <c r="AD795" s="45"/>
      <c r="AE795" s="45"/>
    </row>
    <row r="796" spans="1:31" s="12" customFormat="1" ht="12">
      <c r="A796" s="27">
        <v>45621</v>
      </c>
      <c r="B796" s="53" t="s">
        <v>44</v>
      </c>
      <c r="C796" s="37" t="s">
        <v>82</v>
      </c>
      <c r="D796" s="34" t="s">
        <v>186</v>
      </c>
      <c r="E796" s="34" t="e">
        <f>IF(B796="","",VLOOKUP($B796,#REF!,4,FALSE))</f>
        <v>#REF!</v>
      </c>
      <c r="F796" s="34" t="e">
        <f>IF(E796="","",VLOOKUP($B796,#REF!,5,FALSE))</f>
        <v>#REF!</v>
      </c>
      <c r="G796" s="34" t="e">
        <f>IF(F796="","",VLOOKUP($B796,#REF!,6,FALSE))</f>
        <v>#REF!</v>
      </c>
      <c r="H796" s="34" t="e">
        <f>IF(G796="","",VLOOKUP($B796,#REF!,7,FALSE))</f>
        <v>#REF!</v>
      </c>
      <c r="I796" s="25"/>
      <c r="J796" s="25"/>
      <c r="K796" s="25"/>
      <c r="L796" s="25"/>
      <c r="M796" s="25"/>
      <c r="N796" s="25"/>
      <c r="O796" s="33">
        <f t="shared" si="25"/>
        <v>0</v>
      </c>
      <c r="P796" s="25"/>
      <c r="Q796" s="25">
        <v>0</v>
      </c>
      <c r="R796" s="25"/>
      <c r="S796" s="25"/>
      <c r="T796" s="25"/>
      <c r="U796" s="25"/>
      <c r="V796" s="39">
        <v>12</v>
      </c>
      <c r="W796" s="25"/>
      <c r="X796" s="33">
        <f t="shared" si="24"/>
        <v>12</v>
      </c>
      <c r="Y796" s="39">
        <v>171900</v>
      </c>
      <c r="Z796" s="25">
        <v>2062800</v>
      </c>
      <c r="AA796" s="45"/>
      <c r="AB796" s="45"/>
      <c r="AC796" s="45"/>
      <c r="AD796" s="45"/>
      <c r="AE796" s="45"/>
    </row>
    <row r="797" spans="1:31" s="12" customFormat="1" ht="12">
      <c r="A797" s="27">
        <v>45621</v>
      </c>
      <c r="B797" s="47" t="s">
        <v>24</v>
      </c>
      <c r="C797" s="37" t="s">
        <v>82</v>
      </c>
      <c r="D797" s="34" t="s">
        <v>186</v>
      </c>
      <c r="E797" s="34" t="e">
        <f>IF(B797="","",VLOOKUP($B797,#REF!,4,FALSE))</f>
        <v>#REF!</v>
      </c>
      <c r="F797" s="34" t="e">
        <f>IF(E797="","",VLOOKUP($B797,#REF!,5,FALSE))</f>
        <v>#REF!</v>
      </c>
      <c r="G797" s="34" t="e">
        <f>IF(F797="","",VLOOKUP($B797,#REF!,6,FALSE))</f>
        <v>#REF!</v>
      </c>
      <c r="H797" s="34" t="e">
        <f>IF(G797="","",VLOOKUP($B797,#REF!,7,FALSE))</f>
        <v>#REF!</v>
      </c>
      <c r="I797" s="25"/>
      <c r="J797" s="25"/>
      <c r="K797" s="25"/>
      <c r="L797" s="25"/>
      <c r="M797" s="25"/>
      <c r="N797" s="25"/>
      <c r="O797" s="33">
        <f t="shared" si="25"/>
        <v>0</v>
      </c>
      <c r="P797" s="25"/>
      <c r="Q797" s="25">
        <v>0</v>
      </c>
      <c r="R797" s="25"/>
      <c r="S797" s="25"/>
      <c r="T797" s="25"/>
      <c r="U797" s="25"/>
      <c r="V797" s="39">
        <v>168</v>
      </c>
      <c r="W797" s="25"/>
      <c r="X797" s="33">
        <f t="shared" si="24"/>
        <v>168</v>
      </c>
      <c r="Y797" s="39">
        <v>124920</v>
      </c>
      <c r="Z797" s="25">
        <v>20986560</v>
      </c>
      <c r="AA797" s="45"/>
      <c r="AB797" s="45"/>
      <c r="AC797" s="45"/>
      <c r="AD797" s="45"/>
      <c r="AE797" s="45"/>
    </row>
    <row r="798" spans="1:31" s="12" customFormat="1" ht="12">
      <c r="A798" s="27">
        <v>45621</v>
      </c>
      <c r="B798" s="53" t="s">
        <v>160</v>
      </c>
      <c r="C798" s="37" t="s">
        <v>82</v>
      </c>
      <c r="D798" s="34" t="s">
        <v>186</v>
      </c>
      <c r="E798" s="34" t="e">
        <f>IF(B798="","",VLOOKUP($B798,#REF!,4,FALSE))</f>
        <v>#REF!</v>
      </c>
      <c r="F798" s="34" t="e">
        <f>IF(E798="","",VLOOKUP($B798,#REF!,5,FALSE))</f>
        <v>#REF!</v>
      </c>
      <c r="G798" s="34" t="e">
        <f>IF(F798="","",VLOOKUP($B798,#REF!,6,FALSE))</f>
        <v>#REF!</v>
      </c>
      <c r="H798" s="34" t="e">
        <f>IF(G798="","",VLOOKUP($B798,#REF!,7,FALSE))</f>
        <v>#REF!</v>
      </c>
      <c r="I798" s="25"/>
      <c r="J798" s="25"/>
      <c r="K798" s="25"/>
      <c r="L798" s="25"/>
      <c r="M798" s="25"/>
      <c r="N798" s="25"/>
      <c r="O798" s="33">
        <f t="shared" si="25"/>
        <v>0</v>
      </c>
      <c r="P798" s="25"/>
      <c r="Q798" s="25">
        <v>0</v>
      </c>
      <c r="R798" s="25"/>
      <c r="S798" s="25"/>
      <c r="T798" s="25"/>
      <c r="U798" s="25"/>
      <c r="V798" s="39">
        <v>192</v>
      </c>
      <c r="W798" s="25"/>
      <c r="X798" s="33">
        <f t="shared" si="24"/>
        <v>192</v>
      </c>
      <c r="Y798" s="39">
        <v>100300</v>
      </c>
      <c r="Z798" s="25">
        <v>19257600</v>
      </c>
      <c r="AA798" s="45"/>
      <c r="AB798" s="45"/>
      <c r="AC798" s="45"/>
      <c r="AD798" s="45"/>
      <c r="AE798" s="45"/>
    </row>
    <row r="799" spans="1:31" s="12" customFormat="1" ht="12">
      <c r="A799" s="27">
        <v>45621</v>
      </c>
      <c r="B799" s="53" t="s">
        <v>160</v>
      </c>
      <c r="C799" s="37" t="s">
        <v>82</v>
      </c>
      <c r="D799" s="34" t="s">
        <v>186</v>
      </c>
      <c r="E799" s="34" t="e">
        <f>IF(B799="","",VLOOKUP($B799,#REF!,4,FALSE))</f>
        <v>#REF!</v>
      </c>
      <c r="F799" s="34" t="e">
        <f>IF(E799="","",VLOOKUP($B799,#REF!,5,FALSE))</f>
        <v>#REF!</v>
      </c>
      <c r="G799" s="34" t="e">
        <f>IF(F799="","",VLOOKUP($B799,#REF!,6,FALSE))</f>
        <v>#REF!</v>
      </c>
      <c r="H799" s="34" t="e">
        <f>IF(G799="","",VLOOKUP($B799,#REF!,7,FALSE))</f>
        <v>#REF!</v>
      </c>
      <c r="I799" s="25"/>
      <c r="J799" s="25"/>
      <c r="K799" s="25"/>
      <c r="L799" s="25"/>
      <c r="M799" s="25"/>
      <c r="N799" s="25"/>
      <c r="O799" s="33">
        <f t="shared" si="25"/>
        <v>0</v>
      </c>
      <c r="P799" s="25"/>
      <c r="Q799" s="25">
        <v>0</v>
      </c>
      <c r="R799" s="25"/>
      <c r="S799" s="38"/>
      <c r="T799" s="25"/>
      <c r="U799" s="25"/>
      <c r="V799" s="39">
        <v>24</v>
      </c>
      <c r="W799" s="25"/>
      <c r="X799" s="33">
        <f t="shared" si="24"/>
        <v>24</v>
      </c>
      <c r="Y799" s="39">
        <v>100300</v>
      </c>
      <c r="Z799" s="25">
        <v>2407200</v>
      </c>
      <c r="AA799" s="45"/>
      <c r="AB799" s="45"/>
      <c r="AC799" s="45"/>
      <c r="AD799" s="45"/>
      <c r="AE799" s="45"/>
    </row>
    <row r="800" spans="1:31" s="12" customFormat="1" ht="12">
      <c r="A800" s="27">
        <v>45621</v>
      </c>
      <c r="B800" s="53" t="s">
        <v>29</v>
      </c>
      <c r="C800" s="37" t="s">
        <v>148</v>
      </c>
      <c r="D800" s="34" t="s">
        <v>147</v>
      </c>
      <c r="E800" s="34" t="e">
        <f>IF(B800="","",VLOOKUP($B800,#REF!,4,FALSE))</f>
        <v>#REF!</v>
      </c>
      <c r="F800" s="34" t="e">
        <f>IF(E800="","",VLOOKUP($B800,#REF!,5,FALSE))</f>
        <v>#REF!</v>
      </c>
      <c r="G800" s="34" t="e">
        <f>IF(F800="","",VLOOKUP($B800,#REF!,6,FALSE))</f>
        <v>#REF!</v>
      </c>
      <c r="H800" s="34" t="e">
        <f>IF(G800="","",VLOOKUP($B800,#REF!,7,FALSE))</f>
        <v>#REF!</v>
      </c>
      <c r="I800" s="25"/>
      <c r="J800" s="25"/>
      <c r="K800" s="25"/>
      <c r="L800" s="25"/>
      <c r="M800" s="25"/>
      <c r="N800" s="25"/>
      <c r="O800" s="33">
        <f t="shared" si="25"/>
        <v>0</v>
      </c>
      <c r="P800" s="25"/>
      <c r="Q800" s="25">
        <v>0</v>
      </c>
      <c r="R800" s="25"/>
      <c r="S800" s="25"/>
      <c r="T800" s="25"/>
      <c r="U800" s="25">
        <v>600</v>
      </c>
      <c r="V800" s="39"/>
      <c r="W800" s="25"/>
      <c r="X800" s="33">
        <f t="shared" si="24"/>
        <v>600</v>
      </c>
      <c r="Y800" s="39">
        <f>Z800/X800</f>
        <v>11463.245000000001</v>
      </c>
      <c r="Z800" s="39">
        <v>6877947</v>
      </c>
      <c r="AA800" s="45" t="s">
        <v>154</v>
      </c>
      <c r="AB800" s="79" t="s">
        <v>148</v>
      </c>
      <c r="AC800" s="45" t="s">
        <v>208</v>
      </c>
      <c r="AD800" s="45"/>
      <c r="AE800" s="45"/>
    </row>
    <row r="801" spans="1:31" s="12" customFormat="1" ht="12">
      <c r="A801" s="27">
        <v>45621</v>
      </c>
      <c r="B801" s="47" t="s">
        <v>22</v>
      </c>
      <c r="C801" s="37" t="s">
        <v>148</v>
      </c>
      <c r="D801" s="34" t="s">
        <v>147</v>
      </c>
      <c r="E801" s="34" t="e">
        <f>IF(B801="","",VLOOKUP($B801,#REF!,4,FALSE))</f>
        <v>#REF!</v>
      </c>
      <c r="F801" s="34" t="e">
        <f>IF(E801="","",VLOOKUP($B801,#REF!,5,FALSE))</f>
        <v>#REF!</v>
      </c>
      <c r="G801" s="34" t="e">
        <f>IF(F801="","",VLOOKUP($B801,#REF!,6,FALSE))</f>
        <v>#REF!</v>
      </c>
      <c r="H801" s="34" t="e">
        <f>IF(G801="","",VLOOKUP($B801,#REF!,7,FALSE))</f>
        <v>#REF!</v>
      </c>
      <c r="I801" s="25"/>
      <c r="J801" s="25"/>
      <c r="K801" s="25"/>
      <c r="L801" s="25"/>
      <c r="M801" s="25"/>
      <c r="N801" s="25"/>
      <c r="O801" s="33">
        <f t="shared" si="25"/>
        <v>0</v>
      </c>
      <c r="P801" s="25"/>
      <c r="Q801" s="25">
        <v>0</v>
      </c>
      <c r="R801" s="25"/>
      <c r="S801" s="25"/>
      <c r="T801" s="25"/>
      <c r="U801" s="25">
        <v>250</v>
      </c>
      <c r="V801" s="39"/>
      <c r="W801" s="25"/>
      <c r="X801" s="33">
        <f t="shared" si="24"/>
        <v>250</v>
      </c>
      <c r="Y801" s="39">
        <f>Z801/X801</f>
        <v>10672.675999999999</v>
      </c>
      <c r="Z801" s="39">
        <v>2668169</v>
      </c>
      <c r="AA801" s="45" t="s">
        <v>154</v>
      </c>
      <c r="AB801" s="79" t="s">
        <v>148</v>
      </c>
      <c r="AC801" s="45" t="s">
        <v>147</v>
      </c>
      <c r="AD801" s="45"/>
      <c r="AE801" s="45"/>
    </row>
    <row r="802" spans="1:31" s="12" customFormat="1" ht="12">
      <c r="A802" s="27">
        <v>45621</v>
      </c>
      <c r="B802" s="53" t="s">
        <v>34</v>
      </c>
      <c r="C802" s="37" t="s">
        <v>148</v>
      </c>
      <c r="D802" s="34" t="s">
        <v>147</v>
      </c>
      <c r="E802" s="34" t="e">
        <f>IF(B802="","",VLOOKUP($B802,#REF!,4,FALSE))</f>
        <v>#REF!</v>
      </c>
      <c r="F802" s="34" t="e">
        <f>IF(E802="","",VLOOKUP($B802,#REF!,5,FALSE))</f>
        <v>#REF!</v>
      </c>
      <c r="G802" s="34" t="e">
        <f>IF(F802="","",VLOOKUP($B802,#REF!,6,FALSE))</f>
        <v>#REF!</v>
      </c>
      <c r="H802" s="34" t="e">
        <f>IF(G802="","",VLOOKUP($B802,#REF!,7,FALSE))</f>
        <v>#REF!</v>
      </c>
      <c r="I802" s="25"/>
      <c r="J802" s="25"/>
      <c r="K802" s="25"/>
      <c r="L802" s="25"/>
      <c r="M802" s="25"/>
      <c r="N802" s="25"/>
      <c r="O802" s="33">
        <f t="shared" si="25"/>
        <v>0</v>
      </c>
      <c r="P802" s="25"/>
      <c r="Q802" s="25">
        <v>0</v>
      </c>
      <c r="R802" s="25"/>
      <c r="S802" s="25"/>
      <c r="T802" s="25"/>
      <c r="U802" s="25">
        <v>120</v>
      </c>
      <c r="V802" s="39"/>
      <c r="W802" s="25"/>
      <c r="X802" s="33">
        <f t="shared" si="24"/>
        <v>120</v>
      </c>
      <c r="Y802" s="39">
        <f>Z802/X802</f>
        <v>24705.275000000001</v>
      </c>
      <c r="Z802" s="39">
        <v>2964633</v>
      </c>
      <c r="AA802" s="45" t="s">
        <v>154</v>
      </c>
      <c r="AB802" s="79" t="s">
        <v>148</v>
      </c>
      <c r="AC802" s="45" t="s">
        <v>147</v>
      </c>
      <c r="AD802" s="45"/>
      <c r="AE802" s="45"/>
    </row>
    <row r="803" spans="1:31" s="12" customFormat="1" ht="12">
      <c r="A803" s="27">
        <v>45621</v>
      </c>
      <c r="B803" s="53" t="s">
        <v>57</v>
      </c>
      <c r="C803" s="37" t="s">
        <v>82</v>
      </c>
      <c r="D803" s="34" t="s">
        <v>186</v>
      </c>
      <c r="E803" s="34" t="e">
        <f>IF(B803="","",VLOOKUP($B803,#REF!,4,FALSE))</f>
        <v>#REF!</v>
      </c>
      <c r="F803" s="34" t="e">
        <f>IF(E803="","",VLOOKUP($B803,#REF!,5,FALSE))</f>
        <v>#REF!</v>
      </c>
      <c r="G803" s="34" t="e">
        <f>IF(F803="","",VLOOKUP($B803,#REF!,6,FALSE))</f>
        <v>#REF!</v>
      </c>
      <c r="H803" s="34" t="e">
        <f>IF(G803="","",VLOOKUP($B803,#REF!,7,FALSE))</f>
        <v>#REF!</v>
      </c>
      <c r="I803" s="25"/>
      <c r="J803" s="25"/>
      <c r="K803" s="25"/>
      <c r="L803" s="25"/>
      <c r="M803" s="25"/>
      <c r="N803" s="25"/>
      <c r="O803" s="33">
        <f t="shared" si="25"/>
        <v>0</v>
      </c>
      <c r="P803" s="25"/>
      <c r="Q803" s="25">
        <v>0</v>
      </c>
      <c r="R803" s="25"/>
      <c r="S803" s="25"/>
      <c r="T803" s="25"/>
      <c r="U803" s="25">
        <v>13</v>
      </c>
      <c r="V803" s="39"/>
      <c r="W803" s="25"/>
      <c r="X803" s="33">
        <f t="shared" si="24"/>
        <v>13</v>
      </c>
      <c r="Y803" s="39"/>
      <c r="Z803" s="25">
        <v>0</v>
      </c>
      <c r="AA803" s="45"/>
      <c r="AB803" s="45"/>
      <c r="AC803" s="45"/>
      <c r="AD803" s="45"/>
      <c r="AE803" s="45"/>
    </row>
    <row r="804" spans="1:31" s="12" customFormat="1" ht="12">
      <c r="A804" s="27">
        <v>45621</v>
      </c>
      <c r="B804" s="53" t="s">
        <v>66</v>
      </c>
      <c r="C804" s="37" t="s">
        <v>84</v>
      </c>
      <c r="D804" s="34" t="s">
        <v>184</v>
      </c>
      <c r="E804" s="34" t="e">
        <f>IF(B804="","",VLOOKUP($B804,#REF!,4,FALSE))</f>
        <v>#REF!</v>
      </c>
      <c r="F804" s="34" t="e">
        <f>IF(E804="","",VLOOKUP($B804,#REF!,5,FALSE))</f>
        <v>#REF!</v>
      </c>
      <c r="G804" s="34" t="e">
        <f>IF(F804="","",VLOOKUP($B804,#REF!,6,FALSE))</f>
        <v>#REF!</v>
      </c>
      <c r="H804" s="34" t="e">
        <f>IF(G804="","",VLOOKUP($B804,#REF!,7,FALSE))</f>
        <v>#REF!</v>
      </c>
      <c r="I804" s="25"/>
      <c r="J804" s="25"/>
      <c r="K804" s="25">
        <v>1</v>
      </c>
      <c r="L804" s="25"/>
      <c r="M804" s="25"/>
      <c r="N804" s="25"/>
      <c r="O804" s="33">
        <f t="shared" si="25"/>
        <v>1</v>
      </c>
      <c r="P804" s="25"/>
      <c r="Q804" s="25">
        <v>0</v>
      </c>
      <c r="R804" s="25"/>
      <c r="S804" s="25"/>
      <c r="T804" s="25">
        <v>1</v>
      </c>
      <c r="U804" s="25"/>
      <c r="V804" s="39"/>
      <c r="W804" s="25"/>
      <c r="X804" s="33">
        <f t="shared" si="24"/>
        <v>1</v>
      </c>
      <c r="Y804" s="39">
        <v>116455</v>
      </c>
      <c r="Z804" s="25">
        <v>116455</v>
      </c>
      <c r="AA804" s="45" t="s">
        <v>246</v>
      </c>
      <c r="AB804" s="45"/>
      <c r="AC804" s="45"/>
      <c r="AD804" s="45"/>
      <c r="AE804" s="45"/>
    </row>
    <row r="805" spans="1:31" s="12" customFormat="1" ht="12">
      <c r="A805" s="27">
        <v>45621</v>
      </c>
      <c r="B805" s="47" t="s">
        <v>66</v>
      </c>
      <c r="C805" s="37" t="s">
        <v>84</v>
      </c>
      <c r="D805" s="34" t="s">
        <v>184</v>
      </c>
      <c r="E805" s="34" t="e">
        <f>IF(B805="","",VLOOKUP($B805,#REF!,4,FALSE))</f>
        <v>#REF!</v>
      </c>
      <c r="F805" s="34" t="e">
        <f>IF(E805="","",VLOOKUP($B805,#REF!,5,FALSE))</f>
        <v>#REF!</v>
      </c>
      <c r="G805" s="34" t="e">
        <f>IF(F805="","",VLOOKUP($B805,#REF!,6,FALSE))</f>
        <v>#REF!</v>
      </c>
      <c r="H805" s="34" t="e">
        <f>IF(G805="","",VLOOKUP($B805,#REF!,7,FALSE))</f>
        <v>#REF!</v>
      </c>
      <c r="I805" s="25"/>
      <c r="J805" s="25"/>
      <c r="K805" s="25">
        <v>3</v>
      </c>
      <c r="L805" s="25"/>
      <c r="M805" s="25"/>
      <c r="N805" s="25"/>
      <c r="O805" s="33">
        <f t="shared" si="25"/>
        <v>3</v>
      </c>
      <c r="P805" s="25"/>
      <c r="Q805" s="25">
        <v>0</v>
      </c>
      <c r="R805" s="25"/>
      <c r="S805" s="25"/>
      <c r="T805" s="25">
        <v>3</v>
      </c>
      <c r="U805" s="25"/>
      <c r="V805" s="39"/>
      <c r="W805" s="25"/>
      <c r="X805" s="33">
        <f t="shared" si="24"/>
        <v>3</v>
      </c>
      <c r="Y805" s="39">
        <v>116452</v>
      </c>
      <c r="Z805" s="25">
        <v>349364</v>
      </c>
      <c r="AA805" s="45" t="s">
        <v>246</v>
      </c>
      <c r="AB805" s="45"/>
      <c r="AC805" s="45"/>
      <c r="AD805" s="45"/>
      <c r="AE805" s="45"/>
    </row>
    <row r="806" spans="1:31" s="12" customFormat="1" ht="12">
      <c r="A806" s="27">
        <v>45621</v>
      </c>
      <c r="B806" s="47" t="s">
        <v>66</v>
      </c>
      <c r="C806" s="37" t="s">
        <v>84</v>
      </c>
      <c r="D806" s="34" t="s">
        <v>184</v>
      </c>
      <c r="E806" s="34" t="e">
        <f>IF(B806="","",VLOOKUP($B806,#REF!,4,FALSE))</f>
        <v>#REF!</v>
      </c>
      <c r="F806" s="34" t="e">
        <f>IF(E806="","",VLOOKUP($B806,#REF!,5,FALSE))</f>
        <v>#REF!</v>
      </c>
      <c r="G806" s="34" t="e">
        <f>IF(F806="","",VLOOKUP($B806,#REF!,6,FALSE))</f>
        <v>#REF!</v>
      </c>
      <c r="H806" s="34" t="e">
        <f>IF(G806="","",VLOOKUP($B806,#REF!,7,FALSE))</f>
        <v>#REF!</v>
      </c>
      <c r="I806" s="25"/>
      <c r="J806" s="25"/>
      <c r="K806" s="25">
        <v>1</v>
      </c>
      <c r="L806" s="25"/>
      <c r="M806" s="25"/>
      <c r="N806" s="25"/>
      <c r="O806" s="33">
        <f t="shared" si="25"/>
        <v>1</v>
      </c>
      <c r="P806" s="25"/>
      <c r="Q806" s="25">
        <v>0</v>
      </c>
      <c r="R806" s="25"/>
      <c r="S806" s="25"/>
      <c r="T806" s="25">
        <v>1</v>
      </c>
      <c r="U806" s="25"/>
      <c r="V806" s="39"/>
      <c r="W806" s="25"/>
      <c r="X806" s="33">
        <f t="shared" si="24"/>
        <v>1</v>
      </c>
      <c r="Y806" s="39">
        <v>116455</v>
      </c>
      <c r="Z806" s="25">
        <v>116455</v>
      </c>
      <c r="AA806" s="55" t="s">
        <v>280</v>
      </c>
      <c r="AB806" s="45"/>
      <c r="AC806" s="45"/>
      <c r="AD806" s="45"/>
      <c r="AE806" s="45"/>
    </row>
    <row r="807" spans="1:31" s="12" customFormat="1" ht="12">
      <c r="A807" s="27">
        <v>45621</v>
      </c>
      <c r="B807" s="53" t="s">
        <v>66</v>
      </c>
      <c r="C807" s="37" t="s">
        <v>84</v>
      </c>
      <c r="D807" s="34" t="s">
        <v>184</v>
      </c>
      <c r="E807" s="34" t="e">
        <f>IF(B807="","",VLOOKUP($B807,#REF!,4,FALSE))</f>
        <v>#REF!</v>
      </c>
      <c r="F807" s="34" t="e">
        <f>IF(E807="","",VLOOKUP($B807,#REF!,5,FALSE))</f>
        <v>#REF!</v>
      </c>
      <c r="G807" s="34" t="e">
        <f>IF(F807="","",VLOOKUP($B807,#REF!,6,FALSE))</f>
        <v>#REF!</v>
      </c>
      <c r="H807" s="34" t="e">
        <f>IF(G807="","",VLOOKUP($B807,#REF!,7,FALSE))</f>
        <v>#REF!</v>
      </c>
      <c r="I807" s="25"/>
      <c r="J807" s="25"/>
      <c r="K807" s="25">
        <v>8</v>
      </c>
      <c r="L807" s="25"/>
      <c r="M807" s="25"/>
      <c r="N807" s="25"/>
      <c r="O807" s="33">
        <f t="shared" si="25"/>
        <v>8</v>
      </c>
      <c r="P807" s="25"/>
      <c r="Q807" s="25">
        <v>0</v>
      </c>
      <c r="R807" s="25"/>
      <c r="S807" s="25"/>
      <c r="T807" s="25">
        <v>8</v>
      </c>
      <c r="U807" s="25"/>
      <c r="V807" s="39"/>
      <c r="W807" s="25"/>
      <c r="X807" s="33">
        <f t="shared" si="24"/>
        <v>8</v>
      </c>
      <c r="Y807" s="39">
        <v>116452</v>
      </c>
      <c r="Z807" s="25">
        <v>931636</v>
      </c>
      <c r="AA807" s="55" t="s">
        <v>281</v>
      </c>
      <c r="AB807" s="45"/>
      <c r="AC807" s="45"/>
      <c r="AD807" s="45"/>
      <c r="AE807" s="45"/>
    </row>
    <row r="808" spans="1:31" s="12" customFormat="1" ht="12">
      <c r="A808" s="27">
        <v>45621</v>
      </c>
      <c r="B808" s="53" t="s">
        <v>163</v>
      </c>
      <c r="C808" s="37">
        <v>0</v>
      </c>
      <c r="D808" s="34" t="s">
        <v>183</v>
      </c>
      <c r="E808" s="34" t="e">
        <f>IF(B808="","",VLOOKUP($B808,#REF!,4,FALSE))</f>
        <v>#REF!</v>
      </c>
      <c r="F808" s="34" t="e">
        <f>IF(E808="","",VLOOKUP($B808,#REF!,5,FALSE))</f>
        <v>#REF!</v>
      </c>
      <c r="G808" s="34" t="e">
        <f>IF(F808="","",VLOOKUP($B808,#REF!,6,FALSE))</f>
        <v>#REF!</v>
      </c>
      <c r="H808" s="34" t="e">
        <f>IF(G808="","",VLOOKUP($B808,#REF!,7,FALSE))</f>
        <v>#REF!</v>
      </c>
      <c r="I808" s="25"/>
      <c r="J808" s="25"/>
      <c r="K808" s="25"/>
      <c r="L808" s="25"/>
      <c r="M808" s="25"/>
      <c r="N808" s="25"/>
      <c r="O808" s="33">
        <f t="shared" si="25"/>
        <v>0</v>
      </c>
      <c r="P808" s="25"/>
      <c r="Q808" s="25">
        <v>0</v>
      </c>
      <c r="R808" s="25"/>
      <c r="S808" s="25"/>
      <c r="T808" s="25">
        <v>3</v>
      </c>
      <c r="U808" s="25"/>
      <c r="V808" s="39"/>
      <c r="W808" s="25"/>
      <c r="X808" s="33">
        <f t="shared" si="24"/>
        <v>3</v>
      </c>
      <c r="Y808" s="39"/>
      <c r="Z808" s="25">
        <v>0</v>
      </c>
      <c r="AA808" s="45"/>
      <c r="AB808" s="45"/>
      <c r="AC808" s="45"/>
      <c r="AD808" s="45"/>
      <c r="AE808" s="45"/>
    </row>
    <row r="809" spans="1:31" s="12" customFormat="1" ht="12">
      <c r="A809" s="27">
        <v>45621</v>
      </c>
      <c r="B809" s="47" t="s">
        <v>33</v>
      </c>
      <c r="C809" s="37" t="s">
        <v>84</v>
      </c>
      <c r="D809" s="34" t="s">
        <v>184</v>
      </c>
      <c r="E809" s="34" t="e">
        <f>IF(B809="","",VLOOKUP($B809,#REF!,4,FALSE))</f>
        <v>#REF!</v>
      </c>
      <c r="F809" s="34" t="e">
        <f>IF(E809="","",VLOOKUP($B809,#REF!,5,FALSE))</f>
        <v>#REF!</v>
      </c>
      <c r="G809" s="34" t="e">
        <f>IF(F809="","",VLOOKUP($B809,#REF!,6,FALSE))</f>
        <v>#REF!</v>
      </c>
      <c r="H809" s="34" t="e">
        <f>IF(G809="","",VLOOKUP($B809,#REF!,7,FALSE))</f>
        <v>#REF!</v>
      </c>
      <c r="I809" s="25"/>
      <c r="J809" s="25"/>
      <c r="K809" s="25">
        <v>3</v>
      </c>
      <c r="L809" s="25"/>
      <c r="M809" s="25"/>
      <c r="N809" s="25"/>
      <c r="O809" s="33">
        <f t="shared" si="25"/>
        <v>3</v>
      </c>
      <c r="P809" s="25"/>
      <c r="Q809" s="25">
        <v>0</v>
      </c>
      <c r="R809" s="25"/>
      <c r="S809" s="25"/>
      <c r="T809" s="25">
        <v>3</v>
      </c>
      <c r="U809" s="25"/>
      <c r="V809" s="39"/>
      <c r="W809" s="25"/>
      <c r="X809" s="33">
        <f t="shared" si="24"/>
        <v>3</v>
      </c>
      <c r="Y809" s="39">
        <v>51360</v>
      </c>
      <c r="Z809" s="25">
        <v>154091</v>
      </c>
      <c r="AA809" s="55" t="s">
        <v>281</v>
      </c>
      <c r="AB809" s="45"/>
      <c r="AC809" s="45"/>
      <c r="AD809" s="45"/>
      <c r="AE809" s="45"/>
    </row>
    <row r="810" spans="1:31" s="12" customFormat="1" ht="12">
      <c r="A810" s="27">
        <v>45621</v>
      </c>
      <c r="B810" s="53" t="s">
        <v>15</v>
      </c>
      <c r="C810" s="37" t="s">
        <v>83</v>
      </c>
      <c r="D810" s="34" t="s">
        <v>185</v>
      </c>
      <c r="E810" s="34" t="e">
        <f>IF(B810="","",VLOOKUP($B810,#REF!,4,FALSE))</f>
        <v>#REF!</v>
      </c>
      <c r="F810" s="34" t="e">
        <f>IF(E810="","",VLOOKUP($B810,#REF!,5,FALSE))</f>
        <v>#REF!</v>
      </c>
      <c r="G810" s="34" t="e">
        <f>IF(F810="","",VLOOKUP($B810,#REF!,6,FALSE))</f>
        <v>#REF!</v>
      </c>
      <c r="H810" s="34" t="e">
        <f>IF(G810="","",VLOOKUP($B810,#REF!,7,FALSE))</f>
        <v>#REF!</v>
      </c>
      <c r="I810" s="25"/>
      <c r="J810" s="25"/>
      <c r="K810" s="25"/>
      <c r="L810" s="25"/>
      <c r="M810" s="25"/>
      <c r="N810" s="25"/>
      <c r="O810" s="33">
        <f t="shared" si="25"/>
        <v>0</v>
      </c>
      <c r="P810" s="25"/>
      <c r="Q810" s="25">
        <v>0</v>
      </c>
      <c r="R810" s="25"/>
      <c r="S810" s="25"/>
      <c r="T810" s="25">
        <v>1</v>
      </c>
      <c r="U810" s="25"/>
      <c r="V810" s="39"/>
      <c r="W810" s="25"/>
      <c r="X810" s="33">
        <f t="shared" si="24"/>
        <v>1</v>
      </c>
      <c r="Y810" s="39">
        <v>69600</v>
      </c>
      <c r="Z810" s="25">
        <v>69600</v>
      </c>
      <c r="AA810" s="45"/>
      <c r="AB810" s="45"/>
      <c r="AC810" s="45"/>
      <c r="AD810" s="45"/>
      <c r="AE810" s="45"/>
    </row>
    <row r="811" spans="1:31" s="12" customFormat="1" ht="12">
      <c r="A811" s="27">
        <v>45621</v>
      </c>
      <c r="B811" s="54" t="s">
        <v>10</v>
      </c>
      <c r="C811" s="37" t="s">
        <v>83</v>
      </c>
      <c r="D811" s="34" t="s">
        <v>185</v>
      </c>
      <c r="E811" s="34" t="e">
        <f>IF(B811="","",VLOOKUP($B811,#REF!,4,FALSE))</f>
        <v>#REF!</v>
      </c>
      <c r="F811" s="34" t="e">
        <f>IF(E811="","",VLOOKUP($B811,#REF!,5,FALSE))</f>
        <v>#REF!</v>
      </c>
      <c r="G811" s="34" t="e">
        <f>IF(F811="","",VLOOKUP($B811,#REF!,6,FALSE))</f>
        <v>#REF!</v>
      </c>
      <c r="H811" s="34" t="e">
        <f>IF(G811="","",VLOOKUP($B811,#REF!,7,FALSE))</f>
        <v>#REF!</v>
      </c>
      <c r="I811" s="25"/>
      <c r="J811" s="25"/>
      <c r="K811" s="25"/>
      <c r="L811" s="25"/>
      <c r="M811" s="25"/>
      <c r="N811" s="25"/>
      <c r="O811" s="33">
        <f t="shared" si="25"/>
        <v>0</v>
      </c>
      <c r="P811" s="25"/>
      <c r="Q811" s="25">
        <v>0</v>
      </c>
      <c r="R811" s="25"/>
      <c r="S811" s="25"/>
      <c r="T811" s="25">
        <v>2</v>
      </c>
      <c r="U811" s="25"/>
      <c r="V811" s="39"/>
      <c r="W811" s="25"/>
      <c r="X811" s="33">
        <f t="shared" si="24"/>
        <v>2</v>
      </c>
      <c r="Y811" s="39">
        <v>57000</v>
      </c>
      <c r="Z811" s="25">
        <v>114000</v>
      </c>
      <c r="AA811" s="45"/>
      <c r="AB811" s="45"/>
      <c r="AC811" s="45"/>
      <c r="AD811" s="45"/>
      <c r="AE811" s="45"/>
    </row>
    <row r="812" spans="1:31" s="12" customFormat="1" ht="12">
      <c r="A812" s="27">
        <v>45621</v>
      </c>
      <c r="B812" s="54" t="s">
        <v>25</v>
      </c>
      <c r="C812" s="37" t="s">
        <v>83</v>
      </c>
      <c r="D812" s="34" t="s">
        <v>185</v>
      </c>
      <c r="E812" s="34" t="e">
        <f>IF(B812="","",VLOOKUP($B812,#REF!,4,FALSE))</f>
        <v>#REF!</v>
      </c>
      <c r="F812" s="34" t="e">
        <f>IF(E812="","",VLOOKUP($B812,#REF!,5,FALSE))</f>
        <v>#REF!</v>
      </c>
      <c r="G812" s="34" t="e">
        <f>IF(F812="","",VLOOKUP($B812,#REF!,6,FALSE))</f>
        <v>#REF!</v>
      </c>
      <c r="H812" s="34" t="e">
        <f>IF(G812="","",VLOOKUP($B812,#REF!,7,FALSE))</f>
        <v>#REF!</v>
      </c>
      <c r="I812" s="25"/>
      <c r="J812" s="25"/>
      <c r="K812" s="25"/>
      <c r="L812" s="25"/>
      <c r="M812" s="25"/>
      <c r="N812" s="25"/>
      <c r="O812" s="33">
        <f t="shared" si="25"/>
        <v>0</v>
      </c>
      <c r="P812" s="25"/>
      <c r="Q812" s="25">
        <v>0</v>
      </c>
      <c r="R812" s="25"/>
      <c r="S812" s="25"/>
      <c r="T812" s="25">
        <v>4</v>
      </c>
      <c r="U812" s="25"/>
      <c r="V812" s="39"/>
      <c r="W812" s="25"/>
      <c r="X812" s="33">
        <f t="shared" si="24"/>
        <v>4</v>
      </c>
      <c r="Y812" s="39">
        <v>57000</v>
      </c>
      <c r="Z812" s="25">
        <v>228000</v>
      </c>
      <c r="AA812" s="45"/>
      <c r="AB812" s="45"/>
      <c r="AC812" s="45"/>
      <c r="AD812" s="45"/>
      <c r="AE812" s="45"/>
    </row>
    <row r="813" spans="1:31" s="12" customFormat="1" ht="12">
      <c r="A813" s="27">
        <v>45621</v>
      </c>
      <c r="B813" s="54" t="s">
        <v>38</v>
      </c>
      <c r="C813" s="37" t="s">
        <v>83</v>
      </c>
      <c r="D813" s="34" t="s">
        <v>185</v>
      </c>
      <c r="E813" s="34" t="e">
        <f>IF(B813="","",VLOOKUP($B813,#REF!,4,FALSE))</f>
        <v>#REF!</v>
      </c>
      <c r="F813" s="34" t="e">
        <f>IF(E813="","",VLOOKUP($B813,#REF!,5,FALSE))</f>
        <v>#REF!</v>
      </c>
      <c r="G813" s="34" t="e">
        <f>IF(F813="","",VLOOKUP($B813,#REF!,6,FALSE))</f>
        <v>#REF!</v>
      </c>
      <c r="H813" s="34" t="e">
        <f>IF(G813="","",VLOOKUP($B813,#REF!,7,FALSE))</f>
        <v>#REF!</v>
      </c>
      <c r="I813" s="25"/>
      <c r="J813" s="25"/>
      <c r="K813" s="25"/>
      <c r="L813" s="25"/>
      <c r="M813" s="25"/>
      <c r="N813" s="25"/>
      <c r="O813" s="33">
        <f t="shared" si="25"/>
        <v>0</v>
      </c>
      <c r="P813" s="25"/>
      <c r="Q813" s="25">
        <v>0</v>
      </c>
      <c r="R813" s="25"/>
      <c r="S813" s="25"/>
      <c r="T813" s="25">
        <v>19</v>
      </c>
      <c r="U813" s="25"/>
      <c r="V813" s="39"/>
      <c r="W813" s="25"/>
      <c r="X813" s="33">
        <f t="shared" si="24"/>
        <v>19</v>
      </c>
      <c r="Y813" s="39">
        <v>54600</v>
      </c>
      <c r="Z813" s="25">
        <v>1037400</v>
      </c>
      <c r="AA813" s="45"/>
      <c r="AB813" s="45"/>
      <c r="AC813" s="45"/>
      <c r="AD813" s="45"/>
      <c r="AE813" s="45"/>
    </row>
    <row r="814" spans="1:31" s="12" customFormat="1" ht="12">
      <c r="A814" s="27">
        <v>45621</v>
      </c>
      <c r="B814" s="54" t="s">
        <v>61</v>
      </c>
      <c r="C814" s="37" t="s">
        <v>83</v>
      </c>
      <c r="D814" s="34" t="s">
        <v>185</v>
      </c>
      <c r="E814" s="34" t="e">
        <f>IF(B814="","",VLOOKUP($B814,#REF!,4,FALSE))</f>
        <v>#REF!</v>
      </c>
      <c r="F814" s="34" t="e">
        <f>IF(E814="","",VLOOKUP($B814,#REF!,5,FALSE))</f>
        <v>#REF!</v>
      </c>
      <c r="G814" s="34" t="e">
        <f>IF(F814="","",VLOOKUP($B814,#REF!,6,FALSE))</f>
        <v>#REF!</v>
      </c>
      <c r="H814" s="34" t="e">
        <f>IF(G814="","",VLOOKUP($B814,#REF!,7,FALSE))</f>
        <v>#REF!</v>
      </c>
      <c r="I814" s="25"/>
      <c r="J814" s="25"/>
      <c r="K814" s="25"/>
      <c r="L814" s="25"/>
      <c r="M814" s="25"/>
      <c r="N814" s="25"/>
      <c r="O814" s="33">
        <f t="shared" si="25"/>
        <v>0</v>
      </c>
      <c r="P814" s="25"/>
      <c r="Q814" s="25">
        <v>0</v>
      </c>
      <c r="R814" s="25"/>
      <c r="S814" s="25"/>
      <c r="T814" s="25">
        <v>7</v>
      </c>
      <c r="U814" s="25"/>
      <c r="V814" s="39"/>
      <c r="W814" s="25"/>
      <c r="X814" s="33">
        <f t="shared" si="24"/>
        <v>7</v>
      </c>
      <c r="Y814" s="39">
        <v>67500</v>
      </c>
      <c r="Z814" s="25">
        <v>472500</v>
      </c>
      <c r="AA814" s="45"/>
      <c r="AB814" s="45"/>
      <c r="AC814" s="45"/>
      <c r="AD814" s="45"/>
      <c r="AE814" s="45"/>
    </row>
    <row r="815" spans="1:31" s="12" customFormat="1" ht="12">
      <c r="A815" s="27">
        <v>45621</v>
      </c>
      <c r="B815" s="53" t="s">
        <v>26</v>
      </c>
      <c r="C815" s="37" t="s">
        <v>83</v>
      </c>
      <c r="D815" s="34" t="s">
        <v>185</v>
      </c>
      <c r="E815" s="34" t="e">
        <f>IF(B815="","",VLOOKUP($B815,#REF!,4,FALSE))</f>
        <v>#REF!</v>
      </c>
      <c r="F815" s="34" t="e">
        <f>IF(E815="","",VLOOKUP($B815,#REF!,5,FALSE))</f>
        <v>#REF!</v>
      </c>
      <c r="G815" s="34" t="e">
        <f>IF(F815="","",VLOOKUP($B815,#REF!,6,FALSE))</f>
        <v>#REF!</v>
      </c>
      <c r="H815" s="34" t="e">
        <f>IF(G815="","",VLOOKUP($B815,#REF!,7,FALSE))</f>
        <v>#REF!</v>
      </c>
      <c r="I815" s="25"/>
      <c r="J815" s="25"/>
      <c r="K815" s="25"/>
      <c r="L815" s="25"/>
      <c r="M815" s="25"/>
      <c r="N815" s="25"/>
      <c r="O815" s="33">
        <f t="shared" si="25"/>
        <v>0</v>
      </c>
      <c r="P815" s="25"/>
      <c r="Q815" s="25">
        <v>0</v>
      </c>
      <c r="R815" s="25"/>
      <c r="S815" s="25"/>
      <c r="T815" s="25">
        <v>14</v>
      </c>
      <c r="U815" s="25"/>
      <c r="V815" s="39"/>
      <c r="W815" s="25"/>
      <c r="X815" s="33">
        <f t="shared" si="24"/>
        <v>14</v>
      </c>
      <c r="Y815" s="39">
        <v>23200</v>
      </c>
      <c r="Z815" s="25">
        <v>324800</v>
      </c>
      <c r="AA815" s="45"/>
      <c r="AB815" s="45"/>
      <c r="AC815" s="45"/>
      <c r="AD815" s="45"/>
      <c r="AE815" s="45"/>
    </row>
    <row r="816" spans="1:31" s="12" customFormat="1" ht="12">
      <c r="A816" s="27">
        <v>45621</v>
      </c>
      <c r="B816" s="53" t="s">
        <v>8</v>
      </c>
      <c r="C816" s="37" t="s">
        <v>83</v>
      </c>
      <c r="D816" s="34" t="s">
        <v>185</v>
      </c>
      <c r="E816" s="34" t="e">
        <f>IF(B816="","",VLOOKUP($B816,#REF!,4,FALSE))</f>
        <v>#REF!</v>
      </c>
      <c r="F816" s="34" t="e">
        <f>IF(E816="","",VLOOKUP($B816,#REF!,5,FALSE))</f>
        <v>#REF!</v>
      </c>
      <c r="G816" s="34" t="e">
        <f>IF(F816="","",VLOOKUP($B816,#REF!,6,FALSE))</f>
        <v>#REF!</v>
      </c>
      <c r="H816" s="34" t="e">
        <f>IF(G816="","",VLOOKUP($B816,#REF!,7,FALSE))</f>
        <v>#REF!</v>
      </c>
      <c r="I816" s="25"/>
      <c r="J816" s="25"/>
      <c r="K816" s="25"/>
      <c r="L816" s="25"/>
      <c r="M816" s="25"/>
      <c r="N816" s="25"/>
      <c r="O816" s="33">
        <f t="shared" si="25"/>
        <v>0</v>
      </c>
      <c r="P816" s="25"/>
      <c r="Q816" s="25">
        <v>0</v>
      </c>
      <c r="R816" s="25"/>
      <c r="S816" s="25"/>
      <c r="T816" s="25">
        <v>6</v>
      </c>
      <c r="U816" s="25"/>
      <c r="V816" s="39"/>
      <c r="W816" s="25"/>
      <c r="X816" s="33">
        <f t="shared" si="24"/>
        <v>6</v>
      </c>
      <c r="Y816" s="39">
        <v>36300</v>
      </c>
      <c r="Z816" s="25">
        <v>217800</v>
      </c>
      <c r="AA816" s="45"/>
      <c r="AB816" s="45"/>
      <c r="AC816" s="45"/>
      <c r="AD816" s="45"/>
      <c r="AE816" s="45"/>
    </row>
    <row r="817" spans="1:31" s="12" customFormat="1" ht="12">
      <c r="A817" s="27">
        <v>45621</v>
      </c>
      <c r="B817" s="20" t="s">
        <v>10</v>
      </c>
      <c r="C817" s="37" t="s">
        <v>83</v>
      </c>
      <c r="D817" s="34" t="s">
        <v>185</v>
      </c>
      <c r="E817" s="34" t="e">
        <f>IF(B817="","",VLOOKUP($B817,#REF!,4,FALSE))</f>
        <v>#REF!</v>
      </c>
      <c r="F817" s="34" t="e">
        <f>IF(E817="","",VLOOKUP($B817,#REF!,5,FALSE))</f>
        <v>#REF!</v>
      </c>
      <c r="G817" s="34" t="e">
        <f>IF(F817="","",VLOOKUP($B817,#REF!,6,FALSE))</f>
        <v>#REF!</v>
      </c>
      <c r="H817" s="34" t="e">
        <f>IF(G817="","",VLOOKUP($B817,#REF!,7,FALSE))</f>
        <v>#REF!</v>
      </c>
      <c r="I817" s="25"/>
      <c r="J817" s="25"/>
      <c r="K817" s="25"/>
      <c r="L817" s="25"/>
      <c r="M817" s="25"/>
      <c r="N817" s="25"/>
      <c r="O817" s="33">
        <f t="shared" si="25"/>
        <v>0</v>
      </c>
      <c r="P817" s="25"/>
      <c r="Q817" s="25">
        <v>0</v>
      </c>
      <c r="R817" s="25"/>
      <c r="S817" s="25"/>
      <c r="T817" s="25">
        <v>5</v>
      </c>
      <c r="U817" s="25"/>
      <c r="V817" s="39"/>
      <c r="W817" s="25"/>
      <c r="X817" s="33">
        <f t="shared" si="24"/>
        <v>5</v>
      </c>
      <c r="Y817" s="39"/>
      <c r="Z817" s="25">
        <v>0</v>
      </c>
      <c r="AA817" s="45"/>
      <c r="AB817" s="45"/>
      <c r="AC817" s="45"/>
      <c r="AD817" s="45"/>
      <c r="AE817" s="45"/>
    </row>
    <row r="818" spans="1:31" s="12" customFormat="1" ht="12">
      <c r="A818" s="27">
        <v>45621</v>
      </c>
      <c r="B818" s="53" t="s">
        <v>161</v>
      </c>
      <c r="C818" s="37" t="s">
        <v>83</v>
      </c>
      <c r="D818" s="34" t="s">
        <v>185</v>
      </c>
      <c r="E818" s="34" t="e">
        <f>IF(B818="","",VLOOKUP($B818,#REF!,4,FALSE))</f>
        <v>#REF!</v>
      </c>
      <c r="F818" s="34" t="e">
        <f>IF(E818="","",VLOOKUP($B818,#REF!,5,FALSE))</f>
        <v>#REF!</v>
      </c>
      <c r="G818" s="34" t="e">
        <f>IF(F818="","",VLOOKUP($B818,#REF!,6,FALSE))</f>
        <v>#REF!</v>
      </c>
      <c r="H818" s="34" t="e">
        <f>IF(G818="","",VLOOKUP($B818,#REF!,7,FALSE))</f>
        <v>#REF!</v>
      </c>
      <c r="I818" s="25"/>
      <c r="J818" s="25"/>
      <c r="K818" s="25">
        <v>5</v>
      </c>
      <c r="L818" s="25"/>
      <c r="M818" s="25"/>
      <c r="N818" s="25"/>
      <c r="O818" s="33">
        <f t="shared" si="25"/>
        <v>5</v>
      </c>
      <c r="P818" s="25"/>
      <c r="Q818" s="25">
        <v>0</v>
      </c>
      <c r="R818" s="25"/>
      <c r="S818" s="25"/>
      <c r="T818" s="25">
        <v>5</v>
      </c>
      <c r="U818" s="25"/>
      <c r="V818" s="39"/>
      <c r="W818" s="25"/>
      <c r="X818" s="33">
        <f>SUM(R818:W818)</f>
        <v>5</v>
      </c>
      <c r="Y818" s="39">
        <v>44280</v>
      </c>
      <c r="Z818" s="25">
        <v>221400</v>
      </c>
      <c r="AA818" s="45"/>
      <c r="AB818" s="45"/>
      <c r="AC818" s="45"/>
      <c r="AD818" s="45"/>
      <c r="AE818" s="45"/>
    </row>
    <row r="819" spans="1:31" s="12" customFormat="1" ht="12">
      <c r="A819" s="27">
        <v>45621</v>
      </c>
      <c r="B819" s="40" t="s">
        <v>79</v>
      </c>
      <c r="C819" s="37" t="s">
        <v>87</v>
      </c>
      <c r="D819" s="34" t="s">
        <v>111</v>
      </c>
      <c r="E819" s="34" t="e">
        <f>IF(B819="","",VLOOKUP($B819,#REF!,4,FALSE))</f>
        <v>#REF!</v>
      </c>
      <c r="F819" s="34" t="e">
        <f>IF(E819="","",VLOOKUP($B819,#REF!,5,FALSE))</f>
        <v>#REF!</v>
      </c>
      <c r="G819" s="34" t="e">
        <f>IF(F819="","",VLOOKUP($B819,#REF!,6,FALSE))</f>
        <v>#REF!</v>
      </c>
      <c r="H819" s="34" t="e">
        <f>IF(G819="","",VLOOKUP($B819,#REF!,7,FALSE))</f>
        <v>#REF!</v>
      </c>
      <c r="I819" s="25"/>
      <c r="J819" s="25"/>
      <c r="K819" s="25"/>
      <c r="L819" s="25"/>
      <c r="M819" s="25"/>
      <c r="N819" s="25"/>
      <c r="O819" s="33">
        <f t="shared" si="25"/>
        <v>0</v>
      </c>
      <c r="P819" s="25"/>
      <c r="Q819" s="25">
        <v>0</v>
      </c>
      <c r="R819" s="25"/>
      <c r="S819" s="25"/>
      <c r="T819" s="25">
        <v>10</v>
      </c>
      <c r="U819" s="25"/>
      <c r="V819" s="39"/>
      <c r="W819" s="25"/>
      <c r="X819" s="33">
        <f t="shared" si="24"/>
        <v>10</v>
      </c>
      <c r="Y819" s="39">
        <v>13636</v>
      </c>
      <c r="Z819" s="25">
        <v>136364</v>
      </c>
      <c r="AA819" s="45" t="s">
        <v>214</v>
      </c>
      <c r="AB819" s="45"/>
      <c r="AC819" s="45"/>
      <c r="AD819" s="45"/>
      <c r="AE819" s="45"/>
    </row>
    <row r="820" spans="1:31" s="12" customFormat="1" ht="12">
      <c r="A820" s="27">
        <v>45621</v>
      </c>
      <c r="B820" s="53" t="s">
        <v>32</v>
      </c>
      <c r="C820" s="37" t="s">
        <v>84</v>
      </c>
      <c r="D820" s="34" t="s">
        <v>184</v>
      </c>
      <c r="E820" s="34" t="e">
        <f>IF(B820="","",VLOOKUP($B820,#REF!,4,FALSE))</f>
        <v>#REF!</v>
      </c>
      <c r="F820" s="34" t="e">
        <f>IF(E820="","",VLOOKUP($B820,#REF!,5,FALSE))</f>
        <v>#REF!</v>
      </c>
      <c r="G820" s="34" t="e">
        <f>IF(F820="","",VLOOKUP($B820,#REF!,6,FALSE))</f>
        <v>#REF!</v>
      </c>
      <c r="H820" s="34" t="e">
        <f>IF(G820="","",VLOOKUP($B820,#REF!,7,FALSE))</f>
        <v>#REF!</v>
      </c>
      <c r="I820" s="25"/>
      <c r="J820" s="25"/>
      <c r="K820" s="25"/>
      <c r="L820" s="25"/>
      <c r="M820" s="25"/>
      <c r="N820" s="25"/>
      <c r="O820" s="33">
        <f t="shared" si="25"/>
        <v>0</v>
      </c>
      <c r="P820" s="25"/>
      <c r="Q820" s="25">
        <v>0</v>
      </c>
      <c r="R820" s="25"/>
      <c r="S820" s="25"/>
      <c r="T820" s="25">
        <v>1</v>
      </c>
      <c r="U820" s="25"/>
      <c r="V820" s="39"/>
      <c r="W820" s="25"/>
      <c r="X820" s="33">
        <f t="shared" si="24"/>
        <v>1</v>
      </c>
      <c r="Y820" s="39"/>
      <c r="Z820" s="25">
        <v>0</v>
      </c>
      <c r="AA820" s="45"/>
      <c r="AB820" s="45"/>
      <c r="AC820" s="45"/>
      <c r="AD820" s="45"/>
      <c r="AE820" s="45"/>
    </row>
    <row r="821" spans="1:31" s="12" customFormat="1" ht="12">
      <c r="A821" s="27">
        <v>45621</v>
      </c>
      <c r="B821" s="47" t="s">
        <v>172</v>
      </c>
      <c r="C821" s="37" t="s">
        <v>86</v>
      </c>
      <c r="D821" s="34" t="s">
        <v>51</v>
      </c>
      <c r="E821" s="34" t="e">
        <f>IF(B821="","",VLOOKUP($B821,#REF!,4,FALSE))</f>
        <v>#REF!</v>
      </c>
      <c r="F821" s="34" t="e">
        <f>IF(E821="","",VLOOKUP($B821,#REF!,5,FALSE))</f>
        <v>#REF!</v>
      </c>
      <c r="G821" s="34" t="e">
        <f>IF(F821="","",VLOOKUP($B821,#REF!,6,FALSE))</f>
        <v>#REF!</v>
      </c>
      <c r="H821" s="34" t="e">
        <f>IF(G821="","",VLOOKUP($B821,#REF!,7,FALSE))</f>
        <v>#REF!</v>
      </c>
      <c r="I821" s="25"/>
      <c r="J821" s="25"/>
      <c r="K821" s="25">
        <v>1</v>
      </c>
      <c r="L821" s="25"/>
      <c r="M821" s="25"/>
      <c r="N821" s="25"/>
      <c r="O821" s="33">
        <f t="shared" si="25"/>
        <v>1</v>
      </c>
      <c r="P821" s="25"/>
      <c r="Q821" s="25">
        <v>0</v>
      </c>
      <c r="R821" s="25"/>
      <c r="S821" s="25"/>
      <c r="T821" s="25">
        <v>1</v>
      </c>
      <c r="U821" s="25"/>
      <c r="V821" s="39"/>
      <c r="W821" s="25"/>
      <c r="X821" s="33">
        <f t="shared" si="24"/>
        <v>1</v>
      </c>
      <c r="Y821" s="39">
        <v>72000</v>
      </c>
      <c r="Z821" s="25">
        <v>72000</v>
      </c>
      <c r="AA821" s="45"/>
      <c r="AB821" s="45"/>
      <c r="AC821" s="45"/>
      <c r="AD821" s="45"/>
      <c r="AE821" s="45"/>
    </row>
    <row r="822" spans="1:31" s="12" customFormat="1" ht="12">
      <c r="A822" s="27">
        <v>45621</v>
      </c>
      <c r="B822" s="47" t="s">
        <v>64</v>
      </c>
      <c r="C822" s="37" t="s">
        <v>84</v>
      </c>
      <c r="D822" s="34" t="s">
        <v>184</v>
      </c>
      <c r="E822" s="34" t="e">
        <f>IF(B822="","",VLOOKUP($B822,#REF!,4,FALSE))</f>
        <v>#REF!</v>
      </c>
      <c r="F822" s="34" t="e">
        <f>IF(E822="","",VLOOKUP($B822,#REF!,5,FALSE))</f>
        <v>#REF!</v>
      </c>
      <c r="G822" s="34" t="e">
        <f>IF(F822="","",VLOOKUP($B822,#REF!,6,FALSE))</f>
        <v>#REF!</v>
      </c>
      <c r="H822" s="34" t="e">
        <f>IF(G822="","",VLOOKUP($B822,#REF!,7,FALSE))</f>
        <v>#REF!</v>
      </c>
      <c r="I822" s="25"/>
      <c r="J822" s="25"/>
      <c r="K822" s="25"/>
      <c r="L822" s="25"/>
      <c r="M822" s="25"/>
      <c r="N822" s="25"/>
      <c r="O822" s="33">
        <f t="shared" si="25"/>
        <v>0</v>
      </c>
      <c r="P822" s="25"/>
      <c r="Q822" s="25">
        <v>0</v>
      </c>
      <c r="R822" s="25"/>
      <c r="S822" s="25"/>
      <c r="T822" s="25">
        <v>1</v>
      </c>
      <c r="U822" s="25"/>
      <c r="V822" s="39"/>
      <c r="W822" s="25"/>
      <c r="X822" s="33">
        <f t="shared" si="24"/>
        <v>1</v>
      </c>
      <c r="Y822" s="39"/>
      <c r="Z822" s="25">
        <v>0</v>
      </c>
      <c r="AA822" s="45"/>
      <c r="AB822" s="45"/>
      <c r="AC822" s="45"/>
      <c r="AD822" s="45"/>
      <c r="AE822" s="45"/>
    </row>
    <row r="823" spans="1:31" s="12" customFormat="1" ht="12">
      <c r="A823" s="27">
        <v>45621</v>
      </c>
      <c r="B823" s="53" t="s">
        <v>69</v>
      </c>
      <c r="C823" s="37" t="s">
        <v>86</v>
      </c>
      <c r="D823" s="34" t="s">
        <v>51</v>
      </c>
      <c r="E823" s="34" t="e">
        <f>IF(B823="","",VLOOKUP($B823,#REF!,4,FALSE))</f>
        <v>#REF!</v>
      </c>
      <c r="F823" s="34" t="e">
        <f>IF(E823="","",VLOOKUP($B823,#REF!,5,FALSE))</f>
        <v>#REF!</v>
      </c>
      <c r="G823" s="34" t="e">
        <f>IF(F823="","",VLOOKUP($B823,#REF!,6,FALSE))</f>
        <v>#REF!</v>
      </c>
      <c r="H823" s="34" t="e">
        <f>IF(G823="","",VLOOKUP($B823,#REF!,7,FALSE))</f>
        <v>#REF!</v>
      </c>
      <c r="I823" s="25"/>
      <c r="J823" s="25"/>
      <c r="K823" s="25">
        <v>1</v>
      </c>
      <c r="L823" s="25"/>
      <c r="M823" s="25"/>
      <c r="N823" s="25"/>
      <c r="O823" s="33">
        <f t="shared" si="25"/>
        <v>1</v>
      </c>
      <c r="P823" s="25"/>
      <c r="Q823" s="25">
        <v>0</v>
      </c>
      <c r="R823" s="25"/>
      <c r="S823" s="25"/>
      <c r="T823" s="25">
        <v>1</v>
      </c>
      <c r="U823" s="25"/>
      <c r="V823" s="39"/>
      <c r="W823" s="25"/>
      <c r="X823" s="33">
        <f t="shared" si="24"/>
        <v>1</v>
      </c>
      <c r="Y823" s="39">
        <v>110000</v>
      </c>
      <c r="Z823" s="25">
        <v>110000</v>
      </c>
      <c r="AA823" s="45"/>
      <c r="AB823" s="45"/>
      <c r="AC823" s="45"/>
      <c r="AD823" s="45"/>
      <c r="AE823" s="45"/>
    </row>
    <row r="824" spans="1:31" s="12" customFormat="1" ht="12">
      <c r="A824" s="27">
        <v>45621</v>
      </c>
      <c r="B824" s="53" t="s">
        <v>79</v>
      </c>
      <c r="C824" s="37" t="s">
        <v>87</v>
      </c>
      <c r="D824" s="34" t="s">
        <v>111</v>
      </c>
      <c r="E824" s="34" t="e">
        <f>IF(B824="","",VLOOKUP($B824,#REF!,4,FALSE))</f>
        <v>#REF!</v>
      </c>
      <c r="F824" s="34" t="e">
        <f>IF(E824="","",VLOOKUP($B824,#REF!,5,FALSE))</f>
        <v>#REF!</v>
      </c>
      <c r="G824" s="34" t="e">
        <f>IF(F824="","",VLOOKUP($B824,#REF!,6,FALSE))</f>
        <v>#REF!</v>
      </c>
      <c r="H824" s="34" t="e">
        <f>IF(G824="","",VLOOKUP($B824,#REF!,7,FALSE))</f>
        <v>#REF!</v>
      </c>
      <c r="I824" s="25"/>
      <c r="J824" s="25"/>
      <c r="K824" s="25"/>
      <c r="L824" s="25"/>
      <c r="M824" s="25"/>
      <c r="N824" s="25"/>
      <c r="O824" s="33">
        <f t="shared" si="25"/>
        <v>0</v>
      </c>
      <c r="P824" s="25"/>
      <c r="Q824" s="25">
        <v>0</v>
      </c>
      <c r="R824" s="25"/>
      <c r="S824" s="25"/>
      <c r="T824" s="25">
        <v>10</v>
      </c>
      <c r="U824" s="25"/>
      <c r="V824" s="39"/>
      <c r="W824" s="25"/>
      <c r="X824" s="33">
        <f t="shared" si="24"/>
        <v>10</v>
      </c>
      <c r="Y824" s="39"/>
      <c r="Z824" s="25">
        <v>0</v>
      </c>
      <c r="AA824" s="45"/>
      <c r="AB824" s="45"/>
      <c r="AC824" s="45"/>
      <c r="AD824" s="45"/>
      <c r="AE824" s="45"/>
    </row>
    <row r="825" spans="1:31" s="12" customFormat="1" ht="12">
      <c r="A825" s="27">
        <v>45621</v>
      </c>
      <c r="B825" s="47" t="s">
        <v>74</v>
      </c>
      <c r="C825" s="37" t="s">
        <v>86</v>
      </c>
      <c r="D825" s="34" t="s">
        <v>51</v>
      </c>
      <c r="E825" s="34" t="e">
        <f>IF(B825="","",VLOOKUP($B825,#REF!,4,FALSE))</f>
        <v>#REF!</v>
      </c>
      <c r="F825" s="34" t="e">
        <f>IF(E825="","",VLOOKUP($B825,#REF!,5,FALSE))</f>
        <v>#REF!</v>
      </c>
      <c r="G825" s="34" t="e">
        <f>IF(F825="","",VLOOKUP($B825,#REF!,6,FALSE))</f>
        <v>#REF!</v>
      </c>
      <c r="H825" s="34" t="e">
        <f>IF(G825="","",VLOOKUP($B825,#REF!,7,FALSE))</f>
        <v>#REF!</v>
      </c>
      <c r="I825" s="25"/>
      <c r="J825" s="25"/>
      <c r="K825" s="25">
        <v>10</v>
      </c>
      <c r="L825" s="25"/>
      <c r="M825" s="25"/>
      <c r="N825" s="25"/>
      <c r="O825" s="33">
        <f t="shared" si="25"/>
        <v>10</v>
      </c>
      <c r="P825" s="25"/>
      <c r="Q825" s="25">
        <v>0</v>
      </c>
      <c r="R825" s="25"/>
      <c r="S825" s="25"/>
      <c r="T825" s="25">
        <v>10</v>
      </c>
      <c r="U825" s="25"/>
      <c r="V825" s="39"/>
      <c r="W825" s="25"/>
      <c r="X825" s="33">
        <f t="shared" si="24"/>
        <v>10</v>
      </c>
      <c r="Y825" s="39">
        <v>14500</v>
      </c>
      <c r="Z825" s="25">
        <v>145000</v>
      </c>
      <c r="AA825" s="45"/>
      <c r="AB825" s="45"/>
      <c r="AC825" s="45"/>
      <c r="AD825" s="45"/>
      <c r="AE825" s="45"/>
    </row>
    <row r="826" spans="1:31" s="12" customFormat="1" ht="12">
      <c r="A826" s="27">
        <v>45621</v>
      </c>
      <c r="B826" s="56" t="s">
        <v>28</v>
      </c>
      <c r="C826" s="37" t="s">
        <v>137</v>
      </c>
      <c r="D826" s="34" t="s">
        <v>182</v>
      </c>
      <c r="E826" s="34" t="e">
        <f>IF(B826="","",VLOOKUP($B826,#REF!,4,FALSE))</f>
        <v>#REF!</v>
      </c>
      <c r="F826" s="34" t="e">
        <f>IF(E826="","",VLOOKUP($B826,#REF!,5,FALSE))</f>
        <v>#REF!</v>
      </c>
      <c r="G826" s="34" t="e">
        <f>IF(F826="","",VLOOKUP($B826,#REF!,6,FALSE))</f>
        <v>#REF!</v>
      </c>
      <c r="H826" s="34" t="e">
        <f>IF(G826="","",VLOOKUP($B826,#REF!,7,FALSE))</f>
        <v>#REF!</v>
      </c>
      <c r="I826" s="25"/>
      <c r="J826" s="25"/>
      <c r="K826" s="25"/>
      <c r="L826" s="25"/>
      <c r="M826" s="25">
        <v>336</v>
      </c>
      <c r="N826" s="25"/>
      <c r="O826" s="33">
        <f t="shared" si="25"/>
        <v>336</v>
      </c>
      <c r="P826" s="25">
        <v>137250</v>
      </c>
      <c r="Q826" s="25">
        <v>46116000</v>
      </c>
      <c r="R826" s="25"/>
      <c r="S826" s="25"/>
      <c r="T826" s="25">
        <v>0</v>
      </c>
      <c r="U826" s="25"/>
      <c r="V826" s="39"/>
      <c r="W826" s="25"/>
      <c r="X826" s="33">
        <f t="shared" si="24"/>
        <v>0</v>
      </c>
      <c r="Y826" s="39"/>
      <c r="Z826" s="25">
        <v>0</v>
      </c>
      <c r="AA826" s="45" t="s">
        <v>205</v>
      </c>
      <c r="AB826" s="45"/>
      <c r="AC826" s="45"/>
      <c r="AD826" s="45"/>
      <c r="AE826" s="45"/>
    </row>
    <row r="827" spans="1:31" s="12" customFormat="1" ht="12">
      <c r="A827" s="27">
        <v>45621</v>
      </c>
      <c r="B827" s="47" t="s">
        <v>163</v>
      </c>
      <c r="C827" s="37" t="s">
        <v>136</v>
      </c>
      <c r="D827" s="34" t="s">
        <v>177</v>
      </c>
      <c r="E827" s="34" t="e">
        <f>IF(B827="","",VLOOKUP($B827,#REF!,4,FALSE))</f>
        <v>#REF!</v>
      </c>
      <c r="F827" s="34" t="e">
        <f>IF(E827="","",VLOOKUP($B827,#REF!,5,FALSE))</f>
        <v>#REF!</v>
      </c>
      <c r="G827" s="34" t="e">
        <f>IF(F827="","",VLOOKUP($B827,#REF!,6,FALSE))</f>
        <v>#REF!</v>
      </c>
      <c r="H827" s="34" t="e">
        <f>IF(G827="","",VLOOKUP($B827,#REF!,7,FALSE))</f>
        <v>#REF!</v>
      </c>
      <c r="I827" s="25"/>
      <c r="J827" s="25"/>
      <c r="K827" s="25"/>
      <c r="L827" s="25"/>
      <c r="M827" s="25"/>
      <c r="N827" s="25"/>
      <c r="O827" s="33">
        <f t="shared" si="25"/>
        <v>0</v>
      </c>
      <c r="P827" s="25"/>
      <c r="Q827" s="25">
        <v>0</v>
      </c>
      <c r="R827" s="25"/>
      <c r="S827" s="25"/>
      <c r="T827" s="25">
        <v>1</v>
      </c>
      <c r="U827" s="25"/>
      <c r="V827" s="39"/>
      <c r="W827" s="25"/>
      <c r="X827" s="33">
        <f t="shared" si="24"/>
        <v>1</v>
      </c>
      <c r="Y827" s="39">
        <v>46400</v>
      </c>
      <c r="Z827" s="25">
        <v>46400</v>
      </c>
      <c r="AA827" s="45" t="s">
        <v>136</v>
      </c>
      <c r="AB827" s="45" t="s">
        <v>177</v>
      </c>
      <c r="AC827" s="45"/>
      <c r="AD827" s="45"/>
      <c r="AE827" s="45"/>
    </row>
    <row r="828" spans="1:31" s="12" customFormat="1" ht="12">
      <c r="A828" s="27">
        <v>45621</v>
      </c>
      <c r="B828" s="47" t="s">
        <v>11</v>
      </c>
      <c r="C828" s="37" t="s">
        <v>136</v>
      </c>
      <c r="D828" s="34" t="s">
        <v>177</v>
      </c>
      <c r="E828" s="34" t="e">
        <f>IF(B828="","",VLOOKUP($B828,#REF!,4,FALSE))</f>
        <v>#REF!</v>
      </c>
      <c r="F828" s="34" t="e">
        <f>IF(E828="","",VLOOKUP($B828,#REF!,5,FALSE))</f>
        <v>#REF!</v>
      </c>
      <c r="G828" s="34" t="e">
        <f>IF(F828="","",VLOOKUP($B828,#REF!,6,FALSE))</f>
        <v>#REF!</v>
      </c>
      <c r="H828" s="34" t="e">
        <f>IF(G828="","",VLOOKUP($B828,#REF!,7,FALSE))</f>
        <v>#REF!</v>
      </c>
      <c r="I828" s="25"/>
      <c r="J828" s="25"/>
      <c r="K828" s="25"/>
      <c r="L828" s="25"/>
      <c r="M828" s="25"/>
      <c r="N828" s="25"/>
      <c r="O828" s="33">
        <f t="shared" si="25"/>
        <v>0</v>
      </c>
      <c r="P828" s="25"/>
      <c r="Q828" s="25">
        <v>0</v>
      </c>
      <c r="R828" s="25"/>
      <c r="S828" s="25"/>
      <c r="T828" s="25">
        <v>3</v>
      </c>
      <c r="U828" s="25"/>
      <c r="V828" s="39"/>
      <c r="W828" s="25"/>
      <c r="X828" s="33">
        <f t="shared" si="24"/>
        <v>3</v>
      </c>
      <c r="Y828" s="39">
        <v>44000</v>
      </c>
      <c r="Z828" s="25">
        <v>132000</v>
      </c>
      <c r="AA828" s="45" t="s">
        <v>136</v>
      </c>
      <c r="AB828" s="45" t="s">
        <v>177</v>
      </c>
      <c r="AC828" s="45"/>
      <c r="AD828" s="45"/>
      <c r="AE828" s="45"/>
    </row>
    <row r="829" spans="1:31" s="12" customFormat="1" ht="12">
      <c r="A829" s="27">
        <v>45621</v>
      </c>
      <c r="B829" s="47" t="s">
        <v>163</v>
      </c>
      <c r="C829" s="37" t="s">
        <v>135</v>
      </c>
      <c r="D829" s="34" t="s">
        <v>179</v>
      </c>
      <c r="E829" s="34" t="e">
        <f>IF(B829="","",VLOOKUP($B829,#REF!,4,FALSE))</f>
        <v>#REF!</v>
      </c>
      <c r="F829" s="34" t="e">
        <f>IF(E829="","",VLOOKUP($B829,#REF!,5,FALSE))</f>
        <v>#REF!</v>
      </c>
      <c r="G829" s="34" t="e">
        <f>IF(F829="","",VLOOKUP($B829,#REF!,6,FALSE))</f>
        <v>#REF!</v>
      </c>
      <c r="H829" s="34" t="e">
        <f>IF(G829="","",VLOOKUP($B829,#REF!,7,FALSE))</f>
        <v>#REF!</v>
      </c>
      <c r="I829" s="25"/>
      <c r="J829" s="25"/>
      <c r="K829" s="25"/>
      <c r="L829" s="25"/>
      <c r="M829" s="25"/>
      <c r="N829" s="25"/>
      <c r="O829" s="33">
        <f t="shared" si="25"/>
        <v>0</v>
      </c>
      <c r="P829" s="25"/>
      <c r="Q829" s="25">
        <v>0</v>
      </c>
      <c r="R829" s="25"/>
      <c r="S829" s="25"/>
      <c r="T829" s="25">
        <v>1</v>
      </c>
      <c r="U829" s="25"/>
      <c r="V829" s="39"/>
      <c r="W829" s="25"/>
      <c r="X829" s="33">
        <f t="shared" si="24"/>
        <v>1</v>
      </c>
      <c r="Y829" s="39">
        <v>46400</v>
      </c>
      <c r="Z829" s="25">
        <v>46400</v>
      </c>
      <c r="AA829" s="45" t="s">
        <v>135</v>
      </c>
      <c r="AB829" s="45" t="s">
        <v>179</v>
      </c>
      <c r="AC829" s="45"/>
      <c r="AD829" s="45"/>
      <c r="AE829" s="45"/>
    </row>
    <row r="830" spans="1:31" s="12" customFormat="1" ht="12">
      <c r="A830" s="27">
        <v>45621</v>
      </c>
      <c r="B830" s="47" t="s">
        <v>11</v>
      </c>
      <c r="C830" s="37" t="s">
        <v>135</v>
      </c>
      <c r="D830" s="34" t="s">
        <v>179</v>
      </c>
      <c r="E830" s="34" t="e">
        <f>IF(B830="","",VLOOKUP($B830,#REF!,4,FALSE))</f>
        <v>#REF!</v>
      </c>
      <c r="F830" s="34" t="e">
        <f>IF(E830="","",VLOOKUP($B830,#REF!,5,FALSE))</f>
        <v>#REF!</v>
      </c>
      <c r="G830" s="34" t="e">
        <f>IF(F830="","",VLOOKUP($B830,#REF!,6,FALSE))</f>
        <v>#REF!</v>
      </c>
      <c r="H830" s="34" t="e">
        <f>IF(G830="","",VLOOKUP($B830,#REF!,7,FALSE))</f>
        <v>#REF!</v>
      </c>
      <c r="I830" s="25"/>
      <c r="J830" s="25"/>
      <c r="K830" s="25"/>
      <c r="L830" s="25"/>
      <c r="M830" s="25"/>
      <c r="N830" s="25"/>
      <c r="O830" s="33">
        <f t="shared" si="25"/>
        <v>0</v>
      </c>
      <c r="P830" s="25"/>
      <c r="Q830" s="25">
        <v>0</v>
      </c>
      <c r="R830" s="25"/>
      <c r="S830" s="25"/>
      <c r="T830" s="25">
        <v>4</v>
      </c>
      <c r="U830" s="25"/>
      <c r="V830" s="39"/>
      <c r="W830" s="25"/>
      <c r="X830" s="33">
        <f t="shared" si="24"/>
        <v>4</v>
      </c>
      <c r="Y830" s="39">
        <v>44000</v>
      </c>
      <c r="Z830" s="25">
        <v>176000</v>
      </c>
      <c r="AA830" s="45" t="s">
        <v>135</v>
      </c>
      <c r="AB830" s="45" t="s">
        <v>179</v>
      </c>
      <c r="AC830" s="45"/>
      <c r="AD830" s="45"/>
      <c r="AE830" s="45"/>
    </row>
    <row r="831" spans="1:31" s="12" customFormat="1" ht="12">
      <c r="A831" s="27">
        <v>45621</v>
      </c>
      <c r="B831" s="47" t="s">
        <v>164</v>
      </c>
      <c r="C831" s="37">
        <v>0</v>
      </c>
      <c r="D831" s="34" t="s">
        <v>187</v>
      </c>
      <c r="E831" s="34" t="e">
        <f>IF(B831="","",VLOOKUP($B831,#REF!,4,FALSE))</f>
        <v>#REF!</v>
      </c>
      <c r="F831" s="34" t="e">
        <f>IF(E831="","",VLOOKUP($B831,#REF!,5,FALSE))</f>
        <v>#REF!</v>
      </c>
      <c r="G831" s="34" t="e">
        <f>IF(F831="","",VLOOKUP($B831,#REF!,6,FALSE))</f>
        <v>#REF!</v>
      </c>
      <c r="H831" s="34" t="e">
        <f>IF(G831="","",VLOOKUP($B831,#REF!,7,FALSE))</f>
        <v>#REF!</v>
      </c>
      <c r="I831" s="25"/>
      <c r="J831" s="25"/>
      <c r="K831" s="25"/>
      <c r="L831" s="25">
        <v>521</v>
      </c>
      <c r="M831" s="25"/>
      <c r="N831" s="25"/>
      <c r="O831" s="33">
        <f t="shared" si="25"/>
        <v>521</v>
      </c>
      <c r="P831" s="25"/>
      <c r="Q831" s="25">
        <v>0</v>
      </c>
      <c r="R831" s="25"/>
      <c r="S831" s="25"/>
      <c r="T831" s="25"/>
      <c r="U831" s="25"/>
      <c r="V831" s="39"/>
      <c r="W831" s="25"/>
      <c r="X831" s="33">
        <f t="shared" si="24"/>
        <v>0</v>
      </c>
      <c r="Y831" s="39"/>
      <c r="Z831" s="25">
        <v>0</v>
      </c>
      <c r="AA831" s="45"/>
      <c r="AB831" s="45"/>
      <c r="AC831" s="45"/>
      <c r="AD831" s="45"/>
      <c r="AE831" s="45"/>
    </row>
    <row r="832" spans="1:31" s="12" customFormat="1" ht="12">
      <c r="A832" s="27">
        <v>45621</v>
      </c>
      <c r="B832" s="47" t="s">
        <v>229</v>
      </c>
      <c r="C832" s="37">
        <v>0</v>
      </c>
      <c r="D832" s="34" t="s">
        <v>187</v>
      </c>
      <c r="E832" s="34" t="e">
        <f>IF(B832="","",VLOOKUP($B832,#REF!,4,FALSE))</f>
        <v>#REF!</v>
      </c>
      <c r="F832" s="34" t="e">
        <f>IF(E832="","",VLOOKUP($B832,#REF!,5,FALSE))</f>
        <v>#REF!</v>
      </c>
      <c r="G832" s="34" t="e">
        <f>IF(F832="","",VLOOKUP($B832,#REF!,6,FALSE))</f>
        <v>#REF!</v>
      </c>
      <c r="H832" s="34" t="e">
        <f>IF(G832="","",VLOOKUP($B832,#REF!,7,FALSE))</f>
        <v>#REF!</v>
      </c>
      <c r="I832" s="25"/>
      <c r="J832" s="25"/>
      <c r="K832" s="25"/>
      <c r="L832" s="25">
        <v>2388</v>
      </c>
      <c r="M832" s="25"/>
      <c r="N832" s="25"/>
      <c r="O832" s="33">
        <f t="shared" si="25"/>
        <v>2388</v>
      </c>
      <c r="P832" s="25"/>
      <c r="Q832" s="25">
        <v>0</v>
      </c>
      <c r="R832" s="25"/>
      <c r="S832" s="25"/>
      <c r="T832" s="25"/>
      <c r="U832" s="25"/>
      <c r="V832" s="39"/>
      <c r="W832" s="25"/>
      <c r="X832" s="33">
        <f t="shared" si="24"/>
        <v>0</v>
      </c>
      <c r="Y832" s="39"/>
      <c r="Z832" s="25">
        <v>0</v>
      </c>
      <c r="AA832" s="45"/>
      <c r="AB832" s="45"/>
      <c r="AC832" s="45"/>
      <c r="AD832" s="45"/>
      <c r="AE832" s="45"/>
    </row>
    <row r="833" spans="1:31" s="12" customFormat="1" ht="12">
      <c r="A833" s="27">
        <v>45621</v>
      </c>
      <c r="B833" s="53" t="s">
        <v>61</v>
      </c>
      <c r="C833" s="37">
        <v>0</v>
      </c>
      <c r="D833" s="34" t="s">
        <v>187</v>
      </c>
      <c r="E833" s="34" t="e">
        <f>IF(B833="","",VLOOKUP($B833,#REF!,4,FALSE))</f>
        <v>#REF!</v>
      </c>
      <c r="F833" s="34" t="e">
        <f>IF(E833="","",VLOOKUP($B833,#REF!,5,FALSE))</f>
        <v>#REF!</v>
      </c>
      <c r="G833" s="34" t="e">
        <f>IF(F833="","",VLOOKUP($B833,#REF!,6,FALSE))</f>
        <v>#REF!</v>
      </c>
      <c r="H833" s="34" t="e">
        <f>IF(G833="","",VLOOKUP($B833,#REF!,7,FALSE))</f>
        <v>#REF!</v>
      </c>
      <c r="I833" s="25"/>
      <c r="J833" s="25"/>
      <c r="K833" s="25">
        <v>180</v>
      </c>
      <c r="L833" s="25"/>
      <c r="M833" s="25"/>
      <c r="N833" s="25"/>
      <c r="O833" s="33">
        <f t="shared" si="25"/>
        <v>180</v>
      </c>
      <c r="P833" s="25"/>
      <c r="Q833" s="25">
        <v>0</v>
      </c>
      <c r="R833" s="25"/>
      <c r="S833" s="25"/>
      <c r="T833" s="25"/>
      <c r="U833" s="25"/>
      <c r="V833" s="39"/>
      <c r="W833" s="25"/>
      <c r="X833" s="33">
        <f t="shared" si="24"/>
        <v>0</v>
      </c>
      <c r="Y833" s="39"/>
      <c r="Z833" s="25">
        <v>0</v>
      </c>
      <c r="AA833" s="45"/>
      <c r="AB833" s="45"/>
      <c r="AC833" s="45"/>
      <c r="AD833" s="45"/>
      <c r="AE833" s="45"/>
    </row>
    <row r="834" spans="1:31" s="12" customFormat="1" ht="12">
      <c r="A834" s="27">
        <v>45621</v>
      </c>
      <c r="B834" s="47" t="s">
        <v>56</v>
      </c>
      <c r="C834" s="37">
        <v>0</v>
      </c>
      <c r="D834" s="34" t="s">
        <v>187</v>
      </c>
      <c r="E834" s="34" t="e">
        <f>IF(B834="","",VLOOKUP($B834,#REF!,4,FALSE))</f>
        <v>#REF!</v>
      </c>
      <c r="F834" s="34" t="e">
        <f>IF(E834="","",VLOOKUP($B834,#REF!,5,FALSE))</f>
        <v>#REF!</v>
      </c>
      <c r="G834" s="34" t="e">
        <f>IF(F834="","",VLOOKUP($B834,#REF!,6,FALSE))</f>
        <v>#REF!</v>
      </c>
      <c r="H834" s="34" t="e">
        <f>IF(G834="","",VLOOKUP($B834,#REF!,7,FALSE))</f>
        <v>#REF!</v>
      </c>
      <c r="I834" s="25"/>
      <c r="J834" s="25"/>
      <c r="K834" s="25"/>
      <c r="L834" s="25">
        <v>81</v>
      </c>
      <c r="M834" s="25"/>
      <c r="N834" s="25"/>
      <c r="O834" s="33">
        <f t="shared" si="25"/>
        <v>81</v>
      </c>
      <c r="P834" s="25"/>
      <c r="Q834" s="25">
        <v>0</v>
      </c>
      <c r="R834" s="25"/>
      <c r="S834" s="25"/>
      <c r="T834" s="25"/>
      <c r="U834" s="25"/>
      <c r="V834" s="39"/>
      <c r="W834" s="25"/>
      <c r="X834" s="33">
        <f t="shared" si="24"/>
        <v>0</v>
      </c>
      <c r="Y834" s="39"/>
      <c r="Z834" s="25">
        <v>0</v>
      </c>
      <c r="AA834" s="45"/>
      <c r="AB834" s="45"/>
      <c r="AC834" s="45"/>
      <c r="AD834" s="45"/>
      <c r="AE834" s="45"/>
    </row>
    <row r="835" spans="1:31" s="12" customFormat="1" ht="12">
      <c r="A835" s="27">
        <v>45621</v>
      </c>
      <c r="B835" s="47" t="s">
        <v>211</v>
      </c>
      <c r="C835" s="37">
        <v>0</v>
      </c>
      <c r="D835" s="34" t="s">
        <v>187</v>
      </c>
      <c r="E835" s="34" t="e">
        <f>IF(B835="","",VLOOKUP($B835,#REF!,4,FALSE))</f>
        <v>#REF!</v>
      </c>
      <c r="F835" s="34" t="e">
        <f>IF(E835="","",VLOOKUP($B835,#REF!,5,FALSE))</f>
        <v>#REF!</v>
      </c>
      <c r="G835" s="34" t="e">
        <f>IF(F835="","",VLOOKUP($B835,#REF!,6,FALSE))</f>
        <v>#REF!</v>
      </c>
      <c r="H835" s="34" t="e">
        <f>IF(G835="","",VLOOKUP($B835,#REF!,7,FALSE))</f>
        <v>#REF!</v>
      </c>
      <c r="I835" s="25"/>
      <c r="J835" s="25"/>
      <c r="K835" s="25"/>
      <c r="L835" s="25">
        <v>89</v>
      </c>
      <c r="M835" s="25"/>
      <c r="N835" s="25"/>
      <c r="O835" s="33">
        <f t="shared" si="25"/>
        <v>89</v>
      </c>
      <c r="P835" s="25"/>
      <c r="Q835" s="25">
        <v>0</v>
      </c>
      <c r="R835" s="25"/>
      <c r="S835" s="25"/>
      <c r="T835" s="25"/>
      <c r="U835" s="25"/>
      <c r="V835" s="39"/>
      <c r="W835" s="25"/>
      <c r="X835" s="33">
        <f t="shared" si="24"/>
        <v>0</v>
      </c>
      <c r="Y835" s="39"/>
      <c r="Z835" s="25">
        <v>0</v>
      </c>
      <c r="AA835" s="45"/>
      <c r="AB835" s="45"/>
      <c r="AC835" s="45"/>
      <c r="AD835" s="45"/>
      <c r="AE835" s="45"/>
    </row>
    <row r="836" spans="1:31" s="12" customFormat="1" ht="12">
      <c r="A836" s="27">
        <v>45621</v>
      </c>
      <c r="B836" s="47" t="s">
        <v>42</v>
      </c>
      <c r="C836" s="37">
        <v>0</v>
      </c>
      <c r="D836" s="34" t="s">
        <v>187</v>
      </c>
      <c r="E836" s="34" t="e">
        <f>IF(B836="","",VLOOKUP($B836,#REF!,4,FALSE))</f>
        <v>#REF!</v>
      </c>
      <c r="F836" s="34" t="e">
        <f>IF(E836="","",VLOOKUP($B836,#REF!,5,FALSE))</f>
        <v>#REF!</v>
      </c>
      <c r="G836" s="34" t="e">
        <f>IF(F836="","",VLOOKUP($B836,#REF!,6,FALSE))</f>
        <v>#REF!</v>
      </c>
      <c r="H836" s="34" t="e">
        <f>IF(G836="","",VLOOKUP($B836,#REF!,7,FALSE))</f>
        <v>#REF!</v>
      </c>
      <c r="I836" s="25"/>
      <c r="J836" s="25">
        <v>492</v>
      </c>
      <c r="K836" s="25"/>
      <c r="L836" s="25"/>
      <c r="M836" s="25"/>
      <c r="N836" s="25"/>
      <c r="O836" s="33">
        <f t="shared" si="25"/>
        <v>492</v>
      </c>
      <c r="P836" s="25"/>
      <c r="Q836" s="25">
        <v>0</v>
      </c>
      <c r="R836" s="25"/>
      <c r="S836" s="25"/>
      <c r="T836" s="25"/>
      <c r="U836" s="25"/>
      <c r="V836" s="39"/>
      <c r="W836" s="25"/>
      <c r="X836" s="33">
        <f t="shared" si="24"/>
        <v>0</v>
      </c>
      <c r="Y836" s="39"/>
      <c r="Z836" s="25">
        <v>0</v>
      </c>
      <c r="AA836" s="45"/>
      <c r="AB836" s="45"/>
      <c r="AC836" s="45"/>
      <c r="AD836" s="45"/>
      <c r="AE836" s="45"/>
    </row>
    <row r="837" spans="1:31" s="12" customFormat="1" ht="12">
      <c r="A837" s="27">
        <v>45621</v>
      </c>
      <c r="B837" s="47" t="s">
        <v>31</v>
      </c>
      <c r="C837" s="37">
        <v>0</v>
      </c>
      <c r="D837" s="34" t="s">
        <v>187</v>
      </c>
      <c r="E837" s="34" t="e">
        <f>IF(B837="","",VLOOKUP($B837,#REF!,4,FALSE))</f>
        <v>#REF!</v>
      </c>
      <c r="F837" s="34" t="e">
        <f>IF(E837="","",VLOOKUP($B837,#REF!,5,FALSE))</f>
        <v>#REF!</v>
      </c>
      <c r="G837" s="34" t="e">
        <f>IF(F837="","",VLOOKUP($B837,#REF!,6,FALSE))</f>
        <v>#REF!</v>
      </c>
      <c r="H837" s="34" t="e">
        <f>IF(G837="","",VLOOKUP($B837,#REF!,7,FALSE))</f>
        <v>#REF!</v>
      </c>
      <c r="I837" s="25">
        <v>24</v>
      </c>
      <c r="J837" s="25"/>
      <c r="K837" s="25"/>
      <c r="L837" s="25"/>
      <c r="M837" s="25"/>
      <c r="N837" s="25"/>
      <c r="O837" s="33">
        <f t="shared" si="25"/>
        <v>24</v>
      </c>
      <c r="P837" s="25"/>
      <c r="Q837" s="25">
        <v>0</v>
      </c>
      <c r="R837" s="25"/>
      <c r="S837" s="25"/>
      <c r="T837" s="25"/>
      <c r="U837" s="25"/>
      <c r="V837" s="39"/>
      <c r="W837" s="25"/>
      <c r="X837" s="33">
        <f t="shared" si="24"/>
        <v>0</v>
      </c>
      <c r="Y837" s="39"/>
      <c r="Z837" s="25">
        <v>0</v>
      </c>
      <c r="AA837" s="45"/>
      <c r="AB837" s="45"/>
      <c r="AC837" s="45"/>
      <c r="AD837" s="45"/>
      <c r="AE837" s="45"/>
    </row>
    <row r="838" spans="1:31" s="12" customFormat="1" ht="12">
      <c r="A838" s="27">
        <v>45621</v>
      </c>
      <c r="B838" s="53" t="s">
        <v>35</v>
      </c>
      <c r="C838" s="37">
        <v>0</v>
      </c>
      <c r="D838" s="34" t="s">
        <v>187</v>
      </c>
      <c r="E838" s="34" t="e">
        <f>IF(B838="","",VLOOKUP($B838,#REF!,4,FALSE))</f>
        <v>#REF!</v>
      </c>
      <c r="F838" s="34" t="e">
        <f>IF(E838="","",VLOOKUP($B838,#REF!,5,FALSE))</f>
        <v>#REF!</v>
      </c>
      <c r="G838" s="34" t="e">
        <f>IF(F838="","",VLOOKUP($B838,#REF!,6,FALSE))</f>
        <v>#REF!</v>
      </c>
      <c r="H838" s="34" t="e">
        <f>IF(G838="","",VLOOKUP($B838,#REF!,7,FALSE))</f>
        <v>#REF!</v>
      </c>
      <c r="I838" s="25">
        <v>827</v>
      </c>
      <c r="J838" s="25"/>
      <c r="K838" s="25"/>
      <c r="L838" s="25"/>
      <c r="M838" s="25"/>
      <c r="N838" s="25"/>
      <c r="O838" s="33">
        <f t="shared" si="25"/>
        <v>827</v>
      </c>
      <c r="P838" s="25"/>
      <c r="Q838" s="25">
        <v>0</v>
      </c>
      <c r="R838" s="25"/>
      <c r="S838" s="25"/>
      <c r="T838" s="25"/>
      <c r="U838" s="25"/>
      <c r="V838" s="39"/>
      <c r="W838" s="25"/>
      <c r="X838" s="33">
        <f t="shared" si="24"/>
        <v>0</v>
      </c>
      <c r="Y838" s="39"/>
      <c r="Z838" s="25">
        <v>0</v>
      </c>
      <c r="AA838" s="45"/>
      <c r="AB838" s="45"/>
      <c r="AC838" s="45"/>
      <c r="AD838" s="45"/>
      <c r="AE838" s="45"/>
    </row>
    <row r="839" spans="1:31" s="12" customFormat="1" ht="12">
      <c r="A839" s="27">
        <v>45622</v>
      </c>
      <c r="B839" s="54" t="s">
        <v>226</v>
      </c>
      <c r="C839" s="37" t="s">
        <v>117</v>
      </c>
      <c r="D839" s="34" t="s">
        <v>225</v>
      </c>
      <c r="E839" s="34" t="e">
        <f>IF(B839="","",VLOOKUP($B839,#REF!,4,FALSE))</f>
        <v>#REF!</v>
      </c>
      <c r="F839" s="34" t="e">
        <f>IF(E839="","",VLOOKUP($B839,#REF!,5,FALSE))</f>
        <v>#REF!</v>
      </c>
      <c r="G839" s="34" t="e">
        <f>IF(F839="","",VLOOKUP($B839,#REF!,6,FALSE))</f>
        <v>#REF!</v>
      </c>
      <c r="H839" s="34" t="e">
        <f>IF(G839="","",VLOOKUP($B839,#REF!,7,FALSE))</f>
        <v>#REF!</v>
      </c>
      <c r="I839" s="25"/>
      <c r="J839" s="25"/>
      <c r="K839" s="25"/>
      <c r="L839" s="25"/>
      <c r="M839" s="25"/>
      <c r="N839" s="25"/>
      <c r="O839" s="33">
        <f t="shared" si="25"/>
        <v>0</v>
      </c>
      <c r="P839" s="25"/>
      <c r="Q839" s="25">
        <v>0</v>
      </c>
      <c r="R839" s="25"/>
      <c r="S839" s="25"/>
      <c r="T839" s="25"/>
      <c r="U839" s="25">
        <v>8064</v>
      </c>
      <c r="V839" s="39"/>
      <c r="W839" s="25"/>
      <c r="X839" s="33">
        <f t="shared" ref="X839:X896" si="26">SUM(R839:W839)</f>
        <v>8064</v>
      </c>
      <c r="Y839" s="39">
        <v>9800</v>
      </c>
      <c r="Z839" s="25">
        <f>X839*Y839</f>
        <v>79027200</v>
      </c>
      <c r="AA839" s="45" t="s">
        <v>117</v>
      </c>
      <c r="AB839" s="45" t="s">
        <v>158</v>
      </c>
      <c r="AC839" s="45"/>
      <c r="AD839" s="45"/>
      <c r="AE839" s="45"/>
    </row>
    <row r="840" spans="1:31" s="12" customFormat="1" ht="12">
      <c r="A840" s="27">
        <v>45622</v>
      </c>
      <c r="B840" s="73" t="s">
        <v>30</v>
      </c>
      <c r="C840" s="37" t="s">
        <v>117</v>
      </c>
      <c r="D840" s="34" t="s">
        <v>225</v>
      </c>
      <c r="E840" s="34" t="e">
        <f>IF(B840="","",VLOOKUP($B840,#REF!,4,FALSE))</f>
        <v>#REF!</v>
      </c>
      <c r="F840" s="34" t="e">
        <f>IF(E840="","",VLOOKUP($B840,#REF!,5,FALSE))</f>
        <v>#REF!</v>
      </c>
      <c r="G840" s="34" t="e">
        <f>IF(F840="","",VLOOKUP($B840,#REF!,6,FALSE))</f>
        <v>#REF!</v>
      </c>
      <c r="H840" s="34" t="e">
        <f>IF(G840="","",VLOOKUP($B840,#REF!,7,FALSE))</f>
        <v>#REF!</v>
      </c>
      <c r="I840" s="25"/>
      <c r="J840" s="25">
        <v>1720</v>
      </c>
      <c r="K840" s="25"/>
      <c r="L840" s="25"/>
      <c r="M840" s="25"/>
      <c r="N840" s="25"/>
      <c r="O840" s="33">
        <f t="shared" ref="O840:O897" si="27">SUM(I840:N840)</f>
        <v>1720</v>
      </c>
      <c r="P840" s="25">
        <v>17000</v>
      </c>
      <c r="Q840" s="25">
        <f>O840*P840</f>
        <v>29240000</v>
      </c>
      <c r="R840" s="25"/>
      <c r="S840" s="25"/>
      <c r="T840" s="25"/>
      <c r="U840" s="25"/>
      <c r="V840" s="39"/>
      <c r="W840" s="25"/>
      <c r="X840" s="33">
        <f t="shared" si="26"/>
        <v>0</v>
      </c>
      <c r="Y840" s="39"/>
      <c r="Z840" s="25">
        <f t="shared" ref="Z840:Z897" si="28">X840*Y840</f>
        <v>0</v>
      </c>
      <c r="AA840" s="45"/>
      <c r="AB840" s="45"/>
      <c r="AC840" s="45"/>
      <c r="AD840" s="45"/>
      <c r="AE840" s="45"/>
    </row>
    <row r="841" spans="1:31" s="12" customFormat="1" ht="12">
      <c r="A841" s="27">
        <v>45622</v>
      </c>
      <c r="B841" s="73" t="s">
        <v>41</v>
      </c>
      <c r="C841" s="37" t="s">
        <v>117</v>
      </c>
      <c r="D841" s="34" t="s">
        <v>225</v>
      </c>
      <c r="E841" s="34" t="e">
        <f>IF(B841="","",VLOOKUP($B841,#REF!,4,FALSE))</f>
        <v>#REF!</v>
      </c>
      <c r="F841" s="34" t="e">
        <f>IF(E841="","",VLOOKUP($B841,#REF!,5,FALSE))</f>
        <v>#REF!</v>
      </c>
      <c r="G841" s="34" t="e">
        <f>IF(F841="","",VLOOKUP($B841,#REF!,6,FALSE))</f>
        <v>#REF!</v>
      </c>
      <c r="H841" s="34" t="e">
        <f>IF(G841="","",VLOOKUP($B841,#REF!,7,FALSE))</f>
        <v>#REF!</v>
      </c>
      <c r="I841" s="25"/>
      <c r="J841" s="25">
        <v>200</v>
      </c>
      <c r="K841" s="25"/>
      <c r="L841" s="25"/>
      <c r="M841" s="25"/>
      <c r="N841" s="25"/>
      <c r="O841" s="33">
        <f t="shared" si="27"/>
        <v>200</v>
      </c>
      <c r="P841" s="25">
        <v>17000</v>
      </c>
      <c r="Q841" s="25">
        <f t="shared" ref="Q841:Q898" si="29">O841*P841</f>
        <v>3400000</v>
      </c>
      <c r="R841" s="25"/>
      <c r="S841" s="25"/>
      <c r="T841" s="25"/>
      <c r="U841" s="25"/>
      <c r="V841" s="39"/>
      <c r="W841" s="25"/>
      <c r="X841" s="33">
        <f t="shared" si="26"/>
        <v>0</v>
      </c>
      <c r="Y841" s="39"/>
      <c r="Z841" s="25">
        <f t="shared" si="28"/>
        <v>0</v>
      </c>
      <c r="AA841" s="45"/>
      <c r="AB841" s="45"/>
      <c r="AC841" s="45"/>
      <c r="AD841" s="45"/>
      <c r="AE841" s="45"/>
    </row>
    <row r="842" spans="1:31" s="12" customFormat="1" ht="12">
      <c r="A842" s="27">
        <v>45622</v>
      </c>
      <c r="B842" s="53" t="s">
        <v>237</v>
      </c>
      <c r="C842" s="37">
        <v>0</v>
      </c>
      <c r="D842" s="34" t="s">
        <v>183</v>
      </c>
      <c r="E842" s="34" t="e">
        <f>IF(B842="","",VLOOKUP($B842,#REF!,4,FALSE))</f>
        <v>#REF!</v>
      </c>
      <c r="F842" s="34" t="e">
        <f>IF(E842="","",VLOOKUP($B842,#REF!,5,FALSE))</f>
        <v>#REF!</v>
      </c>
      <c r="G842" s="34" t="e">
        <f>IF(F842="","",VLOOKUP($B842,#REF!,6,FALSE))</f>
        <v>#REF!</v>
      </c>
      <c r="H842" s="34" t="e">
        <f>IF(G842="","",VLOOKUP($B842,#REF!,7,FALSE))</f>
        <v>#REF!</v>
      </c>
      <c r="I842" s="25"/>
      <c r="J842" s="25"/>
      <c r="K842" s="25"/>
      <c r="L842" s="25"/>
      <c r="M842" s="25"/>
      <c r="N842" s="25"/>
      <c r="O842" s="33">
        <f t="shared" si="27"/>
        <v>0</v>
      </c>
      <c r="P842" s="25"/>
      <c r="Q842" s="25">
        <f t="shared" si="29"/>
        <v>0</v>
      </c>
      <c r="R842" s="25"/>
      <c r="S842" s="25"/>
      <c r="T842" s="25">
        <v>12</v>
      </c>
      <c r="U842" s="25"/>
      <c r="V842" s="39"/>
      <c r="W842" s="25"/>
      <c r="X842" s="33">
        <f t="shared" si="26"/>
        <v>12</v>
      </c>
      <c r="Y842" s="39"/>
      <c r="Z842" s="25">
        <f t="shared" si="28"/>
        <v>0</v>
      </c>
      <c r="AA842" s="45" t="s">
        <v>245</v>
      </c>
      <c r="AB842" s="45"/>
      <c r="AC842" s="45"/>
      <c r="AD842" s="45"/>
      <c r="AE842" s="45"/>
    </row>
    <row r="843" spans="1:31" s="12" customFormat="1" ht="12">
      <c r="A843" s="27">
        <v>45622</v>
      </c>
      <c r="B843" s="53" t="s">
        <v>10</v>
      </c>
      <c r="C843" s="37" t="s">
        <v>83</v>
      </c>
      <c r="D843" s="34" t="s">
        <v>185</v>
      </c>
      <c r="E843" s="34" t="e">
        <f>IF(B843="","",VLOOKUP($B843,#REF!,4,FALSE))</f>
        <v>#REF!</v>
      </c>
      <c r="F843" s="34" t="e">
        <f>IF(E843="","",VLOOKUP($B843,#REF!,5,FALSE))</f>
        <v>#REF!</v>
      </c>
      <c r="G843" s="34" t="e">
        <f>IF(F843="","",VLOOKUP($B843,#REF!,6,FALSE))</f>
        <v>#REF!</v>
      </c>
      <c r="H843" s="34" t="e">
        <f>IF(G843="","",VLOOKUP($B843,#REF!,7,FALSE))</f>
        <v>#REF!</v>
      </c>
      <c r="I843" s="25"/>
      <c r="J843" s="25"/>
      <c r="K843" s="25"/>
      <c r="L843" s="25"/>
      <c r="M843" s="25"/>
      <c r="N843" s="25"/>
      <c r="O843" s="33">
        <f t="shared" si="27"/>
        <v>0</v>
      </c>
      <c r="P843" s="25"/>
      <c r="Q843" s="25">
        <f t="shared" si="29"/>
        <v>0</v>
      </c>
      <c r="R843" s="25"/>
      <c r="S843" s="25"/>
      <c r="T843" s="25">
        <v>14</v>
      </c>
      <c r="U843" s="25"/>
      <c r="V843" s="39"/>
      <c r="W843" s="25"/>
      <c r="X843" s="33">
        <f t="shared" si="26"/>
        <v>14</v>
      </c>
      <c r="Y843" s="39"/>
      <c r="Z843" s="25">
        <f t="shared" si="28"/>
        <v>0</v>
      </c>
      <c r="AA843" s="45" t="s">
        <v>245</v>
      </c>
      <c r="AB843" s="45"/>
      <c r="AC843" s="45"/>
      <c r="AD843" s="45"/>
      <c r="AE843" s="45"/>
    </row>
    <row r="844" spans="1:31" s="12" customFormat="1" ht="12">
      <c r="A844" s="27">
        <v>45622</v>
      </c>
      <c r="B844" s="53" t="s">
        <v>238</v>
      </c>
      <c r="C844" s="37" t="s">
        <v>85</v>
      </c>
      <c r="D844" s="34" t="s">
        <v>192</v>
      </c>
      <c r="E844" s="34" t="e">
        <f>IF(B844="","",VLOOKUP($B844,#REF!,4,FALSE))</f>
        <v>#REF!</v>
      </c>
      <c r="F844" s="34" t="e">
        <f>IF(E844="","",VLOOKUP($B844,#REF!,5,FALSE))</f>
        <v>#REF!</v>
      </c>
      <c r="G844" s="34" t="e">
        <f>IF(F844="","",VLOOKUP($B844,#REF!,6,FALSE))</f>
        <v>#REF!</v>
      </c>
      <c r="H844" s="34" t="e">
        <f>IF(G844="","",VLOOKUP($B844,#REF!,7,FALSE))</f>
        <v>#REF!</v>
      </c>
      <c r="I844" s="25"/>
      <c r="J844" s="25"/>
      <c r="K844" s="25">
        <v>7</v>
      </c>
      <c r="L844" s="25"/>
      <c r="M844" s="25"/>
      <c r="N844" s="25"/>
      <c r="O844" s="33">
        <f t="shared" si="27"/>
        <v>7</v>
      </c>
      <c r="P844" s="25"/>
      <c r="Q844" s="25">
        <f t="shared" si="29"/>
        <v>0</v>
      </c>
      <c r="R844" s="25"/>
      <c r="S844" s="25"/>
      <c r="T844" s="25">
        <v>7</v>
      </c>
      <c r="U844" s="25"/>
      <c r="V844" s="39"/>
      <c r="W844" s="25"/>
      <c r="X844" s="33">
        <f t="shared" si="26"/>
        <v>7</v>
      </c>
      <c r="Y844" s="39">
        <v>110000</v>
      </c>
      <c r="Z844" s="25">
        <f t="shared" si="28"/>
        <v>770000</v>
      </c>
      <c r="AA844" s="45" t="s">
        <v>217</v>
      </c>
      <c r="AB844" s="45"/>
      <c r="AC844" s="45"/>
      <c r="AD844" s="45"/>
      <c r="AE844" s="45"/>
    </row>
    <row r="845" spans="1:31" s="12" customFormat="1" ht="12">
      <c r="A845" s="27">
        <v>45622</v>
      </c>
      <c r="B845" s="53" t="s">
        <v>171</v>
      </c>
      <c r="C845" s="37" t="s">
        <v>85</v>
      </c>
      <c r="D845" s="34" t="s">
        <v>192</v>
      </c>
      <c r="E845" s="34" t="e">
        <f>IF(B845="","",VLOOKUP($B845,#REF!,4,FALSE))</f>
        <v>#REF!</v>
      </c>
      <c r="F845" s="34" t="e">
        <f>IF(E845="","",VLOOKUP($B845,#REF!,5,FALSE))</f>
        <v>#REF!</v>
      </c>
      <c r="G845" s="34" t="e">
        <f>IF(F845="","",VLOOKUP($B845,#REF!,6,FALSE))</f>
        <v>#REF!</v>
      </c>
      <c r="H845" s="34" t="e">
        <f>IF(G845="","",VLOOKUP($B845,#REF!,7,FALSE))</f>
        <v>#REF!</v>
      </c>
      <c r="I845" s="25"/>
      <c r="J845" s="25"/>
      <c r="K845" s="25">
        <v>14</v>
      </c>
      <c r="L845" s="25"/>
      <c r="M845" s="25"/>
      <c r="N845" s="25"/>
      <c r="O845" s="33">
        <f t="shared" si="27"/>
        <v>14</v>
      </c>
      <c r="P845" s="25"/>
      <c r="Q845" s="25">
        <f t="shared" si="29"/>
        <v>0</v>
      </c>
      <c r="R845" s="25"/>
      <c r="S845" s="25"/>
      <c r="T845" s="25">
        <v>14</v>
      </c>
      <c r="U845" s="25"/>
      <c r="V845" s="39"/>
      <c r="W845" s="25"/>
      <c r="X845" s="33">
        <f t="shared" si="26"/>
        <v>14</v>
      </c>
      <c r="Y845" s="39">
        <v>53400</v>
      </c>
      <c r="Z845" s="25">
        <f t="shared" si="28"/>
        <v>747600</v>
      </c>
      <c r="AA845" s="45" t="s">
        <v>217</v>
      </c>
      <c r="AB845" s="45"/>
      <c r="AC845" s="45"/>
      <c r="AD845" s="45"/>
      <c r="AE845" s="45"/>
    </row>
    <row r="846" spans="1:31" s="12" customFormat="1" ht="12">
      <c r="A846" s="27">
        <v>45622</v>
      </c>
      <c r="B846" s="53" t="s">
        <v>238</v>
      </c>
      <c r="C846" s="37" t="s">
        <v>85</v>
      </c>
      <c r="D846" s="34" t="s">
        <v>192</v>
      </c>
      <c r="E846" s="34" t="e">
        <f>IF(B846="","",VLOOKUP($B846,#REF!,4,FALSE))</f>
        <v>#REF!</v>
      </c>
      <c r="F846" s="34" t="e">
        <f>IF(E846="","",VLOOKUP($B846,#REF!,5,FALSE))</f>
        <v>#REF!</v>
      </c>
      <c r="G846" s="34" t="e">
        <f>IF(F846="","",VLOOKUP($B846,#REF!,6,FALSE))</f>
        <v>#REF!</v>
      </c>
      <c r="H846" s="34" t="e">
        <f>IF(G846="","",VLOOKUP($B846,#REF!,7,FALSE))</f>
        <v>#REF!</v>
      </c>
      <c r="I846" s="25"/>
      <c r="J846" s="25"/>
      <c r="K846" s="25">
        <v>5</v>
      </c>
      <c r="L846" s="25"/>
      <c r="M846" s="25"/>
      <c r="N846" s="25"/>
      <c r="O846" s="33">
        <f t="shared" si="27"/>
        <v>5</v>
      </c>
      <c r="P846" s="25"/>
      <c r="Q846" s="25">
        <f t="shared" si="29"/>
        <v>0</v>
      </c>
      <c r="R846" s="25"/>
      <c r="S846" s="25"/>
      <c r="T846" s="25">
        <v>5</v>
      </c>
      <c r="U846" s="25"/>
      <c r="V846" s="39"/>
      <c r="W846" s="25"/>
      <c r="X846" s="33">
        <f t="shared" si="26"/>
        <v>5</v>
      </c>
      <c r="Y846" s="39">
        <v>110000</v>
      </c>
      <c r="Z846" s="25">
        <f t="shared" si="28"/>
        <v>550000</v>
      </c>
      <c r="AA846" s="45" t="s">
        <v>218</v>
      </c>
      <c r="AB846" s="45"/>
      <c r="AC846" s="45"/>
      <c r="AD846" s="45"/>
      <c r="AE846" s="45"/>
    </row>
    <row r="847" spans="1:31" s="12" customFormat="1" ht="12">
      <c r="A847" s="27">
        <v>45622</v>
      </c>
      <c r="B847" s="53" t="s">
        <v>220</v>
      </c>
      <c r="C847" s="37" t="s">
        <v>82</v>
      </c>
      <c r="D847" s="34" t="s">
        <v>186</v>
      </c>
      <c r="E847" s="34" t="e">
        <f>IF(B847="","",VLOOKUP($B847,#REF!,4,FALSE))</f>
        <v>#REF!</v>
      </c>
      <c r="F847" s="34" t="e">
        <f>IF(E847="","",VLOOKUP($B847,#REF!,5,FALSE))</f>
        <v>#REF!</v>
      </c>
      <c r="G847" s="34" t="e">
        <f>IF(F847="","",VLOOKUP($B847,#REF!,6,FALSE))</f>
        <v>#REF!</v>
      </c>
      <c r="H847" s="34" t="e">
        <f>IF(G847="","",VLOOKUP($B847,#REF!,7,FALSE))</f>
        <v>#REF!</v>
      </c>
      <c r="I847" s="25"/>
      <c r="J847" s="25"/>
      <c r="K847" s="25"/>
      <c r="L847" s="25"/>
      <c r="M847" s="25"/>
      <c r="N847" s="25"/>
      <c r="O847" s="33">
        <f t="shared" si="27"/>
        <v>0</v>
      </c>
      <c r="P847" s="25"/>
      <c r="Q847" s="25">
        <f t="shared" si="29"/>
        <v>0</v>
      </c>
      <c r="R847" s="25"/>
      <c r="S847" s="25"/>
      <c r="T847" s="25"/>
      <c r="U847" s="25"/>
      <c r="V847" s="39">
        <v>156</v>
      </c>
      <c r="W847" s="25"/>
      <c r="X847" s="33">
        <f t="shared" si="26"/>
        <v>156</v>
      </c>
      <c r="Y847" s="39">
        <v>235000</v>
      </c>
      <c r="Z847" s="25">
        <f t="shared" si="28"/>
        <v>36660000</v>
      </c>
      <c r="AA847" s="45"/>
      <c r="AB847" s="45"/>
      <c r="AC847" s="45"/>
      <c r="AD847" s="45"/>
      <c r="AE847" s="45"/>
    </row>
    <row r="848" spans="1:31" s="12" customFormat="1" ht="12">
      <c r="A848" s="27">
        <v>45622</v>
      </c>
      <c r="B848" s="53" t="s">
        <v>97</v>
      </c>
      <c r="C848" s="37" t="s">
        <v>82</v>
      </c>
      <c r="D848" s="34" t="s">
        <v>186</v>
      </c>
      <c r="E848" s="34" t="e">
        <f>IF(B848="","",VLOOKUP($B848,#REF!,4,FALSE))</f>
        <v>#REF!</v>
      </c>
      <c r="F848" s="34" t="e">
        <f>IF(E848="","",VLOOKUP($B848,#REF!,5,FALSE))</f>
        <v>#REF!</v>
      </c>
      <c r="G848" s="34" t="e">
        <f>IF(F848="","",VLOOKUP($B848,#REF!,6,FALSE))</f>
        <v>#REF!</v>
      </c>
      <c r="H848" s="34" t="e">
        <f>IF(G848="","",VLOOKUP($B848,#REF!,7,FALSE))</f>
        <v>#REF!</v>
      </c>
      <c r="I848" s="25"/>
      <c r="J848" s="25"/>
      <c r="K848" s="25"/>
      <c r="L848" s="25"/>
      <c r="M848" s="25"/>
      <c r="N848" s="25"/>
      <c r="O848" s="33">
        <f t="shared" si="27"/>
        <v>0</v>
      </c>
      <c r="P848" s="25"/>
      <c r="Q848" s="25">
        <f t="shared" si="29"/>
        <v>0</v>
      </c>
      <c r="R848" s="25"/>
      <c r="S848" s="25"/>
      <c r="T848" s="25"/>
      <c r="U848" s="25"/>
      <c r="V848" s="39">
        <v>12</v>
      </c>
      <c r="W848" s="25"/>
      <c r="X848" s="33">
        <f t="shared" si="26"/>
        <v>12</v>
      </c>
      <c r="Y848" s="39">
        <v>128000</v>
      </c>
      <c r="Z848" s="25">
        <f t="shared" si="28"/>
        <v>1536000</v>
      </c>
      <c r="AA848" s="45"/>
      <c r="AB848" s="45"/>
      <c r="AC848" s="45"/>
      <c r="AD848" s="45"/>
      <c r="AE848" s="45"/>
    </row>
    <row r="849" spans="1:31" s="12" customFormat="1" ht="12">
      <c r="A849" s="27">
        <v>45622</v>
      </c>
      <c r="B849" s="28" t="s">
        <v>160</v>
      </c>
      <c r="C849" s="37" t="s">
        <v>82</v>
      </c>
      <c r="D849" s="34" t="s">
        <v>186</v>
      </c>
      <c r="E849" s="34" t="e">
        <f>IF(B849="","",VLOOKUP($B849,#REF!,4,FALSE))</f>
        <v>#REF!</v>
      </c>
      <c r="F849" s="34" t="e">
        <f>IF(E849="","",VLOOKUP($B849,#REF!,5,FALSE))</f>
        <v>#REF!</v>
      </c>
      <c r="G849" s="34" t="e">
        <f>IF(F849="","",VLOOKUP($B849,#REF!,6,FALSE))</f>
        <v>#REF!</v>
      </c>
      <c r="H849" s="34" t="e">
        <f>IF(G849="","",VLOOKUP($B849,#REF!,7,FALSE))</f>
        <v>#REF!</v>
      </c>
      <c r="I849" s="25"/>
      <c r="J849" s="25"/>
      <c r="K849" s="25"/>
      <c r="L849" s="25"/>
      <c r="M849" s="25"/>
      <c r="N849" s="25"/>
      <c r="O849" s="33">
        <f t="shared" si="27"/>
        <v>0</v>
      </c>
      <c r="P849" s="25"/>
      <c r="Q849" s="25">
        <f t="shared" si="29"/>
        <v>0</v>
      </c>
      <c r="R849" s="25"/>
      <c r="S849" s="25"/>
      <c r="T849" s="25"/>
      <c r="U849" s="25"/>
      <c r="V849" s="39">
        <v>180</v>
      </c>
      <c r="W849" s="25"/>
      <c r="X849" s="33">
        <f t="shared" si="26"/>
        <v>180</v>
      </c>
      <c r="Y849" s="39">
        <v>100300</v>
      </c>
      <c r="Z849" s="25">
        <f t="shared" si="28"/>
        <v>18054000</v>
      </c>
      <c r="AA849" s="45"/>
      <c r="AB849" s="45"/>
      <c r="AC849" s="45"/>
      <c r="AD849" s="45"/>
      <c r="AE849" s="45"/>
    </row>
    <row r="850" spans="1:31" s="12" customFormat="1" ht="12">
      <c r="A850" s="27">
        <v>45622</v>
      </c>
      <c r="B850" s="53" t="s">
        <v>168</v>
      </c>
      <c r="C850" s="37" t="s">
        <v>82</v>
      </c>
      <c r="D850" s="34" t="s">
        <v>186</v>
      </c>
      <c r="E850" s="34" t="e">
        <f>IF(B850="","",VLOOKUP($B850,#REF!,4,FALSE))</f>
        <v>#REF!</v>
      </c>
      <c r="F850" s="34" t="e">
        <f>IF(E850="","",VLOOKUP($B850,#REF!,5,FALSE))</f>
        <v>#REF!</v>
      </c>
      <c r="G850" s="34" t="e">
        <f>IF(F850="","",VLOOKUP($B850,#REF!,6,FALSE))</f>
        <v>#REF!</v>
      </c>
      <c r="H850" s="34" t="e">
        <f>IF(G850="","",VLOOKUP($B850,#REF!,7,FALSE))</f>
        <v>#REF!</v>
      </c>
      <c r="I850" s="25"/>
      <c r="J850" s="25"/>
      <c r="K850" s="25"/>
      <c r="L850" s="25"/>
      <c r="M850" s="25"/>
      <c r="N850" s="25"/>
      <c r="O850" s="33">
        <f t="shared" si="27"/>
        <v>0</v>
      </c>
      <c r="P850" s="25"/>
      <c r="Q850" s="25">
        <f t="shared" si="29"/>
        <v>0</v>
      </c>
      <c r="R850" s="25"/>
      <c r="S850" s="25"/>
      <c r="T850" s="25"/>
      <c r="U850" s="25"/>
      <c r="V850" s="39">
        <v>96</v>
      </c>
      <c r="W850" s="25"/>
      <c r="X850" s="33">
        <f t="shared" si="26"/>
        <v>96</v>
      </c>
      <c r="Y850" s="39">
        <v>124920</v>
      </c>
      <c r="Z850" s="25">
        <f t="shared" si="28"/>
        <v>11992320</v>
      </c>
      <c r="AA850" s="45"/>
      <c r="AB850" s="45"/>
      <c r="AC850" s="45"/>
      <c r="AD850" s="45"/>
      <c r="AE850" s="45"/>
    </row>
    <row r="851" spans="1:31" s="12" customFormat="1" ht="12">
      <c r="A851" s="27">
        <v>45622</v>
      </c>
      <c r="B851" s="56" t="s">
        <v>21</v>
      </c>
      <c r="C851" s="37" t="s">
        <v>82</v>
      </c>
      <c r="D851" s="34" t="s">
        <v>186</v>
      </c>
      <c r="E851" s="34" t="e">
        <f>IF(B851="","",VLOOKUP($B851,#REF!,4,FALSE))</f>
        <v>#REF!</v>
      </c>
      <c r="F851" s="34" t="e">
        <f>IF(E851="","",VLOOKUP($B851,#REF!,5,FALSE))</f>
        <v>#REF!</v>
      </c>
      <c r="G851" s="34" t="e">
        <f>IF(F851="","",VLOOKUP($B851,#REF!,6,FALSE))</f>
        <v>#REF!</v>
      </c>
      <c r="H851" s="34" t="e">
        <f>IF(G851="","",VLOOKUP($B851,#REF!,7,FALSE))</f>
        <v>#REF!</v>
      </c>
      <c r="I851" s="25"/>
      <c r="J851" s="25"/>
      <c r="K851" s="25"/>
      <c r="L851" s="25"/>
      <c r="M851" s="25"/>
      <c r="N851" s="25"/>
      <c r="O851" s="33">
        <f t="shared" si="27"/>
        <v>0</v>
      </c>
      <c r="P851" s="25"/>
      <c r="Q851" s="25">
        <f t="shared" si="29"/>
        <v>0</v>
      </c>
      <c r="R851" s="25"/>
      <c r="S851" s="25"/>
      <c r="T851" s="25"/>
      <c r="U851" s="25"/>
      <c r="V851" s="39">
        <v>168</v>
      </c>
      <c r="W851" s="25"/>
      <c r="X851" s="33">
        <f t="shared" si="26"/>
        <v>168</v>
      </c>
      <c r="Y851" s="39">
        <v>81800</v>
      </c>
      <c r="Z851" s="25">
        <f t="shared" si="28"/>
        <v>13742400</v>
      </c>
      <c r="AA851" s="45"/>
      <c r="AB851" s="45"/>
      <c r="AC851" s="45"/>
      <c r="AD851" s="45"/>
      <c r="AE851" s="45"/>
    </row>
    <row r="852" spans="1:31" s="12" customFormat="1" ht="12">
      <c r="A852" s="27">
        <v>45622</v>
      </c>
      <c r="B852" s="47" t="s">
        <v>211</v>
      </c>
      <c r="C852" s="37" t="s">
        <v>82</v>
      </c>
      <c r="D852" s="34" t="s">
        <v>186</v>
      </c>
      <c r="E852" s="34" t="e">
        <f>IF(B852="","",VLOOKUP($B852,#REF!,4,FALSE))</f>
        <v>#REF!</v>
      </c>
      <c r="F852" s="34" t="e">
        <f>IF(E852="","",VLOOKUP($B852,#REF!,5,FALSE))</f>
        <v>#REF!</v>
      </c>
      <c r="G852" s="34" t="e">
        <f>IF(F852="","",VLOOKUP($B852,#REF!,6,FALSE))</f>
        <v>#REF!</v>
      </c>
      <c r="H852" s="34" t="e">
        <f>IF(G852="","",VLOOKUP($B852,#REF!,7,FALSE))</f>
        <v>#REF!</v>
      </c>
      <c r="I852" s="25"/>
      <c r="J852" s="25"/>
      <c r="K852" s="25"/>
      <c r="L852" s="25"/>
      <c r="M852" s="25"/>
      <c r="N852" s="25"/>
      <c r="O852" s="33">
        <f t="shared" si="27"/>
        <v>0</v>
      </c>
      <c r="P852" s="25"/>
      <c r="Q852" s="25">
        <f t="shared" si="29"/>
        <v>0</v>
      </c>
      <c r="R852" s="25"/>
      <c r="S852" s="25"/>
      <c r="T852" s="25"/>
      <c r="U852" s="25"/>
      <c r="V852" s="39">
        <v>192</v>
      </c>
      <c r="W852" s="25"/>
      <c r="X852" s="33">
        <f t="shared" si="26"/>
        <v>192</v>
      </c>
      <c r="Y852" s="39">
        <v>46020</v>
      </c>
      <c r="Z852" s="25">
        <f t="shared" si="28"/>
        <v>8835840</v>
      </c>
      <c r="AA852" s="45"/>
      <c r="AB852" s="45"/>
      <c r="AC852" s="45"/>
      <c r="AD852" s="45"/>
      <c r="AE852" s="45"/>
    </row>
    <row r="853" spans="1:31" s="12" customFormat="1" ht="12">
      <c r="A853" s="27">
        <v>45622</v>
      </c>
      <c r="B853" s="47" t="s">
        <v>211</v>
      </c>
      <c r="C853" s="37" t="s">
        <v>82</v>
      </c>
      <c r="D853" s="34" t="s">
        <v>186</v>
      </c>
      <c r="E853" s="34" t="e">
        <f>IF(B853="","",VLOOKUP($B853,#REF!,4,FALSE))</f>
        <v>#REF!</v>
      </c>
      <c r="F853" s="34" t="e">
        <f>IF(E853="","",VLOOKUP($B853,#REF!,5,FALSE))</f>
        <v>#REF!</v>
      </c>
      <c r="G853" s="34" t="e">
        <f>IF(F853="","",VLOOKUP($B853,#REF!,6,FALSE))</f>
        <v>#REF!</v>
      </c>
      <c r="H853" s="34" t="e">
        <f>IF(G853="","",VLOOKUP($B853,#REF!,7,FALSE))</f>
        <v>#REF!</v>
      </c>
      <c r="I853" s="25"/>
      <c r="J853" s="25"/>
      <c r="K853" s="25"/>
      <c r="L853" s="25"/>
      <c r="M853" s="25"/>
      <c r="N853" s="25"/>
      <c r="O853" s="33">
        <f t="shared" si="27"/>
        <v>0</v>
      </c>
      <c r="P853" s="25"/>
      <c r="Q853" s="25">
        <f t="shared" si="29"/>
        <v>0</v>
      </c>
      <c r="R853" s="25"/>
      <c r="S853" s="25"/>
      <c r="T853" s="25"/>
      <c r="U853" s="25"/>
      <c r="V853" s="39">
        <v>36</v>
      </c>
      <c r="W853" s="25"/>
      <c r="X853" s="33">
        <f t="shared" si="26"/>
        <v>36</v>
      </c>
      <c r="Y853" s="39">
        <v>46020</v>
      </c>
      <c r="Z853" s="25">
        <f t="shared" si="28"/>
        <v>1656720</v>
      </c>
      <c r="AA853" s="45"/>
      <c r="AB853" s="45"/>
      <c r="AC853" s="45"/>
      <c r="AD853" s="45"/>
      <c r="AE853" s="45"/>
    </row>
    <row r="854" spans="1:31" s="12" customFormat="1" ht="12">
      <c r="A854" s="27">
        <v>45622</v>
      </c>
      <c r="B854" s="73" t="s">
        <v>15</v>
      </c>
      <c r="C854" s="37" t="s">
        <v>83</v>
      </c>
      <c r="D854" s="34" t="s">
        <v>185</v>
      </c>
      <c r="E854" s="34" t="e">
        <f>IF(B854="","",VLOOKUP($B854,#REF!,4,FALSE))</f>
        <v>#REF!</v>
      </c>
      <c r="F854" s="34" t="e">
        <f>IF(E854="","",VLOOKUP($B854,#REF!,5,FALSE))</f>
        <v>#REF!</v>
      </c>
      <c r="G854" s="34" t="e">
        <f>IF(F854="","",VLOOKUP($B854,#REF!,6,FALSE))</f>
        <v>#REF!</v>
      </c>
      <c r="H854" s="34" t="e">
        <f>IF(G854="","",VLOOKUP($B854,#REF!,7,FALSE))</f>
        <v>#REF!</v>
      </c>
      <c r="I854" s="25"/>
      <c r="J854" s="25"/>
      <c r="K854" s="25"/>
      <c r="L854" s="25"/>
      <c r="M854" s="25"/>
      <c r="N854" s="25"/>
      <c r="O854" s="33">
        <f t="shared" si="27"/>
        <v>0</v>
      </c>
      <c r="P854" s="25"/>
      <c r="Q854" s="25">
        <f t="shared" si="29"/>
        <v>0</v>
      </c>
      <c r="R854" s="25"/>
      <c r="S854" s="25"/>
      <c r="T854" s="25">
        <v>2</v>
      </c>
      <c r="U854" s="25"/>
      <c r="V854" s="39"/>
      <c r="W854" s="25"/>
      <c r="X854" s="33">
        <f t="shared" si="26"/>
        <v>2</v>
      </c>
      <c r="Y854" s="39">
        <v>69600</v>
      </c>
      <c r="Z854" s="25">
        <f t="shared" si="28"/>
        <v>139200</v>
      </c>
      <c r="AA854" s="45"/>
      <c r="AB854" s="45"/>
      <c r="AC854" s="45"/>
      <c r="AD854" s="45"/>
      <c r="AE854" s="45"/>
    </row>
    <row r="855" spans="1:31" s="12" customFormat="1" ht="12">
      <c r="A855" s="27">
        <v>45622</v>
      </c>
      <c r="B855" s="53" t="s">
        <v>10</v>
      </c>
      <c r="C855" s="37" t="s">
        <v>83</v>
      </c>
      <c r="D855" s="34" t="s">
        <v>185</v>
      </c>
      <c r="E855" s="34" t="e">
        <f>IF(B855="","",VLOOKUP($B855,#REF!,4,FALSE))</f>
        <v>#REF!</v>
      </c>
      <c r="F855" s="34" t="e">
        <f>IF(E855="","",VLOOKUP($B855,#REF!,5,FALSE))</f>
        <v>#REF!</v>
      </c>
      <c r="G855" s="34" t="e">
        <f>IF(F855="","",VLOOKUP($B855,#REF!,6,FALSE))</f>
        <v>#REF!</v>
      </c>
      <c r="H855" s="34" t="e">
        <f>IF(G855="","",VLOOKUP($B855,#REF!,7,FALSE))</f>
        <v>#REF!</v>
      </c>
      <c r="I855" s="25"/>
      <c r="J855" s="25"/>
      <c r="K855" s="25"/>
      <c r="L855" s="25"/>
      <c r="M855" s="25"/>
      <c r="N855" s="25"/>
      <c r="O855" s="33">
        <f t="shared" si="27"/>
        <v>0</v>
      </c>
      <c r="P855" s="25"/>
      <c r="Q855" s="25">
        <f t="shared" si="29"/>
        <v>0</v>
      </c>
      <c r="R855" s="25"/>
      <c r="S855" s="25"/>
      <c r="T855" s="25">
        <v>1</v>
      </c>
      <c r="U855" s="25"/>
      <c r="V855" s="39"/>
      <c r="W855" s="25"/>
      <c r="X855" s="33">
        <f t="shared" si="26"/>
        <v>1</v>
      </c>
      <c r="Y855" s="39">
        <v>57000</v>
      </c>
      <c r="Z855" s="25">
        <f t="shared" si="28"/>
        <v>57000</v>
      </c>
      <c r="AA855" s="45"/>
      <c r="AB855" s="45"/>
      <c r="AC855" s="45"/>
      <c r="AD855" s="45"/>
      <c r="AE855" s="45"/>
    </row>
    <row r="856" spans="1:31" s="12" customFormat="1" ht="12">
      <c r="A856" s="27">
        <v>45622</v>
      </c>
      <c r="B856" s="53" t="s">
        <v>25</v>
      </c>
      <c r="C856" s="37" t="s">
        <v>83</v>
      </c>
      <c r="D856" s="34" t="s">
        <v>185</v>
      </c>
      <c r="E856" s="34" t="e">
        <f>IF(B856="","",VLOOKUP($B856,#REF!,4,FALSE))</f>
        <v>#REF!</v>
      </c>
      <c r="F856" s="34" t="e">
        <f>IF(E856="","",VLOOKUP($B856,#REF!,5,FALSE))</f>
        <v>#REF!</v>
      </c>
      <c r="G856" s="34" t="e">
        <f>IF(F856="","",VLOOKUP($B856,#REF!,6,FALSE))</f>
        <v>#REF!</v>
      </c>
      <c r="H856" s="34" t="e">
        <f>IF(G856="","",VLOOKUP($B856,#REF!,7,FALSE))</f>
        <v>#REF!</v>
      </c>
      <c r="I856" s="25"/>
      <c r="J856" s="25"/>
      <c r="K856" s="25"/>
      <c r="L856" s="25"/>
      <c r="M856" s="25"/>
      <c r="N856" s="25"/>
      <c r="O856" s="33">
        <f t="shared" si="27"/>
        <v>0</v>
      </c>
      <c r="P856" s="25"/>
      <c r="Q856" s="25">
        <f t="shared" si="29"/>
        <v>0</v>
      </c>
      <c r="R856" s="25"/>
      <c r="S856" s="25"/>
      <c r="T856" s="25">
        <v>1</v>
      </c>
      <c r="U856" s="25"/>
      <c r="V856" s="39"/>
      <c r="W856" s="25"/>
      <c r="X856" s="33">
        <f t="shared" si="26"/>
        <v>1</v>
      </c>
      <c r="Y856" s="39">
        <v>57000</v>
      </c>
      <c r="Z856" s="25">
        <f t="shared" si="28"/>
        <v>57000</v>
      </c>
      <c r="AA856" s="45"/>
      <c r="AB856" s="45"/>
      <c r="AC856" s="45"/>
      <c r="AD856" s="45"/>
      <c r="AE856" s="45"/>
    </row>
    <row r="857" spans="1:31" s="12" customFormat="1" ht="12">
      <c r="A857" s="27">
        <v>45622</v>
      </c>
      <c r="B857" s="53" t="s">
        <v>61</v>
      </c>
      <c r="C857" s="37" t="s">
        <v>83</v>
      </c>
      <c r="D857" s="34" t="s">
        <v>185</v>
      </c>
      <c r="E857" s="34" t="e">
        <f>IF(B857="","",VLOOKUP($B857,#REF!,4,FALSE))</f>
        <v>#REF!</v>
      </c>
      <c r="F857" s="34" t="e">
        <f>IF(E857="","",VLOOKUP($B857,#REF!,5,FALSE))</f>
        <v>#REF!</v>
      </c>
      <c r="G857" s="34" t="e">
        <f>IF(F857="","",VLOOKUP($B857,#REF!,6,FALSE))</f>
        <v>#REF!</v>
      </c>
      <c r="H857" s="34" t="e">
        <f>IF(G857="","",VLOOKUP($B857,#REF!,7,FALSE))</f>
        <v>#REF!</v>
      </c>
      <c r="I857" s="25"/>
      <c r="J857" s="25"/>
      <c r="K857" s="25"/>
      <c r="L857" s="25"/>
      <c r="M857" s="25"/>
      <c r="N857" s="25"/>
      <c r="O857" s="33">
        <f t="shared" si="27"/>
        <v>0</v>
      </c>
      <c r="P857" s="25"/>
      <c r="Q857" s="25">
        <f t="shared" si="29"/>
        <v>0</v>
      </c>
      <c r="R857" s="25"/>
      <c r="S857" s="25"/>
      <c r="T857" s="25">
        <v>16</v>
      </c>
      <c r="U857" s="25"/>
      <c r="V857" s="39"/>
      <c r="W857" s="25"/>
      <c r="X857" s="33">
        <f t="shared" si="26"/>
        <v>16</v>
      </c>
      <c r="Y857" s="39">
        <v>67500</v>
      </c>
      <c r="Z857" s="25">
        <f t="shared" si="28"/>
        <v>1080000</v>
      </c>
      <c r="AA857" s="45"/>
      <c r="AB857" s="45"/>
      <c r="AC857" s="45"/>
      <c r="AD857" s="45"/>
      <c r="AE857" s="45"/>
    </row>
    <row r="858" spans="1:31" s="12" customFormat="1" ht="12">
      <c r="A858" s="27">
        <v>45622</v>
      </c>
      <c r="B858" s="53" t="s">
        <v>26</v>
      </c>
      <c r="C858" s="37" t="s">
        <v>83</v>
      </c>
      <c r="D858" s="34" t="s">
        <v>185</v>
      </c>
      <c r="E858" s="34" t="e">
        <f>IF(B858="","",VLOOKUP($B858,#REF!,4,FALSE))</f>
        <v>#REF!</v>
      </c>
      <c r="F858" s="34" t="e">
        <f>IF(E858="","",VLOOKUP($B858,#REF!,5,FALSE))</f>
        <v>#REF!</v>
      </c>
      <c r="G858" s="34" t="e">
        <f>IF(F858="","",VLOOKUP($B858,#REF!,6,FALSE))</f>
        <v>#REF!</v>
      </c>
      <c r="H858" s="34" t="e">
        <f>IF(G858="","",VLOOKUP($B858,#REF!,7,FALSE))</f>
        <v>#REF!</v>
      </c>
      <c r="I858" s="25"/>
      <c r="J858" s="25"/>
      <c r="K858" s="25"/>
      <c r="L858" s="25"/>
      <c r="M858" s="25"/>
      <c r="N858" s="25"/>
      <c r="O858" s="33">
        <f t="shared" si="27"/>
        <v>0</v>
      </c>
      <c r="P858" s="25"/>
      <c r="Q858" s="25">
        <f t="shared" si="29"/>
        <v>0</v>
      </c>
      <c r="R858" s="25"/>
      <c r="S858" s="25"/>
      <c r="T858" s="25">
        <v>7</v>
      </c>
      <c r="U858" s="25"/>
      <c r="V858" s="39"/>
      <c r="W858" s="25"/>
      <c r="X858" s="33">
        <f t="shared" si="26"/>
        <v>7</v>
      </c>
      <c r="Y858" s="39">
        <v>23200</v>
      </c>
      <c r="Z858" s="25">
        <f t="shared" si="28"/>
        <v>162400</v>
      </c>
      <c r="AA858" s="45"/>
      <c r="AB858" s="45"/>
      <c r="AC858" s="45"/>
      <c r="AD858" s="45"/>
      <c r="AE858" s="45"/>
    </row>
    <row r="859" spans="1:31" s="12" customFormat="1" ht="12">
      <c r="A859" s="27">
        <v>45622</v>
      </c>
      <c r="B859" s="53" t="s">
        <v>8</v>
      </c>
      <c r="C859" s="37" t="s">
        <v>83</v>
      </c>
      <c r="D859" s="34" t="s">
        <v>185</v>
      </c>
      <c r="E859" s="34" t="e">
        <f>IF(B859="","",VLOOKUP($B859,#REF!,4,FALSE))</f>
        <v>#REF!</v>
      </c>
      <c r="F859" s="34" t="e">
        <f>IF(E859="","",VLOOKUP($B859,#REF!,5,FALSE))</f>
        <v>#REF!</v>
      </c>
      <c r="G859" s="34" t="e">
        <f>IF(F859="","",VLOOKUP($B859,#REF!,6,FALSE))</f>
        <v>#REF!</v>
      </c>
      <c r="H859" s="34" t="e">
        <f>IF(G859="","",VLOOKUP($B859,#REF!,7,FALSE))</f>
        <v>#REF!</v>
      </c>
      <c r="I859" s="25"/>
      <c r="J859" s="25"/>
      <c r="K859" s="25"/>
      <c r="L859" s="25"/>
      <c r="M859" s="25"/>
      <c r="N859" s="25"/>
      <c r="O859" s="33">
        <f t="shared" si="27"/>
        <v>0</v>
      </c>
      <c r="P859" s="25"/>
      <c r="Q859" s="25">
        <f t="shared" si="29"/>
        <v>0</v>
      </c>
      <c r="R859" s="25"/>
      <c r="S859" s="25"/>
      <c r="T859" s="25">
        <v>11</v>
      </c>
      <c r="U859" s="25"/>
      <c r="V859" s="39"/>
      <c r="W859" s="25"/>
      <c r="X859" s="33">
        <f t="shared" si="26"/>
        <v>11</v>
      </c>
      <c r="Y859" s="39">
        <v>36300</v>
      </c>
      <c r="Z859" s="25">
        <f t="shared" si="28"/>
        <v>399300</v>
      </c>
      <c r="AA859" s="45"/>
      <c r="AB859" s="45"/>
      <c r="AC859" s="45"/>
      <c r="AD859" s="45"/>
      <c r="AE859" s="45"/>
    </row>
    <row r="860" spans="1:31" s="12" customFormat="1" ht="12">
      <c r="A860" s="27">
        <v>45622</v>
      </c>
      <c r="B860" s="53" t="s">
        <v>168</v>
      </c>
      <c r="C860" s="37" t="s">
        <v>117</v>
      </c>
      <c r="D860" s="34" t="s">
        <v>225</v>
      </c>
      <c r="E860" s="34" t="e">
        <f>IF(B860="","",VLOOKUP($B860,#REF!,4,FALSE))</f>
        <v>#REF!</v>
      </c>
      <c r="F860" s="34" t="e">
        <f>IF(E860="","",VLOOKUP($B860,#REF!,5,FALSE))</f>
        <v>#REF!</v>
      </c>
      <c r="G860" s="34" t="e">
        <f>IF(F860="","",VLOOKUP($B860,#REF!,6,FALSE))</f>
        <v>#REF!</v>
      </c>
      <c r="H860" s="34" t="e">
        <f>IF(G860="","",VLOOKUP($B860,#REF!,7,FALSE))</f>
        <v>#REF!</v>
      </c>
      <c r="I860" s="25"/>
      <c r="J860" s="25">
        <v>320</v>
      </c>
      <c r="K860" s="25"/>
      <c r="L860" s="25"/>
      <c r="M860" s="25"/>
      <c r="N860" s="25"/>
      <c r="O860" s="33">
        <f t="shared" si="27"/>
        <v>320</v>
      </c>
      <c r="P860" s="25">
        <v>74400</v>
      </c>
      <c r="Q860" s="25">
        <f t="shared" si="29"/>
        <v>23808000</v>
      </c>
      <c r="R860" s="25"/>
      <c r="S860" s="25"/>
      <c r="T860" s="25"/>
      <c r="U860" s="25"/>
      <c r="V860" s="39"/>
      <c r="W860" s="25"/>
      <c r="X860" s="33">
        <f t="shared" si="26"/>
        <v>0</v>
      </c>
      <c r="Y860" s="39"/>
      <c r="Z860" s="25">
        <f t="shared" si="28"/>
        <v>0</v>
      </c>
      <c r="AA860" s="45"/>
      <c r="AB860" s="45"/>
      <c r="AC860" s="45"/>
      <c r="AD860" s="45"/>
      <c r="AE860" s="45"/>
    </row>
    <row r="861" spans="1:31" s="12" customFormat="1" ht="12">
      <c r="A861" s="27">
        <v>45622</v>
      </c>
      <c r="B861" s="47" t="s">
        <v>211</v>
      </c>
      <c r="C861" s="37">
        <v>0</v>
      </c>
      <c r="D861" s="34" t="s">
        <v>180</v>
      </c>
      <c r="E861" s="34" t="e">
        <f>IF(B861="","",VLOOKUP($B861,#REF!,4,FALSE))</f>
        <v>#REF!</v>
      </c>
      <c r="F861" s="34" t="e">
        <f>IF(E861="","",VLOOKUP($B861,#REF!,5,FALSE))</f>
        <v>#REF!</v>
      </c>
      <c r="G861" s="34" t="e">
        <f>IF(F861="","",VLOOKUP($B861,#REF!,6,FALSE))</f>
        <v>#REF!</v>
      </c>
      <c r="H861" s="34" t="e">
        <f>IF(G861="","",VLOOKUP($B861,#REF!,7,FALSE))</f>
        <v>#REF!</v>
      </c>
      <c r="I861" s="25"/>
      <c r="J861" s="25"/>
      <c r="K861" s="25"/>
      <c r="L861" s="25">
        <v>560</v>
      </c>
      <c r="M861" s="25"/>
      <c r="N861" s="25"/>
      <c r="O861" s="33">
        <f t="shared" si="27"/>
        <v>560</v>
      </c>
      <c r="P861" s="25"/>
      <c r="Q861" s="25">
        <f t="shared" si="29"/>
        <v>0</v>
      </c>
      <c r="R861" s="25"/>
      <c r="S861" s="25"/>
      <c r="T861" s="25"/>
      <c r="U861" s="25"/>
      <c r="V861" s="39"/>
      <c r="W861" s="25"/>
      <c r="X861" s="33">
        <f t="shared" si="26"/>
        <v>0</v>
      </c>
      <c r="Y861" s="39"/>
      <c r="Z861" s="25">
        <f t="shared" si="28"/>
        <v>0</v>
      </c>
      <c r="AA861" s="45"/>
      <c r="AB861" s="45"/>
      <c r="AC861" s="45"/>
      <c r="AD861" s="45"/>
      <c r="AE861" s="45"/>
    </row>
    <row r="862" spans="1:31" s="12" customFormat="1" ht="12">
      <c r="A862" s="27">
        <v>45622</v>
      </c>
      <c r="B862" s="53" t="s">
        <v>116</v>
      </c>
      <c r="C862" s="37">
        <v>0</v>
      </c>
      <c r="D862" s="34" t="s">
        <v>180</v>
      </c>
      <c r="E862" s="34" t="e">
        <f>IF(B862="","",VLOOKUP($B862,#REF!,4,FALSE))</f>
        <v>#REF!</v>
      </c>
      <c r="F862" s="34" t="e">
        <f>IF(E862="","",VLOOKUP($B862,#REF!,5,FALSE))</f>
        <v>#REF!</v>
      </c>
      <c r="G862" s="34" t="e">
        <f>IF(F862="","",VLOOKUP($B862,#REF!,6,FALSE))</f>
        <v>#REF!</v>
      </c>
      <c r="H862" s="34" t="e">
        <f>IF(G862="","",VLOOKUP($B862,#REF!,7,FALSE))</f>
        <v>#REF!</v>
      </c>
      <c r="I862" s="25"/>
      <c r="J862" s="25"/>
      <c r="K862" s="25"/>
      <c r="L862" s="25">
        <v>230</v>
      </c>
      <c r="M862" s="25"/>
      <c r="N862" s="25"/>
      <c r="O862" s="33">
        <f t="shared" si="27"/>
        <v>230</v>
      </c>
      <c r="P862" s="25"/>
      <c r="Q862" s="25">
        <f t="shared" si="29"/>
        <v>0</v>
      </c>
      <c r="R862" s="25"/>
      <c r="S862" s="25"/>
      <c r="T862" s="25"/>
      <c r="U862" s="25"/>
      <c r="V862" s="39"/>
      <c r="W862" s="25"/>
      <c r="X862" s="33">
        <f t="shared" si="26"/>
        <v>0</v>
      </c>
      <c r="Y862" s="39"/>
      <c r="Z862" s="25">
        <f t="shared" si="28"/>
        <v>0</v>
      </c>
      <c r="AA862" s="45"/>
      <c r="AB862" s="45"/>
      <c r="AC862" s="45"/>
      <c r="AD862" s="45"/>
      <c r="AE862" s="45"/>
    </row>
    <row r="863" spans="1:31" s="12" customFormat="1" ht="12">
      <c r="A863" s="27">
        <v>45622</v>
      </c>
      <c r="B863" s="54" t="s">
        <v>152</v>
      </c>
      <c r="C863" s="37">
        <v>0</v>
      </c>
      <c r="D863" s="34" t="s">
        <v>180</v>
      </c>
      <c r="E863" s="34" t="e">
        <f>IF(B863="","",VLOOKUP($B863,#REF!,4,FALSE))</f>
        <v>#REF!</v>
      </c>
      <c r="F863" s="34" t="e">
        <f>IF(E863="","",VLOOKUP($B863,#REF!,5,FALSE))</f>
        <v>#REF!</v>
      </c>
      <c r="G863" s="34" t="e">
        <f>IF(F863="","",VLOOKUP($B863,#REF!,6,FALSE))</f>
        <v>#REF!</v>
      </c>
      <c r="H863" s="34" t="e">
        <f>IF(G863="","",VLOOKUP($B863,#REF!,7,FALSE))</f>
        <v>#REF!</v>
      </c>
      <c r="I863" s="25"/>
      <c r="J863" s="25"/>
      <c r="K863" s="25"/>
      <c r="L863" s="25">
        <v>53</v>
      </c>
      <c r="M863" s="25"/>
      <c r="N863" s="25"/>
      <c r="O863" s="33">
        <f t="shared" si="27"/>
        <v>53</v>
      </c>
      <c r="P863" s="25"/>
      <c r="Q863" s="25">
        <f t="shared" si="29"/>
        <v>0</v>
      </c>
      <c r="R863" s="25"/>
      <c r="S863" s="25"/>
      <c r="T863" s="25"/>
      <c r="U863" s="25"/>
      <c r="V863" s="39"/>
      <c r="W863" s="25"/>
      <c r="X863" s="33">
        <f t="shared" si="26"/>
        <v>0</v>
      </c>
      <c r="Y863" s="39"/>
      <c r="Z863" s="25">
        <f t="shared" si="28"/>
        <v>0</v>
      </c>
      <c r="AA863" s="45"/>
      <c r="AB863" s="45"/>
      <c r="AC863" s="45"/>
      <c r="AD863" s="45"/>
      <c r="AE863" s="45"/>
    </row>
    <row r="864" spans="1:31" s="12" customFormat="1" ht="12">
      <c r="A864" s="27">
        <v>45622</v>
      </c>
      <c r="B864" s="54" t="s">
        <v>153</v>
      </c>
      <c r="C864" s="37">
        <v>0</v>
      </c>
      <c r="D864" s="34" t="s">
        <v>180</v>
      </c>
      <c r="E864" s="34" t="e">
        <f>IF(B864="","",VLOOKUP($B864,#REF!,4,FALSE))</f>
        <v>#REF!</v>
      </c>
      <c r="F864" s="34" t="e">
        <f>IF(E864="","",VLOOKUP($B864,#REF!,5,FALSE))</f>
        <v>#REF!</v>
      </c>
      <c r="G864" s="34" t="e">
        <f>IF(F864="","",VLOOKUP($B864,#REF!,6,FALSE))</f>
        <v>#REF!</v>
      </c>
      <c r="H864" s="34" t="e">
        <f>IF(G864="","",VLOOKUP($B864,#REF!,7,FALSE))</f>
        <v>#REF!</v>
      </c>
      <c r="I864" s="25"/>
      <c r="J864" s="25"/>
      <c r="K864" s="25"/>
      <c r="L864" s="25">
        <v>53</v>
      </c>
      <c r="M864" s="25"/>
      <c r="N864" s="25"/>
      <c r="O864" s="33">
        <f t="shared" si="27"/>
        <v>53</v>
      </c>
      <c r="P864" s="25"/>
      <c r="Q864" s="25">
        <f t="shared" si="29"/>
        <v>0</v>
      </c>
      <c r="R864" s="25"/>
      <c r="S864" s="25"/>
      <c r="T864" s="25"/>
      <c r="U864" s="25"/>
      <c r="V864" s="39"/>
      <c r="W864" s="25"/>
      <c r="X864" s="33">
        <f t="shared" si="26"/>
        <v>0</v>
      </c>
      <c r="Y864" s="39"/>
      <c r="Z864" s="25">
        <f t="shared" si="28"/>
        <v>0</v>
      </c>
      <c r="AA864" s="45"/>
      <c r="AB864" s="45"/>
      <c r="AC864" s="45"/>
      <c r="AD864" s="45"/>
      <c r="AE864" s="45"/>
    </row>
    <row r="865" spans="1:31" s="12" customFormat="1" ht="12">
      <c r="A865" s="27">
        <v>45622</v>
      </c>
      <c r="B865" s="20" t="s">
        <v>80</v>
      </c>
      <c r="C865" s="37">
        <v>0</v>
      </c>
      <c r="D865" s="34" t="s">
        <v>180</v>
      </c>
      <c r="E865" s="34" t="e">
        <f>IF(B865="","",VLOOKUP($B865,#REF!,4,FALSE))</f>
        <v>#REF!</v>
      </c>
      <c r="F865" s="34" t="e">
        <f>IF(E865="","",VLOOKUP($B865,#REF!,5,FALSE))</f>
        <v>#REF!</v>
      </c>
      <c r="G865" s="34" t="e">
        <f>IF(F865="","",VLOOKUP($B865,#REF!,6,FALSE))</f>
        <v>#REF!</v>
      </c>
      <c r="H865" s="34" t="e">
        <f>IF(G865="","",VLOOKUP($B865,#REF!,7,FALSE))</f>
        <v>#REF!</v>
      </c>
      <c r="I865" s="25"/>
      <c r="J865" s="25"/>
      <c r="K865" s="25"/>
      <c r="L865" s="25">
        <v>131</v>
      </c>
      <c r="M865" s="25"/>
      <c r="N865" s="25"/>
      <c r="O865" s="33">
        <f t="shared" si="27"/>
        <v>131</v>
      </c>
      <c r="P865" s="25"/>
      <c r="Q865" s="25">
        <f t="shared" si="29"/>
        <v>0</v>
      </c>
      <c r="R865" s="25"/>
      <c r="S865" s="25"/>
      <c r="T865" s="25"/>
      <c r="U865" s="25"/>
      <c r="V865" s="39"/>
      <c r="W865" s="25"/>
      <c r="X865" s="33">
        <f t="shared" si="26"/>
        <v>0</v>
      </c>
      <c r="Y865" s="39"/>
      <c r="Z865" s="25">
        <f t="shared" si="28"/>
        <v>0</v>
      </c>
      <c r="AA865" s="45"/>
      <c r="AB865" s="45"/>
      <c r="AC865" s="45"/>
      <c r="AD865" s="45"/>
      <c r="AE865" s="45"/>
    </row>
    <row r="866" spans="1:31" s="12" customFormat="1" ht="12">
      <c r="A866" s="27">
        <v>45622</v>
      </c>
      <c r="B866" s="53" t="s">
        <v>16</v>
      </c>
      <c r="C866" s="37">
        <v>0</v>
      </c>
      <c r="D866" s="34" t="s">
        <v>180</v>
      </c>
      <c r="E866" s="34" t="e">
        <f>IF(B866="","",VLOOKUP($B866,#REF!,4,FALSE))</f>
        <v>#REF!</v>
      </c>
      <c r="F866" s="34" t="e">
        <f>IF(E866="","",VLOOKUP($B866,#REF!,5,FALSE))</f>
        <v>#REF!</v>
      </c>
      <c r="G866" s="34" t="e">
        <f>IF(F866="","",VLOOKUP($B866,#REF!,6,FALSE))</f>
        <v>#REF!</v>
      </c>
      <c r="H866" s="34" t="e">
        <f>IF(G866="","",VLOOKUP($B866,#REF!,7,FALSE))</f>
        <v>#REF!</v>
      </c>
      <c r="I866" s="25"/>
      <c r="J866" s="25">
        <v>632</v>
      </c>
      <c r="K866" s="25"/>
      <c r="L866" s="25"/>
      <c r="M866" s="25"/>
      <c r="N866" s="25"/>
      <c r="O866" s="33">
        <f t="shared" si="27"/>
        <v>632</v>
      </c>
      <c r="P866" s="25"/>
      <c r="Q866" s="25">
        <f t="shared" si="29"/>
        <v>0</v>
      </c>
      <c r="R866" s="25"/>
      <c r="S866" s="25"/>
      <c r="T866" s="25"/>
      <c r="U866" s="25"/>
      <c r="V866" s="39"/>
      <c r="W866" s="25"/>
      <c r="X866" s="33">
        <f t="shared" si="26"/>
        <v>0</v>
      </c>
      <c r="Y866" s="39"/>
      <c r="Z866" s="25">
        <f t="shared" si="28"/>
        <v>0</v>
      </c>
      <c r="AA866" s="45"/>
      <c r="AB866" s="45"/>
      <c r="AC866" s="45"/>
      <c r="AD866" s="45"/>
      <c r="AE866" s="45"/>
    </row>
    <row r="867" spans="1:31" s="12" customFormat="1" ht="12">
      <c r="A867" s="27">
        <v>45622</v>
      </c>
      <c r="B867" s="43" t="s">
        <v>35</v>
      </c>
      <c r="C867" s="37">
        <v>0</v>
      </c>
      <c r="D867" s="34" t="s">
        <v>180</v>
      </c>
      <c r="E867" s="34" t="e">
        <f>IF(B867="","",VLOOKUP($B867,#REF!,4,FALSE))</f>
        <v>#REF!</v>
      </c>
      <c r="F867" s="34" t="e">
        <f>IF(E867="","",VLOOKUP($B867,#REF!,5,FALSE))</f>
        <v>#REF!</v>
      </c>
      <c r="G867" s="34" t="e">
        <f>IF(F867="","",VLOOKUP($B867,#REF!,6,FALSE))</f>
        <v>#REF!</v>
      </c>
      <c r="H867" s="34" t="e">
        <f>IF(G867="","",VLOOKUP($B867,#REF!,7,FALSE))</f>
        <v>#REF!</v>
      </c>
      <c r="I867" s="25">
        <v>853</v>
      </c>
      <c r="J867" s="25"/>
      <c r="K867" s="25"/>
      <c r="L867" s="25"/>
      <c r="M867" s="25"/>
      <c r="N867" s="25"/>
      <c r="O867" s="33">
        <f t="shared" si="27"/>
        <v>853</v>
      </c>
      <c r="P867" s="25"/>
      <c r="Q867" s="25">
        <f t="shared" si="29"/>
        <v>0</v>
      </c>
      <c r="R867" s="25"/>
      <c r="S867" s="25"/>
      <c r="T867" s="25"/>
      <c r="U867" s="25"/>
      <c r="V867" s="39"/>
      <c r="W867" s="25"/>
      <c r="X867" s="33">
        <f t="shared" si="26"/>
        <v>0</v>
      </c>
      <c r="Y867" s="39"/>
      <c r="Z867" s="25">
        <f t="shared" si="28"/>
        <v>0</v>
      </c>
      <c r="AA867" s="45"/>
      <c r="AB867" s="45"/>
      <c r="AC867" s="45"/>
      <c r="AD867" s="45"/>
      <c r="AE867" s="45"/>
    </row>
    <row r="868" spans="1:31" s="12" customFormat="1" ht="12">
      <c r="A868" s="27">
        <v>45623</v>
      </c>
      <c r="B868" s="53" t="s">
        <v>168</v>
      </c>
      <c r="C868" s="37" t="s">
        <v>117</v>
      </c>
      <c r="D868" s="34" t="s">
        <v>225</v>
      </c>
      <c r="E868" s="34" t="e">
        <f>IF(B868="","",VLOOKUP($B868,#REF!,4,FALSE))</f>
        <v>#REF!</v>
      </c>
      <c r="F868" s="34" t="e">
        <f>IF(E868="","",VLOOKUP($B868,#REF!,5,FALSE))</f>
        <v>#REF!</v>
      </c>
      <c r="G868" s="34" t="e">
        <f>IF(F868="","",VLOOKUP($B868,#REF!,6,FALSE))</f>
        <v>#REF!</v>
      </c>
      <c r="H868" s="34" t="e">
        <f>IF(G868="","",VLOOKUP($B868,#REF!,7,FALSE))</f>
        <v>#REF!</v>
      </c>
      <c r="I868" s="25"/>
      <c r="J868" s="25">
        <v>320</v>
      </c>
      <c r="K868" s="25"/>
      <c r="L868" s="25"/>
      <c r="M868" s="25"/>
      <c r="N868" s="25"/>
      <c r="O868" s="33">
        <f t="shared" si="27"/>
        <v>320</v>
      </c>
      <c r="P868" s="25">
        <v>74400</v>
      </c>
      <c r="Q868" s="25">
        <f t="shared" si="29"/>
        <v>23808000</v>
      </c>
      <c r="R868" s="25"/>
      <c r="S868" s="25"/>
      <c r="T868" s="25"/>
      <c r="U868" s="25"/>
      <c r="V868" s="39"/>
      <c r="W868" s="25"/>
      <c r="X868" s="33">
        <f t="shared" si="26"/>
        <v>0</v>
      </c>
      <c r="Y868" s="39"/>
      <c r="Z868" s="25">
        <f t="shared" si="28"/>
        <v>0</v>
      </c>
      <c r="AA868" s="45"/>
      <c r="AB868" s="45"/>
      <c r="AC868" s="45"/>
      <c r="AD868" s="45"/>
      <c r="AE868" s="45"/>
    </row>
    <row r="869" spans="1:31" s="12" customFormat="1" ht="12">
      <c r="A869" s="27">
        <v>45623</v>
      </c>
      <c r="B869" s="53" t="s">
        <v>44</v>
      </c>
      <c r="C869" s="37" t="s">
        <v>117</v>
      </c>
      <c r="D869" s="34" t="s">
        <v>225</v>
      </c>
      <c r="E869" s="34" t="e">
        <f>IF(B869="","",VLOOKUP($B869,#REF!,4,FALSE))</f>
        <v>#REF!</v>
      </c>
      <c r="F869" s="34" t="e">
        <f>IF(E869="","",VLOOKUP($B869,#REF!,5,FALSE))</f>
        <v>#REF!</v>
      </c>
      <c r="G869" s="34" t="e">
        <f>IF(F869="","",VLOOKUP($B869,#REF!,6,FALSE))</f>
        <v>#REF!</v>
      </c>
      <c r="H869" s="34" t="e">
        <f>IF(G869="","",VLOOKUP($B869,#REF!,7,FALSE))</f>
        <v>#REF!</v>
      </c>
      <c r="I869" s="25"/>
      <c r="J869" s="25"/>
      <c r="K869" s="25"/>
      <c r="L869" s="25"/>
      <c r="M869" s="25">
        <v>408</v>
      </c>
      <c r="N869" s="25"/>
      <c r="O869" s="33">
        <f t="shared" si="27"/>
        <v>408</v>
      </c>
      <c r="P869" s="25">
        <v>146100</v>
      </c>
      <c r="Q869" s="25">
        <f t="shared" si="29"/>
        <v>59608800</v>
      </c>
      <c r="R869" s="25"/>
      <c r="S869" s="25"/>
      <c r="T869" s="25"/>
      <c r="U869" s="25"/>
      <c r="V869" s="39"/>
      <c r="W869" s="25"/>
      <c r="X869" s="33">
        <f t="shared" si="26"/>
        <v>0</v>
      </c>
      <c r="Y869" s="39"/>
      <c r="Z869" s="25">
        <f t="shared" si="28"/>
        <v>0</v>
      </c>
      <c r="AA869" s="45"/>
      <c r="AB869" s="45"/>
      <c r="AC869" s="45"/>
      <c r="AD869" s="45"/>
      <c r="AE869" s="45"/>
    </row>
    <row r="870" spans="1:31" s="12" customFormat="1" ht="12">
      <c r="A870" s="27">
        <v>45623</v>
      </c>
      <c r="B870" s="53" t="s">
        <v>45</v>
      </c>
      <c r="C870" s="37" t="s">
        <v>117</v>
      </c>
      <c r="D870" s="34" t="s">
        <v>225</v>
      </c>
      <c r="E870" s="34" t="e">
        <f>IF(B870="","",VLOOKUP($B870,#REF!,4,FALSE))</f>
        <v>#REF!</v>
      </c>
      <c r="F870" s="34" t="e">
        <f>IF(E870="","",VLOOKUP($B870,#REF!,5,FALSE))</f>
        <v>#REF!</v>
      </c>
      <c r="G870" s="34" t="e">
        <f>IF(F870="","",VLOOKUP($B870,#REF!,6,FALSE))</f>
        <v>#REF!</v>
      </c>
      <c r="H870" s="34" t="e">
        <f>IF(G870="","",VLOOKUP($B870,#REF!,7,FALSE))</f>
        <v>#REF!</v>
      </c>
      <c r="I870" s="25"/>
      <c r="J870" s="25">
        <v>504</v>
      </c>
      <c r="K870" s="25"/>
      <c r="L870" s="25"/>
      <c r="M870" s="25"/>
      <c r="N870" s="25"/>
      <c r="O870" s="33">
        <f t="shared" si="27"/>
        <v>504</v>
      </c>
      <c r="P870" s="25">
        <v>78000</v>
      </c>
      <c r="Q870" s="25">
        <f t="shared" si="29"/>
        <v>39312000</v>
      </c>
      <c r="R870" s="25"/>
      <c r="S870" s="25"/>
      <c r="T870" s="25"/>
      <c r="U870" s="25"/>
      <c r="V870" s="39"/>
      <c r="W870" s="25"/>
      <c r="X870" s="33">
        <f t="shared" si="26"/>
        <v>0</v>
      </c>
      <c r="Y870" s="39"/>
      <c r="Z870" s="25">
        <f t="shared" si="28"/>
        <v>0</v>
      </c>
      <c r="AA870" s="45"/>
      <c r="AB870" s="45"/>
      <c r="AC870" s="45"/>
      <c r="AD870" s="45"/>
      <c r="AE870" s="45"/>
    </row>
    <row r="871" spans="1:31" s="12" customFormat="1" ht="12">
      <c r="A871" s="27">
        <v>45623</v>
      </c>
      <c r="B871" s="53" t="s">
        <v>167</v>
      </c>
      <c r="C871" s="37" t="e">
        <f>IF(B871="","",VLOOKUP($B871,#REF!,2,FALSE))</f>
        <v>#REF!</v>
      </c>
      <c r="D871" s="34" t="e">
        <f>IF(B871="","",VLOOKUP($B871,#REF!,3,FALSE))</f>
        <v>#REF!</v>
      </c>
      <c r="E871" s="34" t="e">
        <f>IF(B871="","",VLOOKUP($B871,#REF!,4,FALSE))</f>
        <v>#REF!</v>
      </c>
      <c r="F871" s="34" t="e">
        <f>IF(E871="","",VLOOKUP($B871,#REF!,5,FALSE))</f>
        <v>#REF!</v>
      </c>
      <c r="G871" s="34" t="e">
        <f>IF(F871="","",VLOOKUP($B871,#REF!,6,FALSE))</f>
        <v>#REF!</v>
      </c>
      <c r="H871" s="34" t="e">
        <f>IF(G871="","",VLOOKUP($B871,#REF!,7,FALSE))</f>
        <v>#REF!</v>
      </c>
      <c r="I871" s="25"/>
      <c r="J871" s="25"/>
      <c r="K871" s="25"/>
      <c r="L871" s="25"/>
      <c r="M871" s="25"/>
      <c r="N871" s="25"/>
      <c r="O871" s="33">
        <f t="shared" si="27"/>
        <v>0</v>
      </c>
      <c r="P871" s="25"/>
      <c r="Q871" s="25">
        <f t="shared" si="29"/>
        <v>0</v>
      </c>
      <c r="R871" s="25"/>
      <c r="S871" s="25"/>
      <c r="T871" s="25">
        <v>1</v>
      </c>
      <c r="U871" s="25"/>
      <c r="V871" s="39"/>
      <c r="W871" s="25"/>
      <c r="X871" s="33">
        <f t="shared" si="26"/>
        <v>1</v>
      </c>
      <c r="Y871" s="39">
        <v>51200</v>
      </c>
      <c r="Z871" s="25">
        <v>51200</v>
      </c>
      <c r="AA871" s="55" t="s">
        <v>280</v>
      </c>
      <c r="AB871" s="45"/>
      <c r="AC871" s="45"/>
      <c r="AD871" s="45"/>
      <c r="AE871" s="45"/>
    </row>
    <row r="872" spans="1:31" s="12" customFormat="1" ht="12">
      <c r="A872" s="27">
        <v>45623</v>
      </c>
      <c r="B872" s="53" t="s">
        <v>12</v>
      </c>
      <c r="C872" s="37" t="e">
        <f>IF(B872="","",VLOOKUP($B872,#REF!,2,FALSE))</f>
        <v>#REF!</v>
      </c>
      <c r="D872" s="34" t="e">
        <f>IF(B872="","",VLOOKUP($B872,#REF!,3,FALSE))</f>
        <v>#REF!</v>
      </c>
      <c r="E872" s="34" t="e">
        <f>IF(B872="","",VLOOKUP($B872,#REF!,4,FALSE))</f>
        <v>#REF!</v>
      </c>
      <c r="F872" s="34" t="e">
        <f>IF(E872="","",VLOOKUP($B872,#REF!,5,FALSE))</f>
        <v>#REF!</v>
      </c>
      <c r="G872" s="34" t="e">
        <f>IF(F872="","",VLOOKUP($B872,#REF!,6,FALSE))</f>
        <v>#REF!</v>
      </c>
      <c r="H872" s="34" t="e">
        <f>IF(G872="","",VLOOKUP($B872,#REF!,7,FALSE))</f>
        <v>#REF!</v>
      </c>
      <c r="I872" s="25"/>
      <c r="J872" s="25"/>
      <c r="K872" s="25"/>
      <c r="L872" s="25"/>
      <c r="M872" s="25"/>
      <c r="N872" s="25"/>
      <c r="O872" s="33">
        <f t="shared" si="27"/>
        <v>0</v>
      </c>
      <c r="P872" s="25"/>
      <c r="Q872" s="25">
        <f t="shared" si="29"/>
        <v>0</v>
      </c>
      <c r="R872" s="25"/>
      <c r="S872" s="25"/>
      <c r="T872" s="25">
        <v>1</v>
      </c>
      <c r="U872" s="25"/>
      <c r="V872" s="39"/>
      <c r="W872" s="25"/>
      <c r="X872" s="33">
        <f t="shared" si="26"/>
        <v>1</v>
      </c>
      <c r="Y872" s="39">
        <v>41820</v>
      </c>
      <c r="Z872" s="25">
        <v>41818</v>
      </c>
      <c r="AA872" s="55" t="s">
        <v>280</v>
      </c>
      <c r="AB872" s="45"/>
      <c r="AC872" s="45"/>
      <c r="AD872" s="45"/>
      <c r="AE872" s="45"/>
    </row>
    <row r="873" spans="1:31" s="12" customFormat="1" ht="12">
      <c r="A873" s="27">
        <v>45623</v>
      </c>
      <c r="B873" s="53" t="s">
        <v>32</v>
      </c>
      <c r="C873" s="37" t="e">
        <f>IF(B873="","",VLOOKUP($B873,#REF!,2,FALSE))</f>
        <v>#REF!</v>
      </c>
      <c r="D873" s="34" t="e">
        <f>IF(B873="","",VLOOKUP($B873,#REF!,3,FALSE))</f>
        <v>#REF!</v>
      </c>
      <c r="E873" s="34" t="e">
        <f>IF(B873="","",VLOOKUP($B873,#REF!,4,FALSE))</f>
        <v>#REF!</v>
      </c>
      <c r="F873" s="34" t="e">
        <f>IF(E873="","",VLOOKUP($B873,#REF!,5,FALSE))</f>
        <v>#REF!</v>
      </c>
      <c r="G873" s="34" t="e">
        <f>IF(F873="","",VLOOKUP($B873,#REF!,6,FALSE))</f>
        <v>#REF!</v>
      </c>
      <c r="H873" s="34" t="e">
        <f>IF(G873="","",VLOOKUP($B873,#REF!,7,FALSE))</f>
        <v>#REF!</v>
      </c>
      <c r="I873" s="25"/>
      <c r="J873" s="25"/>
      <c r="K873" s="25"/>
      <c r="L873" s="25"/>
      <c r="M873" s="25"/>
      <c r="N873" s="25"/>
      <c r="O873" s="33">
        <f t="shared" si="27"/>
        <v>0</v>
      </c>
      <c r="P873" s="25"/>
      <c r="Q873" s="25">
        <f t="shared" si="29"/>
        <v>0</v>
      </c>
      <c r="R873" s="25"/>
      <c r="S873" s="25"/>
      <c r="T873" s="25">
        <v>6</v>
      </c>
      <c r="U873" s="25"/>
      <c r="V873" s="39"/>
      <c r="W873" s="25"/>
      <c r="X873" s="33">
        <f t="shared" si="26"/>
        <v>6</v>
      </c>
      <c r="Y873" s="39">
        <v>81816</v>
      </c>
      <c r="Z873" s="25">
        <v>490909</v>
      </c>
      <c r="AA873" s="55" t="s">
        <v>280</v>
      </c>
      <c r="AB873" s="45"/>
      <c r="AC873" s="45"/>
      <c r="AD873" s="45"/>
      <c r="AE873" s="45"/>
    </row>
    <row r="874" spans="1:31" s="12" customFormat="1" ht="12">
      <c r="A874" s="27">
        <v>45623</v>
      </c>
      <c r="B874" s="53" t="s">
        <v>198</v>
      </c>
      <c r="C874" s="37" t="e">
        <f>IF(B874="","",VLOOKUP($B874,#REF!,2,FALSE))</f>
        <v>#REF!</v>
      </c>
      <c r="D874" s="34" t="e">
        <f>IF(B874="","",VLOOKUP($B874,#REF!,3,FALSE))</f>
        <v>#REF!</v>
      </c>
      <c r="E874" s="34" t="e">
        <f>IF(B874="","",VLOOKUP($B874,#REF!,4,FALSE))</f>
        <v>#REF!</v>
      </c>
      <c r="F874" s="34" t="e">
        <f>IF(E874="","",VLOOKUP($B874,#REF!,5,FALSE))</f>
        <v>#REF!</v>
      </c>
      <c r="G874" s="34" t="e">
        <f>IF(F874="","",VLOOKUP($B874,#REF!,6,FALSE))</f>
        <v>#REF!</v>
      </c>
      <c r="H874" s="34" t="e">
        <f>IF(G874="","",VLOOKUP($B874,#REF!,7,FALSE))</f>
        <v>#REF!</v>
      </c>
      <c r="I874" s="25"/>
      <c r="J874" s="25"/>
      <c r="K874" s="25"/>
      <c r="L874" s="25"/>
      <c r="M874" s="25"/>
      <c r="N874" s="25"/>
      <c r="O874" s="33">
        <f t="shared" si="27"/>
        <v>0</v>
      </c>
      <c r="P874" s="25"/>
      <c r="Q874" s="25">
        <f t="shared" si="29"/>
        <v>0</v>
      </c>
      <c r="R874" s="25"/>
      <c r="S874" s="25"/>
      <c r="T874" s="25">
        <v>1</v>
      </c>
      <c r="U874" s="25"/>
      <c r="V874" s="39"/>
      <c r="W874" s="25"/>
      <c r="X874" s="33">
        <f t="shared" si="26"/>
        <v>1</v>
      </c>
      <c r="Y874" s="39">
        <v>76360</v>
      </c>
      <c r="Z874" s="25">
        <v>76364</v>
      </c>
      <c r="AA874" s="55" t="s">
        <v>280</v>
      </c>
      <c r="AB874" s="45"/>
      <c r="AC874" s="45"/>
      <c r="AD874" s="45"/>
      <c r="AE874" s="45"/>
    </row>
    <row r="875" spans="1:31" s="12" customFormat="1" ht="12">
      <c r="A875" s="27">
        <v>45623</v>
      </c>
      <c r="B875" s="53" t="s">
        <v>239</v>
      </c>
      <c r="C875" s="37" t="e">
        <f>IF(B875="","",VLOOKUP($B875,#REF!,2,FALSE))</f>
        <v>#REF!</v>
      </c>
      <c r="D875" s="34" t="e">
        <f>IF(B875="","",VLOOKUP($B875,#REF!,3,FALSE))</f>
        <v>#REF!</v>
      </c>
      <c r="E875" s="34" t="e">
        <f>IF(B875="","",VLOOKUP($B875,#REF!,4,FALSE))</f>
        <v>#REF!</v>
      </c>
      <c r="F875" s="34" t="e">
        <f>IF(E875="","",VLOOKUP($B875,#REF!,5,FALSE))</f>
        <v>#REF!</v>
      </c>
      <c r="G875" s="34" t="e">
        <f>IF(F875="","",VLOOKUP($B875,#REF!,6,FALSE))</f>
        <v>#REF!</v>
      </c>
      <c r="H875" s="34" t="e">
        <f>IF(G875="","",VLOOKUP($B875,#REF!,7,FALSE))</f>
        <v>#REF!</v>
      </c>
      <c r="I875" s="25"/>
      <c r="J875" s="25"/>
      <c r="K875" s="25"/>
      <c r="L875" s="25"/>
      <c r="M875" s="25"/>
      <c r="N875" s="25"/>
      <c r="O875" s="33">
        <f t="shared" si="27"/>
        <v>0</v>
      </c>
      <c r="P875" s="25"/>
      <c r="Q875" s="25">
        <f t="shared" si="29"/>
        <v>0</v>
      </c>
      <c r="R875" s="25"/>
      <c r="S875" s="25"/>
      <c r="T875" s="25">
        <v>12</v>
      </c>
      <c r="U875" s="25"/>
      <c r="V875" s="39"/>
      <c r="W875" s="25"/>
      <c r="X875" s="33">
        <f t="shared" si="26"/>
        <v>12</v>
      </c>
      <c r="Y875" s="39">
        <v>130000</v>
      </c>
      <c r="Z875" s="25">
        <v>1560000</v>
      </c>
      <c r="AA875" s="55" t="s">
        <v>280</v>
      </c>
      <c r="AB875" s="45"/>
      <c r="AC875" s="45"/>
      <c r="AD875" s="45"/>
      <c r="AE875" s="45"/>
    </row>
    <row r="876" spans="1:31" s="12" customFormat="1" ht="12">
      <c r="A876" s="27">
        <v>45623</v>
      </c>
      <c r="B876" s="53" t="s">
        <v>166</v>
      </c>
      <c r="C876" s="37" t="e">
        <f>IF(B876="","",VLOOKUP($B876,#REF!,2,FALSE))</f>
        <v>#REF!</v>
      </c>
      <c r="D876" s="34" t="e">
        <f>IF(B876="","",VLOOKUP($B876,#REF!,3,FALSE))</f>
        <v>#REF!</v>
      </c>
      <c r="E876" s="34" t="e">
        <f>IF(B876="","",VLOOKUP($B876,#REF!,4,FALSE))</f>
        <v>#REF!</v>
      </c>
      <c r="F876" s="34" t="e">
        <f>IF(E876="","",VLOOKUP($B876,#REF!,5,FALSE))</f>
        <v>#REF!</v>
      </c>
      <c r="G876" s="34" t="e">
        <f>IF(F876="","",VLOOKUP($B876,#REF!,6,FALSE))</f>
        <v>#REF!</v>
      </c>
      <c r="H876" s="34" t="e">
        <f>IF(G876="","",VLOOKUP($B876,#REF!,7,FALSE))</f>
        <v>#REF!</v>
      </c>
      <c r="I876" s="25"/>
      <c r="J876" s="25"/>
      <c r="K876" s="25"/>
      <c r="L876" s="25"/>
      <c r="M876" s="25"/>
      <c r="N876" s="25"/>
      <c r="O876" s="33">
        <f t="shared" si="27"/>
        <v>0</v>
      </c>
      <c r="P876" s="25"/>
      <c r="Q876" s="25">
        <f t="shared" si="29"/>
        <v>0</v>
      </c>
      <c r="R876" s="25"/>
      <c r="S876" s="25"/>
      <c r="T876" s="25">
        <v>35</v>
      </c>
      <c r="U876" s="25"/>
      <c r="V876" s="39"/>
      <c r="W876" s="25"/>
      <c r="X876" s="33">
        <f t="shared" si="26"/>
        <v>35</v>
      </c>
      <c r="Y876" s="39">
        <v>94550</v>
      </c>
      <c r="Z876" s="25">
        <v>3309091</v>
      </c>
      <c r="AA876" s="55" t="s">
        <v>280</v>
      </c>
      <c r="AB876" s="45"/>
      <c r="AC876" s="45"/>
      <c r="AD876" s="45"/>
      <c r="AE876" s="45"/>
    </row>
    <row r="877" spans="1:31" s="12" customFormat="1" ht="12">
      <c r="A877" s="27">
        <v>45623</v>
      </c>
      <c r="B877" s="53" t="s">
        <v>240</v>
      </c>
      <c r="C877" s="37" t="e">
        <f>IF(B877="","",VLOOKUP($B877,#REF!,2,FALSE))</f>
        <v>#REF!</v>
      </c>
      <c r="D877" s="34" t="e">
        <f>IF(B877="","",VLOOKUP($B877,#REF!,3,FALSE))</f>
        <v>#REF!</v>
      </c>
      <c r="E877" s="34" t="e">
        <f>IF(B877="","",VLOOKUP($B877,#REF!,4,FALSE))</f>
        <v>#REF!</v>
      </c>
      <c r="F877" s="34" t="e">
        <f>IF(E877="","",VLOOKUP($B877,#REF!,5,FALSE))</f>
        <v>#REF!</v>
      </c>
      <c r="G877" s="34" t="e">
        <f>IF(F877="","",VLOOKUP($B877,#REF!,6,FALSE))</f>
        <v>#REF!</v>
      </c>
      <c r="H877" s="34" t="e">
        <f>IF(G877="","",VLOOKUP($B877,#REF!,7,FALSE))</f>
        <v>#REF!</v>
      </c>
      <c r="I877" s="25"/>
      <c r="J877" s="25"/>
      <c r="K877" s="25"/>
      <c r="L877" s="25"/>
      <c r="M877" s="25"/>
      <c r="N877" s="25"/>
      <c r="O877" s="33">
        <f t="shared" si="27"/>
        <v>0</v>
      </c>
      <c r="P877" s="25"/>
      <c r="Q877" s="25">
        <f t="shared" si="29"/>
        <v>0</v>
      </c>
      <c r="R877" s="25"/>
      <c r="S877" s="25"/>
      <c r="T877" s="25"/>
      <c r="U877" s="25"/>
      <c r="V877" s="39">
        <v>132</v>
      </c>
      <c r="W877" s="25"/>
      <c r="X877" s="33">
        <f t="shared" si="26"/>
        <v>132</v>
      </c>
      <c r="Y877" s="39">
        <v>170880</v>
      </c>
      <c r="Z877" s="25">
        <f t="shared" si="28"/>
        <v>22556160</v>
      </c>
      <c r="AA877" s="45"/>
      <c r="AB877" s="45"/>
      <c r="AC877" s="45"/>
      <c r="AD877" s="45"/>
      <c r="AE877" s="45"/>
    </row>
    <row r="878" spans="1:31" s="12" customFormat="1" ht="12">
      <c r="A878" s="27">
        <v>45623</v>
      </c>
      <c r="B878" s="28" t="s">
        <v>57</v>
      </c>
      <c r="C878" s="37" t="e">
        <f>IF(B878="","",VLOOKUP($B878,#REF!,2,FALSE))</f>
        <v>#REF!</v>
      </c>
      <c r="D878" s="34" t="e">
        <f>IF(B878="","",VLOOKUP($B878,#REF!,3,FALSE))</f>
        <v>#REF!</v>
      </c>
      <c r="E878" s="34" t="e">
        <f>IF(B878="","",VLOOKUP($B878,#REF!,4,FALSE))</f>
        <v>#REF!</v>
      </c>
      <c r="F878" s="34" t="e">
        <f>IF(E878="","",VLOOKUP($B878,#REF!,5,FALSE))</f>
        <v>#REF!</v>
      </c>
      <c r="G878" s="34" t="e">
        <f>IF(F878="","",VLOOKUP($B878,#REF!,6,FALSE))</f>
        <v>#REF!</v>
      </c>
      <c r="H878" s="34" t="e">
        <f>IF(G878="","",VLOOKUP($B878,#REF!,7,FALSE))</f>
        <v>#REF!</v>
      </c>
      <c r="I878" s="25"/>
      <c r="J878" s="25"/>
      <c r="K878" s="25"/>
      <c r="L878" s="25"/>
      <c r="M878" s="25"/>
      <c r="N878" s="25"/>
      <c r="O878" s="33">
        <f t="shared" si="27"/>
        <v>0</v>
      </c>
      <c r="P878" s="25"/>
      <c r="Q878" s="25">
        <f t="shared" si="29"/>
        <v>0</v>
      </c>
      <c r="R878" s="25"/>
      <c r="S878" s="25"/>
      <c r="T878" s="25"/>
      <c r="U878" s="25"/>
      <c r="V878" s="39">
        <v>64</v>
      </c>
      <c r="W878" s="25"/>
      <c r="X878" s="33">
        <f t="shared" si="26"/>
        <v>64</v>
      </c>
      <c r="Y878" s="39">
        <v>163800</v>
      </c>
      <c r="Z878" s="25">
        <f t="shared" si="28"/>
        <v>10483200</v>
      </c>
      <c r="AA878" s="45"/>
      <c r="AB878" s="45"/>
      <c r="AC878" s="45"/>
      <c r="AD878" s="45"/>
      <c r="AE878" s="45"/>
    </row>
    <row r="879" spans="1:31" s="12" customFormat="1" ht="12">
      <c r="A879" s="27">
        <v>45623</v>
      </c>
      <c r="B879" s="28" t="s">
        <v>160</v>
      </c>
      <c r="C879" s="37" t="e">
        <f>IF(B879="","",VLOOKUP($B879,#REF!,2,FALSE))</f>
        <v>#REF!</v>
      </c>
      <c r="D879" s="34" t="e">
        <f>IF(B879="","",VLOOKUP($B879,#REF!,3,FALSE))</f>
        <v>#REF!</v>
      </c>
      <c r="E879" s="34" t="e">
        <f>IF(B879="","",VLOOKUP($B879,#REF!,4,FALSE))</f>
        <v>#REF!</v>
      </c>
      <c r="F879" s="34" t="e">
        <f>IF(E879="","",VLOOKUP($B879,#REF!,5,FALSE))</f>
        <v>#REF!</v>
      </c>
      <c r="G879" s="34" t="e">
        <f>IF(F879="","",VLOOKUP($B879,#REF!,6,FALSE))</f>
        <v>#REF!</v>
      </c>
      <c r="H879" s="34" t="e">
        <f>IF(G879="","",VLOOKUP($B879,#REF!,7,FALSE))</f>
        <v>#REF!</v>
      </c>
      <c r="I879" s="25"/>
      <c r="J879" s="25"/>
      <c r="K879" s="25"/>
      <c r="L879" s="25"/>
      <c r="M879" s="25"/>
      <c r="N879" s="25"/>
      <c r="O879" s="33">
        <f t="shared" si="27"/>
        <v>0</v>
      </c>
      <c r="P879" s="25"/>
      <c r="Q879" s="25">
        <f t="shared" si="29"/>
        <v>0</v>
      </c>
      <c r="R879" s="25"/>
      <c r="S879" s="25"/>
      <c r="T879" s="25"/>
      <c r="U879" s="25"/>
      <c r="V879" s="39">
        <v>96</v>
      </c>
      <c r="W879" s="25"/>
      <c r="X879" s="33">
        <f t="shared" si="26"/>
        <v>96</v>
      </c>
      <c r="Y879" s="39">
        <v>100300</v>
      </c>
      <c r="Z879" s="25">
        <f t="shared" si="28"/>
        <v>9628800</v>
      </c>
      <c r="AA879" s="45"/>
      <c r="AB879" s="45"/>
      <c r="AC879" s="45"/>
      <c r="AD879" s="45"/>
      <c r="AE879" s="45"/>
    </row>
    <row r="880" spans="1:31" s="12" customFormat="1" ht="12">
      <c r="A880" s="27">
        <v>45623</v>
      </c>
      <c r="B880" s="47" t="s">
        <v>211</v>
      </c>
      <c r="C880" s="37" t="e">
        <f>IF(B880="","",VLOOKUP($B880,#REF!,2,FALSE))</f>
        <v>#REF!</v>
      </c>
      <c r="D880" s="34" t="e">
        <f>IF(B880="","",VLOOKUP($B880,#REF!,3,FALSE))</f>
        <v>#REF!</v>
      </c>
      <c r="E880" s="34" t="e">
        <f>IF(B880="","",VLOOKUP($B880,#REF!,4,FALSE))</f>
        <v>#REF!</v>
      </c>
      <c r="F880" s="34" t="e">
        <f>IF(E880="","",VLOOKUP($B880,#REF!,5,FALSE))</f>
        <v>#REF!</v>
      </c>
      <c r="G880" s="34" t="e">
        <f>IF(F880="","",VLOOKUP($B880,#REF!,6,FALSE))</f>
        <v>#REF!</v>
      </c>
      <c r="H880" s="34" t="e">
        <f>IF(G880="","",VLOOKUP($B880,#REF!,7,FALSE))</f>
        <v>#REF!</v>
      </c>
      <c r="I880" s="25"/>
      <c r="J880" s="25"/>
      <c r="K880" s="25"/>
      <c r="L880" s="25"/>
      <c r="M880" s="25"/>
      <c r="N880" s="25"/>
      <c r="O880" s="33">
        <f t="shared" si="27"/>
        <v>0</v>
      </c>
      <c r="P880" s="25"/>
      <c r="Q880" s="25">
        <f t="shared" si="29"/>
        <v>0</v>
      </c>
      <c r="R880" s="25"/>
      <c r="S880" s="25"/>
      <c r="T880" s="25"/>
      <c r="U880" s="25"/>
      <c r="V880" s="39">
        <v>36</v>
      </c>
      <c r="W880" s="25"/>
      <c r="X880" s="33">
        <f t="shared" si="26"/>
        <v>36</v>
      </c>
      <c r="Y880" s="39">
        <v>46020</v>
      </c>
      <c r="Z880" s="25">
        <f t="shared" si="28"/>
        <v>1656720</v>
      </c>
      <c r="AA880" s="45"/>
      <c r="AB880" s="45"/>
      <c r="AC880" s="45"/>
      <c r="AD880" s="45"/>
      <c r="AE880" s="45"/>
    </row>
    <row r="881" spans="1:31" s="12" customFormat="1" ht="12">
      <c r="A881" s="27">
        <v>45623</v>
      </c>
      <c r="B881" s="53" t="s">
        <v>168</v>
      </c>
      <c r="C881" s="37" t="e">
        <f>IF(B881="","",VLOOKUP($B881,#REF!,2,FALSE))</f>
        <v>#REF!</v>
      </c>
      <c r="D881" s="34" t="e">
        <f>IF(B881="","",VLOOKUP($B881,#REF!,3,FALSE))</f>
        <v>#REF!</v>
      </c>
      <c r="E881" s="34" t="e">
        <f>IF(B881="","",VLOOKUP($B881,#REF!,4,FALSE))</f>
        <v>#REF!</v>
      </c>
      <c r="F881" s="34" t="e">
        <f>IF(E881="","",VLOOKUP($B881,#REF!,5,FALSE))</f>
        <v>#REF!</v>
      </c>
      <c r="G881" s="34" t="e">
        <f>IF(F881="","",VLOOKUP($B881,#REF!,6,FALSE))</f>
        <v>#REF!</v>
      </c>
      <c r="H881" s="34" t="e">
        <f>IF(G881="","",VLOOKUP($B881,#REF!,7,FALSE))</f>
        <v>#REF!</v>
      </c>
      <c r="I881" s="25"/>
      <c r="J881" s="25"/>
      <c r="K881" s="25"/>
      <c r="L881" s="25"/>
      <c r="M881" s="25"/>
      <c r="N881" s="25"/>
      <c r="O881" s="33">
        <f t="shared" si="27"/>
        <v>0</v>
      </c>
      <c r="P881" s="25"/>
      <c r="Q881" s="25">
        <f t="shared" si="29"/>
        <v>0</v>
      </c>
      <c r="R881" s="25"/>
      <c r="S881" s="25"/>
      <c r="T881" s="25"/>
      <c r="U881" s="25"/>
      <c r="V881" s="39">
        <v>192</v>
      </c>
      <c r="W881" s="25"/>
      <c r="X881" s="33">
        <f t="shared" si="26"/>
        <v>192</v>
      </c>
      <c r="Y881" s="39">
        <v>124920</v>
      </c>
      <c r="Z881" s="25">
        <f t="shared" si="28"/>
        <v>23984640</v>
      </c>
      <c r="AA881" s="45"/>
      <c r="AB881" s="45"/>
      <c r="AC881" s="45"/>
      <c r="AD881" s="45"/>
      <c r="AE881" s="45"/>
    </row>
    <row r="882" spans="1:31" s="12" customFormat="1" ht="12">
      <c r="A882" s="27">
        <v>45623</v>
      </c>
      <c r="B882" s="53" t="s">
        <v>97</v>
      </c>
      <c r="C882" s="37" t="e">
        <f>IF(B882="","",VLOOKUP($B882,#REF!,2,FALSE))</f>
        <v>#REF!</v>
      </c>
      <c r="D882" s="34" t="e">
        <f>IF(B882="","",VLOOKUP($B882,#REF!,3,FALSE))</f>
        <v>#REF!</v>
      </c>
      <c r="E882" s="34" t="e">
        <f>IF(B882="","",VLOOKUP($B882,#REF!,4,FALSE))</f>
        <v>#REF!</v>
      </c>
      <c r="F882" s="34" t="e">
        <f>IF(E882="","",VLOOKUP($B882,#REF!,5,FALSE))</f>
        <v>#REF!</v>
      </c>
      <c r="G882" s="34" t="e">
        <f>IF(F882="","",VLOOKUP($B882,#REF!,6,FALSE))</f>
        <v>#REF!</v>
      </c>
      <c r="H882" s="34" t="e">
        <f>IF(G882="","",VLOOKUP($B882,#REF!,7,FALSE))</f>
        <v>#REF!</v>
      </c>
      <c r="I882" s="25"/>
      <c r="J882" s="25"/>
      <c r="K882" s="25"/>
      <c r="L882" s="25"/>
      <c r="M882" s="25"/>
      <c r="N882" s="25"/>
      <c r="O882" s="33">
        <f t="shared" si="27"/>
        <v>0</v>
      </c>
      <c r="P882" s="25"/>
      <c r="Q882" s="25">
        <f t="shared" si="29"/>
        <v>0</v>
      </c>
      <c r="R882" s="25"/>
      <c r="S882" s="25"/>
      <c r="T882" s="25"/>
      <c r="U882" s="25"/>
      <c r="V882" s="39">
        <v>108</v>
      </c>
      <c r="W882" s="25"/>
      <c r="X882" s="33">
        <f t="shared" si="26"/>
        <v>108</v>
      </c>
      <c r="Y882" s="39">
        <v>128000</v>
      </c>
      <c r="Z882" s="25">
        <f t="shared" si="28"/>
        <v>13824000</v>
      </c>
      <c r="AA882" s="45"/>
      <c r="AB882" s="45"/>
      <c r="AC882" s="45"/>
      <c r="AD882" s="45"/>
      <c r="AE882" s="45"/>
    </row>
    <row r="883" spans="1:31" s="12" customFormat="1" ht="12">
      <c r="A883" s="27">
        <v>45623</v>
      </c>
      <c r="B883" s="53" t="s">
        <v>241</v>
      </c>
      <c r="C883" s="37" t="e">
        <f>IF(B883="","",VLOOKUP($B883,#REF!,2,FALSE))</f>
        <v>#REF!</v>
      </c>
      <c r="D883" s="34" t="e">
        <f>IF(B883="","",VLOOKUP($B883,#REF!,3,FALSE))</f>
        <v>#REF!</v>
      </c>
      <c r="E883" s="34" t="e">
        <f>IF(B883="","",VLOOKUP($B883,#REF!,4,FALSE))</f>
        <v>#REF!</v>
      </c>
      <c r="F883" s="34" t="e">
        <f>IF(E883="","",VLOOKUP($B883,#REF!,5,FALSE))</f>
        <v>#REF!</v>
      </c>
      <c r="G883" s="34" t="e">
        <f>IF(F883="","",VLOOKUP($B883,#REF!,6,FALSE))</f>
        <v>#REF!</v>
      </c>
      <c r="H883" s="34" t="e">
        <f>IF(G883="","",VLOOKUP($B883,#REF!,7,FALSE))</f>
        <v>#REF!</v>
      </c>
      <c r="I883" s="25"/>
      <c r="J883" s="25"/>
      <c r="K883" s="25"/>
      <c r="L883" s="25"/>
      <c r="M883" s="25"/>
      <c r="N883" s="25"/>
      <c r="O883" s="33">
        <f t="shared" si="27"/>
        <v>0</v>
      </c>
      <c r="P883" s="25"/>
      <c r="Q883" s="25">
        <f t="shared" si="29"/>
        <v>0</v>
      </c>
      <c r="R883" s="25"/>
      <c r="S883" s="25"/>
      <c r="T883" s="25"/>
      <c r="U883" s="25"/>
      <c r="V883" s="39">
        <v>48</v>
      </c>
      <c r="W883" s="25"/>
      <c r="X883" s="33">
        <f t="shared" si="26"/>
        <v>48</v>
      </c>
      <c r="Y883" s="39">
        <v>186150</v>
      </c>
      <c r="Z883" s="25">
        <f t="shared" si="28"/>
        <v>8935200</v>
      </c>
      <c r="AA883" s="45"/>
      <c r="AB883" s="45"/>
      <c r="AC883" s="45"/>
      <c r="AD883" s="45"/>
      <c r="AE883" s="45"/>
    </row>
    <row r="884" spans="1:31" s="12" customFormat="1" ht="12">
      <c r="A884" s="27">
        <v>45623</v>
      </c>
      <c r="B884" s="54" t="s">
        <v>195</v>
      </c>
      <c r="C884" s="37" t="e">
        <f>IF(B884="","",VLOOKUP($B884,#REF!,2,FALSE))</f>
        <v>#REF!</v>
      </c>
      <c r="D884" s="34" t="e">
        <f>IF(B884="","",VLOOKUP($B884,#REF!,3,FALSE))</f>
        <v>#REF!</v>
      </c>
      <c r="E884" s="34" t="e">
        <f>IF(B884="","",VLOOKUP($B884,#REF!,4,FALSE))</f>
        <v>#REF!</v>
      </c>
      <c r="F884" s="34" t="e">
        <f>IF(E884="","",VLOOKUP($B884,#REF!,5,FALSE))</f>
        <v>#REF!</v>
      </c>
      <c r="G884" s="34" t="e">
        <f>IF(F884="","",VLOOKUP($B884,#REF!,6,FALSE))</f>
        <v>#REF!</v>
      </c>
      <c r="H884" s="34" t="e">
        <f>IF(G884="","",VLOOKUP($B884,#REF!,7,FALSE))</f>
        <v>#REF!</v>
      </c>
      <c r="I884" s="25"/>
      <c r="J884" s="25"/>
      <c r="K884" s="25"/>
      <c r="L884" s="25"/>
      <c r="M884" s="25"/>
      <c r="N884" s="25"/>
      <c r="O884" s="33">
        <f t="shared" si="27"/>
        <v>0</v>
      </c>
      <c r="P884" s="25"/>
      <c r="Q884" s="25">
        <f t="shared" si="29"/>
        <v>0</v>
      </c>
      <c r="R884" s="25"/>
      <c r="S884" s="25"/>
      <c r="T884" s="25"/>
      <c r="U884" s="25"/>
      <c r="V884" s="39">
        <v>1</v>
      </c>
      <c r="W884" s="25"/>
      <c r="X884" s="33">
        <f t="shared" si="26"/>
        <v>1</v>
      </c>
      <c r="Y884" s="39">
        <v>140000</v>
      </c>
      <c r="Z884" s="25">
        <f t="shared" si="28"/>
        <v>140000</v>
      </c>
      <c r="AA884" s="45"/>
      <c r="AB884" s="45"/>
      <c r="AC884" s="45"/>
      <c r="AD884" s="45"/>
      <c r="AE884" s="45"/>
    </row>
    <row r="885" spans="1:31" s="12" customFormat="1" ht="12">
      <c r="A885" s="27">
        <v>45623</v>
      </c>
      <c r="B885" s="53" t="s">
        <v>242</v>
      </c>
      <c r="C885" s="37" t="e">
        <f>IF(B885="","",VLOOKUP($B885,#REF!,2,FALSE))</f>
        <v>#REF!</v>
      </c>
      <c r="D885" s="34" t="e">
        <f>IF(B885="","",VLOOKUP($B885,#REF!,3,FALSE))</f>
        <v>#REF!</v>
      </c>
      <c r="E885" s="34" t="e">
        <f>IF(B885="","",VLOOKUP($B885,#REF!,4,FALSE))</f>
        <v>#REF!</v>
      </c>
      <c r="F885" s="34" t="e">
        <f>IF(E885="","",VLOOKUP($B885,#REF!,5,FALSE))</f>
        <v>#REF!</v>
      </c>
      <c r="G885" s="34" t="e">
        <f>IF(F885="","",VLOOKUP($B885,#REF!,6,FALSE))</f>
        <v>#REF!</v>
      </c>
      <c r="H885" s="34" t="e">
        <f>IF(G885="","",VLOOKUP($B885,#REF!,7,FALSE))</f>
        <v>#REF!</v>
      </c>
      <c r="I885" s="25"/>
      <c r="J885" s="25"/>
      <c r="K885" s="25"/>
      <c r="L885" s="25"/>
      <c r="M885" s="25"/>
      <c r="N885" s="25"/>
      <c r="O885" s="33">
        <f t="shared" si="27"/>
        <v>0</v>
      </c>
      <c r="P885" s="25"/>
      <c r="Q885" s="25">
        <f t="shared" si="29"/>
        <v>0</v>
      </c>
      <c r="R885" s="25"/>
      <c r="S885" s="25"/>
      <c r="T885" s="25"/>
      <c r="U885" s="25"/>
      <c r="V885" s="39">
        <v>6</v>
      </c>
      <c r="W885" s="25"/>
      <c r="X885" s="33">
        <f t="shared" si="26"/>
        <v>6</v>
      </c>
      <c r="Y885" s="39">
        <v>238000</v>
      </c>
      <c r="Z885" s="25">
        <f t="shared" si="28"/>
        <v>1428000</v>
      </c>
      <c r="AA885" s="45"/>
      <c r="AB885" s="45"/>
      <c r="AC885" s="45"/>
      <c r="AD885" s="45"/>
      <c r="AE885" s="45"/>
    </row>
    <row r="886" spans="1:31" s="12" customFormat="1" ht="12">
      <c r="A886" s="27">
        <v>45623</v>
      </c>
      <c r="B886" s="53" t="s">
        <v>243</v>
      </c>
      <c r="C886" s="37" t="e">
        <f>IF(B886="","",VLOOKUP($B886,#REF!,2,FALSE))</f>
        <v>#REF!</v>
      </c>
      <c r="D886" s="34" t="e">
        <f>IF(B886="","",VLOOKUP($B886,#REF!,3,FALSE))</f>
        <v>#REF!</v>
      </c>
      <c r="E886" s="34" t="e">
        <f>IF(B886="","",VLOOKUP($B886,#REF!,4,FALSE))</f>
        <v>#REF!</v>
      </c>
      <c r="F886" s="34" t="e">
        <f>IF(E886="","",VLOOKUP($B886,#REF!,5,FALSE))</f>
        <v>#REF!</v>
      </c>
      <c r="G886" s="34" t="e">
        <f>IF(F886="","",VLOOKUP($B886,#REF!,6,FALSE))</f>
        <v>#REF!</v>
      </c>
      <c r="H886" s="34" t="e">
        <f>IF(G886="","",VLOOKUP($B886,#REF!,7,FALSE))</f>
        <v>#REF!</v>
      </c>
      <c r="I886" s="25"/>
      <c r="J886" s="25"/>
      <c r="K886" s="25"/>
      <c r="L886" s="25"/>
      <c r="M886" s="25"/>
      <c r="N886" s="25"/>
      <c r="O886" s="33">
        <f t="shared" si="27"/>
        <v>0</v>
      </c>
      <c r="P886" s="25"/>
      <c r="Q886" s="25">
        <f t="shared" si="29"/>
        <v>0</v>
      </c>
      <c r="R886" s="25"/>
      <c r="S886" s="25"/>
      <c r="T886" s="25"/>
      <c r="U886" s="25"/>
      <c r="V886" s="39">
        <v>3</v>
      </c>
      <c r="W886" s="25"/>
      <c r="X886" s="33">
        <f t="shared" si="26"/>
        <v>3</v>
      </c>
      <c r="Y886" s="39">
        <v>64500</v>
      </c>
      <c r="Z886" s="25">
        <f t="shared" si="28"/>
        <v>193500</v>
      </c>
      <c r="AA886" s="45"/>
      <c r="AB886" s="45"/>
      <c r="AC886" s="45"/>
      <c r="AD886" s="45"/>
      <c r="AE886" s="45"/>
    </row>
    <row r="887" spans="1:31" s="12" customFormat="1" ht="12">
      <c r="A887" s="27">
        <v>45623</v>
      </c>
      <c r="B887" s="47" t="s">
        <v>211</v>
      </c>
      <c r="C887" s="37" t="e">
        <f>IF(B887="","",VLOOKUP($B887,#REF!,2,FALSE))</f>
        <v>#REF!</v>
      </c>
      <c r="D887" s="34" t="e">
        <f>IF(B887="","",VLOOKUP($B887,#REF!,3,FALSE))</f>
        <v>#REF!</v>
      </c>
      <c r="E887" s="34" t="e">
        <f>IF(B887="","",VLOOKUP($B887,#REF!,4,FALSE))</f>
        <v>#REF!</v>
      </c>
      <c r="F887" s="34" t="e">
        <f>IF(E887="","",VLOOKUP($B887,#REF!,5,FALSE))</f>
        <v>#REF!</v>
      </c>
      <c r="G887" s="34" t="e">
        <f>IF(F887="","",VLOOKUP($B887,#REF!,6,FALSE))</f>
        <v>#REF!</v>
      </c>
      <c r="H887" s="34" t="e">
        <f>IF(G887="","",VLOOKUP($B887,#REF!,7,FALSE))</f>
        <v>#REF!</v>
      </c>
      <c r="I887" s="25"/>
      <c r="J887" s="25"/>
      <c r="K887" s="25"/>
      <c r="L887" s="25"/>
      <c r="M887" s="25"/>
      <c r="N887" s="25"/>
      <c r="O887" s="33">
        <f t="shared" si="27"/>
        <v>0</v>
      </c>
      <c r="P887" s="25"/>
      <c r="Q887" s="25">
        <f t="shared" si="29"/>
        <v>0</v>
      </c>
      <c r="R887" s="25"/>
      <c r="S887" s="25"/>
      <c r="T887" s="25"/>
      <c r="U887" s="25"/>
      <c r="V887" s="39">
        <v>96</v>
      </c>
      <c r="W887" s="25"/>
      <c r="X887" s="33">
        <f t="shared" si="26"/>
        <v>96</v>
      </c>
      <c r="Y887" s="39">
        <v>46020</v>
      </c>
      <c r="Z887" s="25">
        <f t="shared" si="28"/>
        <v>4417920</v>
      </c>
      <c r="AA887" s="45"/>
      <c r="AB887" s="45"/>
      <c r="AC887" s="45"/>
      <c r="AD887" s="45"/>
      <c r="AE887" s="45"/>
    </row>
    <row r="888" spans="1:31" s="12" customFormat="1" ht="12">
      <c r="A888" s="27">
        <v>45623</v>
      </c>
      <c r="B888" s="73" t="s">
        <v>15</v>
      </c>
      <c r="C888" s="37" t="e">
        <f>IF(B888="","",VLOOKUP($B888,#REF!,2,FALSE))</f>
        <v>#REF!</v>
      </c>
      <c r="D888" s="34" t="e">
        <f>IF(B888="","",VLOOKUP($B888,#REF!,3,FALSE))</f>
        <v>#REF!</v>
      </c>
      <c r="E888" s="34" t="e">
        <f>IF(B888="","",VLOOKUP($B888,#REF!,4,FALSE))</f>
        <v>#REF!</v>
      </c>
      <c r="F888" s="34" t="e">
        <f>IF(E888="","",VLOOKUP($B888,#REF!,5,FALSE))</f>
        <v>#REF!</v>
      </c>
      <c r="G888" s="34" t="e">
        <f>IF(F888="","",VLOOKUP($B888,#REF!,6,FALSE))</f>
        <v>#REF!</v>
      </c>
      <c r="H888" s="34" t="e">
        <f>IF(G888="","",VLOOKUP($B888,#REF!,7,FALSE))</f>
        <v>#REF!</v>
      </c>
      <c r="I888" s="25"/>
      <c r="J888" s="25"/>
      <c r="K888" s="25"/>
      <c r="L888" s="25"/>
      <c r="M888" s="25"/>
      <c r="N888" s="25"/>
      <c r="O888" s="33">
        <f t="shared" si="27"/>
        <v>0</v>
      </c>
      <c r="P888" s="25"/>
      <c r="Q888" s="25">
        <f t="shared" si="29"/>
        <v>0</v>
      </c>
      <c r="R888" s="25"/>
      <c r="S888" s="25"/>
      <c r="T888" s="39">
        <v>29</v>
      </c>
      <c r="U888" s="25"/>
      <c r="V888" s="39"/>
      <c r="W888" s="25"/>
      <c r="X888" s="33">
        <f t="shared" si="26"/>
        <v>29</v>
      </c>
      <c r="Y888" s="39"/>
      <c r="Z888" s="25">
        <f t="shared" si="28"/>
        <v>0</v>
      </c>
      <c r="AA888" s="45"/>
      <c r="AB888" s="45"/>
      <c r="AC888" s="45"/>
      <c r="AD888" s="45"/>
      <c r="AE888" s="45"/>
    </row>
    <row r="889" spans="1:31" s="12" customFormat="1" ht="12">
      <c r="A889" s="27">
        <v>45623</v>
      </c>
      <c r="B889" s="53" t="s">
        <v>232</v>
      </c>
      <c r="C889" s="37" t="e">
        <f>IF(B889="","",VLOOKUP($B889,#REF!,2,FALSE))</f>
        <v>#REF!</v>
      </c>
      <c r="D889" s="34" t="e">
        <f>IF(B889="","",VLOOKUP($B889,#REF!,3,FALSE))</f>
        <v>#REF!</v>
      </c>
      <c r="E889" s="34" t="e">
        <f>IF(B889="","",VLOOKUP($B889,#REF!,4,FALSE))</f>
        <v>#REF!</v>
      </c>
      <c r="F889" s="34" t="e">
        <f>IF(E889="","",VLOOKUP($B889,#REF!,5,FALSE))</f>
        <v>#REF!</v>
      </c>
      <c r="G889" s="34" t="e">
        <f>IF(F889="","",VLOOKUP($B889,#REF!,6,FALSE))</f>
        <v>#REF!</v>
      </c>
      <c r="H889" s="34" t="e">
        <f>IF(G889="","",VLOOKUP($B889,#REF!,7,FALSE))</f>
        <v>#REF!</v>
      </c>
      <c r="I889" s="25"/>
      <c r="J889" s="25"/>
      <c r="K889" s="25"/>
      <c r="L889" s="25"/>
      <c r="M889" s="25">
        <v>22</v>
      </c>
      <c r="N889" s="25"/>
      <c r="O889" s="33">
        <f t="shared" si="27"/>
        <v>22</v>
      </c>
      <c r="P889" s="25"/>
      <c r="Q889" s="25">
        <f t="shared" si="29"/>
        <v>0</v>
      </c>
      <c r="R889" s="25"/>
      <c r="S889" s="25"/>
      <c r="T889" s="25"/>
      <c r="U889" s="25"/>
      <c r="V889" s="39">
        <v>22</v>
      </c>
      <c r="W889" s="25"/>
      <c r="X889" s="33">
        <f t="shared" si="26"/>
        <v>22</v>
      </c>
      <c r="Y889" s="39">
        <v>59760</v>
      </c>
      <c r="Z889" s="25">
        <f t="shared" si="28"/>
        <v>1314720</v>
      </c>
      <c r="AA889" s="45"/>
      <c r="AB889" s="45"/>
      <c r="AC889" s="45"/>
      <c r="AD889" s="45"/>
      <c r="AE889" s="45"/>
    </row>
    <row r="890" spans="1:31" s="12" customFormat="1" ht="12">
      <c r="A890" s="27">
        <v>45623</v>
      </c>
      <c r="B890" s="53" t="s">
        <v>232</v>
      </c>
      <c r="C890" s="37" t="e">
        <f>IF(B890="","",VLOOKUP($B890,#REF!,2,FALSE))</f>
        <v>#REF!</v>
      </c>
      <c r="D890" s="34" t="e">
        <f>IF(B890="","",VLOOKUP($B890,#REF!,3,FALSE))</f>
        <v>#REF!</v>
      </c>
      <c r="E890" s="34" t="e">
        <f>IF(B890="","",VLOOKUP($B890,#REF!,4,FALSE))</f>
        <v>#REF!</v>
      </c>
      <c r="F890" s="34" t="e">
        <f>IF(E890="","",VLOOKUP($B890,#REF!,5,FALSE))</f>
        <v>#REF!</v>
      </c>
      <c r="G890" s="34" t="e">
        <f>IF(F890="","",VLOOKUP($B890,#REF!,6,FALSE))</f>
        <v>#REF!</v>
      </c>
      <c r="H890" s="34" t="e">
        <f>IF(G890="","",VLOOKUP($B890,#REF!,7,FALSE))</f>
        <v>#REF!</v>
      </c>
      <c r="I890" s="25"/>
      <c r="J890" s="25"/>
      <c r="K890" s="25"/>
      <c r="L890" s="25"/>
      <c r="M890" s="25">
        <v>7</v>
      </c>
      <c r="N890" s="25"/>
      <c r="O890" s="33">
        <f t="shared" si="27"/>
        <v>7</v>
      </c>
      <c r="P890" s="25"/>
      <c r="Q890" s="25">
        <f t="shared" si="29"/>
        <v>0</v>
      </c>
      <c r="R890" s="25"/>
      <c r="S890" s="25"/>
      <c r="T890" s="25"/>
      <c r="U890" s="25"/>
      <c r="V890" s="39">
        <v>7</v>
      </c>
      <c r="W890" s="25"/>
      <c r="X890" s="33">
        <f t="shared" si="26"/>
        <v>7</v>
      </c>
      <c r="Y890" s="39">
        <v>59760</v>
      </c>
      <c r="Z890" s="25">
        <f t="shared" si="28"/>
        <v>418320</v>
      </c>
      <c r="AA890" s="45"/>
      <c r="AB890" s="45"/>
      <c r="AC890" s="45"/>
      <c r="AD890" s="45"/>
      <c r="AE890" s="45"/>
    </row>
    <row r="891" spans="1:31" s="12" customFormat="1" ht="12">
      <c r="A891" s="27">
        <v>45623</v>
      </c>
      <c r="B891" s="28" t="s">
        <v>115</v>
      </c>
      <c r="C891" s="37" t="e">
        <f>IF(B891="","",VLOOKUP($B891,#REF!,2,FALSE))</f>
        <v>#REF!</v>
      </c>
      <c r="D891" s="34" t="e">
        <f>IF(B891="","",VLOOKUP($B891,#REF!,3,FALSE))</f>
        <v>#REF!</v>
      </c>
      <c r="E891" s="34" t="e">
        <f>IF(B891="","",VLOOKUP($B891,#REF!,4,FALSE))</f>
        <v>#REF!</v>
      </c>
      <c r="F891" s="34" t="e">
        <f>IF(E891="","",VLOOKUP($B891,#REF!,5,FALSE))</f>
        <v>#REF!</v>
      </c>
      <c r="G891" s="34" t="e">
        <f>IF(F891="","",VLOOKUP($B891,#REF!,6,FALSE))</f>
        <v>#REF!</v>
      </c>
      <c r="H891" s="34" t="e">
        <f>IF(G891="","",VLOOKUP($B891,#REF!,7,FALSE))</f>
        <v>#REF!</v>
      </c>
      <c r="I891" s="25"/>
      <c r="J891" s="25"/>
      <c r="K891" s="25"/>
      <c r="L891" s="25"/>
      <c r="M891" s="25"/>
      <c r="N891" s="25"/>
      <c r="O891" s="33">
        <f t="shared" si="27"/>
        <v>0</v>
      </c>
      <c r="P891" s="25"/>
      <c r="Q891" s="25">
        <f t="shared" si="29"/>
        <v>0</v>
      </c>
      <c r="R891" s="25"/>
      <c r="S891" s="25"/>
      <c r="T891" s="25">
        <v>7</v>
      </c>
      <c r="U891" s="25"/>
      <c r="V891" s="39"/>
      <c r="W891" s="25"/>
      <c r="X891" s="33">
        <f t="shared" si="26"/>
        <v>7</v>
      </c>
      <c r="Y891" s="39">
        <v>16000</v>
      </c>
      <c r="Z891" s="25">
        <f t="shared" si="28"/>
        <v>112000</v>
      </c>
      <c r="AA891" s="45"/>
      <c r="AB891" s="45"/>
      <c r="AC891" s="45"/>
      <c r="AD891" s="45"/>
      <c r="AE891" s="45"/>
    </row>
    <row r="892" spans="1:31" s="12" customFormat="1" ht="12">
      <c r="A892" s="27">
        <v>45623</v>
      </c>
      <c r="B892" s="73" t="s">
        <v>15</v>
      </c>
      <c r="C892" s="37" t="e">
        <f>IF(B892="","",VLOOKUP($B892,#REF!,2,FALSE))</f>
        <v>#REF!</v>
      </c>
      <c r="D892" s="34" t="e">
        <f>IF(B892="","",VLOOKUP($B892,#REF!,3,FALSE))</f>
        <v>#REF!</v>
      </c>
      <c r="E892" s="34" t="e">
        <f>IF(B892="","",VLOOKUP($B892,#REF!,4,FALSE))</f>
        <v>#REF!</v>
      </c>
      <c r="F892" s="34" t="e">
        <f>IF(E892="","",VLOOKUP($B892,#REF!,5,FALSE))</f>
        <v>#REF!</v>
      </c>
      <c r="G892" s="34" t="e">
        <f>IF(F892="","",VLOOKUP($B892,#REF!,6,FALSE))</f>
        <v>#REF!</v>
      </c>
      <c r="H892" s="34" t="e">
        <f>IF(G892="","",VLOOKUP($B892,#REF!,7,FALSE))</f>
        <v>#REF!</v>
      </c>
      <c r="I892" s="25"/>
      <c r="J892" s="25"/>
      <c r="K892" s="25"/>
      <c r="L892" s="25"/>
      <c r="M892" s="25"/>
      <c r="N892" s="25"/>
      <c r="O892" s="33">
        <f t="shared" si="27"/>
        <v>0</v>
      </c>
      <c r="P892" s="25"/>
      <c r="Q892" s="25">
        <f t="shared" si="29"/>
        <v>0</v>
      </c>
      <c r="R892" s="25"/>
      <c r="S892" s="25"/>
      <c r="T892" s="25">
        <v>3</v>
      </c>
      <c r="U892" s="25"/>
      <c r="V892" s="39"/>
      <c r="W892" s="25"/>
      <c r="X892" s="33">
        <f t="shared" si="26"/>
        <v>3</v>
      </c>
      <c r="Y892" s="39">
        <v>69600</v>
      </c>
      <c r="Z892" s="25">
        <f t="shared" si="28"/>
        <v>208800</v>
      </c>
      <c r="AA892" s="45"/>
      <c r="AB892" s="45"/>
      <c r="AC892" s="45"/>
      <c r="AD892" s="45"/>
      <c r="AE892" s="45"/>
    </row>
    <row r="893" spans="1:31" s="12" customFormat="1" ht="12">
      <c r="A893" s="27">
        <v>45623</v>
      </c>
      <c r="B893" s="53" t="s">
        <v>10</v>
      </c>
      <c r="C893" s="37" t="e">
        <f>IF(B893="","",VLOOKUP($B893,#REF!,2,FALSE))</f>
        <v>#REF!</v>
      </c>
      <c r="D893" s="34" t="e">
        <f>IF(B893="","",VLOOKUP($B893,#REF!,3,FALSE))</f>
        <v>#REF!</v>
      </c>
      <c r="E893" s="34" t="e">
        <f>IF(B893="","",VLOOKUP($B893,#REF!,4,FALSE))</f>
        <v>#REF!</v>
      </c>
      <c r="F893" s="34" t="e">
        <f>IF(E893="","",VLOOKUP($B893,#REF!,5,FALSE))</f>
        <v>#REF!</v>
      </c>
      <c r="G893" s="34" t="e">
        <f>IF(F893="","",VLOOKUP($B893,#REF!,6,FALSE))</f>
        <v>#REF!</v>
      </c>
      <c r="H893" s="34" t="e">
        <f>IF(G893="","",VLOOKUP($B893,#REF!,7,FALSE))</f>
        <v>#REF!</v>
      </c>
      <c r="I893" s="25"/>
      <c r="J893" s="25"/>
      <c r="K893" s="25"/>
      <c r="L893" s="25"/>
      <c r="M893" s="25"/>
      <c r="N893" s="25"/>
      <c r="O893" s="33">
        <f t="shared" si="27"/>
        <v>0</v>
      </c>
      <c r="P893" s="25"/>
      <c r="Q893" s="25">
        <f t="shared" si="29"/>
        <v>0</v>
      </c>
      <c r="R893" s="25"/>
      <c r="S893" s="25"/>
      <c r="T893" s="25">
        <v>1</v>
      </c>
      <c r="U893" s="25"/>
      <c r="V893" s="39"/>
      <c r="W893" s="25"/>
      <c r="X893" s="33">
        <f t="shared" si="26"/>
        <v>1</v>
      </c>
      <c r="Y893" s="39">
        <v>57000</v>
      </c>
      <c r="Z893" s="25">
        <f t="shared" si="28"/>
        <v>57000</v>
      </c>
      <c r="AA893" s="45"/>
      <c r="AB893" s="45"/>
      <c r="AC893" s="45"/>
      <c r="AD893" s="45"/>
      <c r="AE893" s="45"/>
    </row>
    <row r="894" spans="1:31" s="12" customFormat="1" ht="12">
      <c r="A894" s="27">
        <v>45623</v>
      </c>
      <c r="B894" s="53" t="s">
        <v>61</v>
      </c>
      <c r="C894" s="37" t="e">
        <f>IF(B894="","",VLOOKUP($B894,#REF!,2,FALSE))</f>
        <v>#REF!</v>
      </c>
      <c r="D894" s="34" t="e">
        <f>IF(B894="","",VLOOKUP($B894,#REF!,3,FALSE))</f>
        <v>#REF!</v>
      </c>
      <c r="E894" s="34" t="e">
        <f>IF(B894="","",VLOOKUP($B894,#REF!,4,FALSE))</f>
        <v>#REF!</v>
      </c>
      <c r="F894" s="34" t="e">
        <f>IF(E894="","",VLOOKUP($B894,#REF!,5,FALSE))</f>
        <v>#REF!</v>
      </c>
      <c r="G894" s="34" t="e">
        <f>IF(F894="","",VLOOKUP($B894,#REF!,6,FALSE))</f>
        <v>#REF!</v>
      </c>
      <c r="H894" s="34" t="e">
        <f>IF(G894="","",VLOOKUP($B894,#REF!,7,FALSE))</f>
        <v>#REF!</v>
      </c>
      <c r="I894" s="25"/>
      <c r="J894" s="25"/>
      <c r="K894" s="25"/>
      <c r="L894" s="25"/>
      <c r="M894" s="25"/>
      <c r="N894" s="25"/>
      <c r="O894" s="33">
        <f t="shared" si="27"/>
        <v>0</v>
      </c>
      <c r="P894" s="25"/>
      <c r="Q894" s="25">
        <f t="shared" si="29"/>
        <v>0</v>
      </c>
      <c r="R894" s="25"/>
      <c r="S894" s="25"/>
      <c r="T894" s="25">
        <v>15</v>
      </c>
      <c r="U894" s="25"/>
      <c r="V894" s="39"/>
      <c r="W894" s="25"/>
      <c r="X894" s="33">
        <f t="shared" si="26"/>
        <v>15</v>
      </c>
      <c r="Y894" s="39">
        <v>67500</v>
      </c>
      <c r="Z894" s="25">
        <f t="shared" si="28"/>
        <v>1012500</v>
      </c>
      <c r="AA894" s="45"/>
      <c r="AB894" s="45"/>
      <c r="AC894" s="45"/>
      <c r="AD894" s="45"/>
      <c r="AE894" s="45"/>
    </row>
    <row r="895" spans="1:31" s="12" customFormat="1" ht="12">
      <c r="A895" s="27">
        <v>45623</v>
      </c>
      <c r="B895" s="53" t="s">
        <v>26</v>
      </c>
      <c r="C895" s="37" t="e">
        <f>IF(B895="","",VLOOKUP($B895,#REF!,2,FALSE))</f>
        <v>#REF!</v>
      </c>
      <c r="D895" s="34" t="e">
        <f>IF(B895="","",VLOOKUP($B895,#REF!,3,FALSE))</f>
        <v>#REF!</v>
      </c>
      <c r="E895" s="34" t="e">
        <f>IF(B895="","",VLOOKUP($B895,#REF!,4,FALSE))</f>
        <v>#REF!</v>
      </c>
      <c r="F895" s="34" t="e">
        <f>IF(E895="","",VLOOKUP($B895,#REF!,5,FALSE))</f>
        <v>#REF!</v>
      </c>
      <c r="G895" s="34" t="e">
        <f>IF(F895="","",VLOOKUP($B895,#REF!,6,FALSE))</f>
        <v>#REF!</v>
      </c>
      <c r="H895" s="34" t="e">
        <f>IF(G895="","",VLOOKUP($B895,#REF!,7,FALSE))</f>
        <v>#REF!</v>
      </c>
      <c r="I895" s="25"/>
      <c r="J895" s="25"/>
      <c r="K895" s="25"/>
      <c r="L895" s="25"/>
      <c r="M895" s="25"/>
      <c r="N895" s="25"/>
      <c r="O895" s="33">
        <f t="shared" si="27"/>
        <v>0</v>
      </c>
      <c r="P895" s="25"/>
      <c r="Q895" s="25">
        <f t="shared" si="29"/>
        <v>0</v>
      </c>
      <c r="R895" s="25"/>
      <c r="S895" s="25"/>
      <c r="T895" s="25">
        <v>6</v>
      </c>
      <c r="U895" s="25"/>
      <c r="V895" s="39"/>
      <c r="W895" s="25"/>
      <c r="X895" s="33">
        <f t="shared" si="26"/>
        <v>6</v>
      </c>
      <c r="Y895" s="39">
        <v>23200</v>
      </c>
      <c r="Z895" s="25">
        <f t="shared" si="28"/>
        <v>139200</v>
      </c>
      <c r="AA895" s="45"/>
      <c r="AB895" s="45"/>
      <c r="AC895" s="45"/>
      <c r="AD895" s="45"/>
      <c r="AE895" s="45"/>
    </row>
    <row r="896" spans="1:31" s="12" customFormat="1" ht="12">
      <c r="A896" s="27">
        <v>45623</v>
      </c>
      <c r="B896" s="53" t="s">
        <v>8</v>
      </c>
      <c r="C896" s="37" t="e">
        <f>IF(B896="","",VLOOKUP($B896,#REF!,2,FALSE))</f>
        <v>#REF!</v>
      </c>
      <c r="D896" s="34" t="e">
        <f>IF(B896="","",VLOOKUP($B896,#REF!,3,FALSE))</f>
        <v>#REF!</v>
      </c>
      <c r="E896" s="34" t="e">
        <f>IF(B896="","",VLOOKUP($B896,#REF!,4,FALSE))</f>
        <v>#REF!</v>
      </c>
      <c r="F896" s="34" t="e">
        <f>IF(E896="","",VLOOKUP($B896,#REF!,5,FALSE))</f>
        <v>#REF!</v>
      </c>
      <c r="G896" s="34" t="e">
        <f>IF(F896="","",VLOOKUP($B896,#REF!,6,FALSE))</f>
        <v>#REF!</v>
      </c>
      <c r="H896" s="34" t="e">
        <f>IF(G896="","",VLOOKUP($B896,#REF!,7,FALSE))</f>
        <v>#REF!</v>
      </c>
      <c r="I896" s="25"/>
      <c r="J896" s="25"/>
      <c r="K896" s="25"/>
      <c r="L896" s="25"/>
      <c r="M896" s="25"/>
      <c r="N896" s="25"/>
      <c r="O896" s="33">
        <f t="shared" si="27"/>
        <v>0</v>
      </c>
      <c r="P896" s="25"/>
      <c r="Q896" s="25">
        <f t="shared" si="29"/>
        <v>0</v>
      </c>
      <c r="R896" s="25"/>
      <c r="S896" s="25"/>
      <c r="T896" s="25">
        <v>10</v>
      </c>
      <c r="U896" s="25"/>
      <c r="V896" s="39"/>
      <c r="W896" s="25"/>
      <c r="X896" s="33">
        <f t="shared" si="26"/>
        <v>10</v>
      </c>
      <c r="Y896" s="39">
        <v>36300</v>
      </c>
      <c r="Z896" s="25">
        <f t="shared" si="28"/>
        <v>363000</v>
      </c>
      <c r="AA896" s="45"/>
      <c r="AB896" s="45"/>
      <c r="AC896" s="45"/>
      <c r="AD896" s="45"/>
      <c r="AE896" s="45"/>
    </row>
    <row r="897" spans="1:31" s="12" customFormat="1" ht="12">
      <c r="A897" s="27">
        <v>45623</v>
      </c>
      <c r="B897" s="53" t="s">
        <v>10</v>
      </c>
      <c r="C897" s="37" t="e">
        <f>IF(B897="","",VLOOKUP($B897,#REF!,2,FALSE))</f>
        <v>#REF!</v>
      </c>
      <c r="D897" s="34" t="e">
        <f>IF(B897="","",VLOOKUP($B897,#REF!,3,FALSE))</f>
        <v>#REF!</v>
      </c>
      <c r="E897" s="34" t="e">
        <f>IF(B897="","",VLOOKUP($B897,#REF!,4,FALSE))</f>
        <v>#REF!</v>
      </c>
      <c r="F897" s="34" t="e">
        <f>IF(E897="","",VLOOKUP($B897,#REF!,5,FALSE))</f>
        <v>#REF!</v>
      </c>
      <c r="G897" s="34" t="e">
        <f>IF(F897="","",VLOOKUP($B897,#REF!,6,FALSE))</f>
        <v>#REF!</v>
      </c>
      <c r="H897" s="34" t="e">
        <f>IF(G897="","",VLOOKUP($B897,#REF!,7,FALSE))</f>
        <v>#REF!</v>
      </c>
      <c r="I897" s="25"/>
      <c r="J897" s="25"/>
      <c r="K897" s="25"/>
      <c r="L897" s="25"/>
      <c r="M897" s="25"/>
      <c r="N897" s="25"/>
      <c r="O897" s="33">
        <f t="shared" si="27"/>
        <v>0</v>
      </c>
      <c r="P897" s="25"/>
      <c r="Q897" s="25">
        <f t="shared" si="29"/>
        <v>0</v>
      </c>
      <c r="R897" s="39"/>
      <c r="S897" s="39"/>
      <c r="T897" s="39">
        <v>1</v>
      </c>
      <c r="U897" s="39"/>
      <c r="V897" s="39"/>
      <c r="W897" s="25"/>
      <c r="X897" s="33">
        <f t="shared" ref="X897:X923" si="30">SUM(R897:W897)</f>
        <v>1</v>
      </c>
      <c r="Y897" s="39"/>
      <c r="Z897" s="25">
        <f t="shared" si="28"/>
        <v>0</v>
      </c>
      <c r="AA897" s="45"/>
      <c r="AB897" s="45"/>
      <c r="AC897" s="45"/>
      <c r="AD897" s="45"/>
      <c r="AE897" s="45"/>
    </row>
    <row r="898" spans="1:31" s="12" customFormat="1" ht="12">
      <c r="A898" s="27">
        <v>45623</v>
      </c>
      <c r="B898" s="53" t="s">
        <v>161</v>
      </c>
      <c r="C898" s="37" t="e">
        <f>IF(B898="","",VLOOKUP($B898,#REF!,2,FALSE))</f>
        <v>#REF!</v>
      </c>
      <c r="D898" s="34" t="e">
        <f>IF(B898="","",VLOOKUP($B898,#REF!,3,FALSE))</f>
        <v>#REF!</v>
      </c>
      <c r="E898" s="34" t="e">
        <f>IF(B898="","",VLOOKUP($B898,#REF!,4,FALSE))</f>
        <v>#REF!</v>
      </c>
      <c r="F898" s="34" t="e">
        <f>IF(E898="","",VLOOKUP($B898,#REF!,5,FALSE))</f>
        <v>#REF!</v>
      </c>
      <c r="G898" s="34" t="e">
        <f>IF(F898="","",VLOOKUP($B898,#REF!,6,FALSE))</f>
        <v>#REF!</v>
      </c>
      <c r="H898" s="34" t="e">
        <f>IF(G898="","",VLOOKUP($B898,#REF!,7,FALSE))</f>
        <v>#REF!</v>
      </c>
      <c r="I898" s="25"/>
      <c r="J898" s="25"/>
      <c r="K898" s="25">
        <v>1</v>
      </c>
      <c r="L898" s="25"/>
      <c r="M898" s="25"/>
      <c r="N898" s="25"/>
      <c r="O898" s="33">
        <f t="shared" ref="O898:O958" si="31">SUM(I898:N898)</f>
        <v>1</v>
      </c>
      <c r="P898" s="25"/>
      <c r="Q898" s="25">
        <f t="shared" si="29"/>
        <v>0</v>
      </c>
      <c r="R898" s="39"/>
      <c r="S898" s="39"/>
      <c r="T898" s="39">
        <v>1</v>
      </c>
      <c r="U898" s="39"/>
      <c r="V898" s="39"/>
      <c r="W898" s="25"/>
      <c r="X898" s="33">
        <f t="shared" si="30"/>
        <v>1</v>
      </c>
      <c r="Y898" s="39">
        <v>44280</v>
      </c>
      <c r="Z898" s="25">
        <f t="shared" ref="Z898:Z958" si="32">X898*Y898</f>
        <v>44280</v>
      </c>
      <c r="AA898" s="45"/>
      <c r="AB898" s="45"/>
      <c r="AC898" s="45"/>
      <c r="AD898" s="45"/>
      <c r="AE898" s="45"/>
    </row>
    <row r="899" spans="1:31" s="12" customFormat="1" ht="12">
      <c r="A899" s="27">
        <v>45623</v>
      </c>
      <c r="B899" s="28" t="s">
        <v>78</v>
      </c>
      <c r="C899" s="37" t="e">
        <f>IF(B899="","",VLOOKUP($B899,#REF!,2,FALSE))</f>
        <v>#REF!</v>
      </c>
      <c r="D899" s="34" t="e">
        <f>IF(B899="","",VLOOKUP($B899,#REF!,3,FALSE))</f>
        <v>#REF!</v>
      </c>
      <c r="E899" s="34" t="e">
        <f>IF(B899="","",VLOOKUP($B899,#REF!,4,FALSE))</f>
        <v>#REF!</v>
      </c>
      <c r="F899" s="34" t="e">
        <f>IF(E899="","",VLOOKUP($B899,#REF!,5,FALSE))</f>
        <v>#REF!</v>
      </c>
      <c r="G899" s="34" t="e">
        <f>IF(F899="","",VLOOKUP($B899,#REF!,6,FALSE))</f>
        <v>#REF!</v>
      </c>
      <c r="H899" s="34" t="e">
        <f>IF(G899="","",VLOOKUP($B899,#REF!,7,FALSE))</f>
        <v>#REF!</v>
      </c>
      <c r="I899" s="25"/>
      <c r="J899" s="25"/>
      <c r="K899" s="25"/>
      <c r="L899" s="25"/>
      <c r="M899" s="25"/>
      <c r="N899" s="25"/>
      <c r="O899" s="33">
        <f t="shared" si="31"/>
        <v>0</v>
      </c>
      <c r="P899" s="25"/>
      <c r="Q899" s="25">
        <f t="shared" ref="Q899:Q959" si="33">O899*P899</f>
        <v>0</v>
      </c>
      <c r="R899" s="39"/>
      <c r="S899" s="39"/>
      <c r="T899" s="39">
        <v>12</v>
      </c>
      <c r="U899" s="39"/>
      <c r="V899" s="39"/>
      <c r="W899" s="25"/>
      <c r="X899" s="33">
        <f t="shared" si="30"/>
        <v>12</v>
      </c>
      <c r="Y899" s="39"/>
      <c r="Z899" s="25">
        <f t="shared" si="32"/>
        <v>0</v>
      </c>
      <c r="AA899" s="45"/>
      <c r="AB899" s="45"/>
      <c r="AC899" s="45"/>
      <c r="AD899" s="45"/>
      <c r="AE899" s="45"/>
    </row>
    <row r="900" spans="1:31" s="12" customFormat="1" ht="12">
      <c r="A900" s="27">
        <v>45623</v>
      </c>
      <c r="B900" s="28" t="s">
        <v>244</v>
      </c>
      <c r="C900" s="37" t="e">
        <f>IF(B900="","",VLOOKUP($B900,#REF!,2,FALSE))</f>
        <v>#REF!</v>
      </c>
      <c r="D900" s="34" t="e">
        <f>IF(B900="","",VLOOKUP($B900,#REF!,3,FALSE))</f>
        <v>#REF!</v>
      </c>
      <c r="E900" s="34" t="e">
        <f>IF(B900="","",VLOOKUP($B900,#REF!,4,FALSE))</f>
        <v>#REF!</v>
      </c>
      <c r="F900" s="34" t="e">
        <f>IF(E900="","",VLOOKUP($B900,#REF!,5,FALSE))</f>
        <v>#REF!</v>
      </c>
      <c r="G900" s="34" t="e">
        <f>IF(F900="","",VLOOKUP($B900,#REF!,6,FALSE))</f>
        <v>#REF!</v>
      </c>
      <c r="H900" s="34" t="e">
        <f>IF(G900="","",VLOOKUP($B900,#REF!,7,FALSE))</f>
        <v>#REF!</v>
      </c>
      <c r="I900" s="25"/>
      <c r="J900" s="25"/>
      <c r="K900" s="25">
        <v>12</v>
      </c>
      <c r="L900" s="25"/>
      <c r="M900" s="25"/>
      <c r="N900" s="25"/>
      <c r="O900" s="33">
        <f t="shared" si="31"/>
        <v>12</v>
      </c>
      <c r="P900" s="25"/>
      <c r="Q900" s="25">
        <f t="shared" si="33"/>
        <v>0</v>
      </c>
      <c r="R900" s="39"/>
      <c r="S900" s="39"/>
      <c r="T900" s="39">
        <v>12</v>
      </c>
      <c r="U900" s="39"/>
      <c r="V900" s="39"/>
      <c r="W900" s="25"/>
      <c r="X900" s="33">
        <f t="shared" si="30"/>
        <v>12</v>
      </c>
      <c r="Y900" s="39">
        <v>16000</v>
      </c>
      <c r="Z900" s="25">
        <f>X900*Y900</f>
        <v>192000</v>
      </c>
      <c r="AA900" s="45"/>
      <c r="AB900" s="45"/>
      <c r="AC900" s="45"/>
      <c r="AD900" s="45"/>
      <c r="AE900" s="45"/>
    </row>
    <row r="901" spans="1:31" s="12" customFormat="1" ht="12">
      <c r="A901" s="27">
        <v>45623</v>
      </c>
      <c r="B901" s="20" t="s">
        <v>81</v>
      </c>
      <c r="C901" s="37">
        <v>0</v>
      </c>
      <c r="D901" s="34" t="s">
        <v>180</v>
      </c>
      <c r="E901" s="34" t="e">
        <f>IF(B901="","",VLOOKUP($B901,#REF!,4,FALSE))</f>
        <v>#REF!</v>
      </c>
      <c r="F901" s="34" t="e">
        <f>IF(E901="","",VLOOKUP($B901,#REF!,5,FALSE))</f>
        <v>#REF!</v>
      </c>
      <c r="G901" s="34" t="e">
        <f>IF(F901="","",VLOOKUP($B901,#REF!,6,FALSE))</f>
        <v>#REF!</v>
      </c>
      <c r="H901" s="34" t="e">
        <f>IF(G901="","",VLOOKUP($B901,#REF!,7,FALSE))</f>
        <v>#REF!</v>
      </c>
      <c r="I901" s="25"/>
      <c r="J901" s="25"/>
      <c r="K901" s="25"/>
      <c r="L901" s="25"/>
      <c r="M901" s="25"/>
      <c r="N901" s="25"/>
      <c r="O901" s="33">
        <f t="shared" si="31"/>
        <v>0</v>
      </c>
      <c r="P901" s="25"/>
      <c r="Q901" s="25">
        <f t="shared" si="33"/>
        <v>0</v>
      </c>
      <c r="R901" s="39"/>
      <c r="S901" s="39"/>
      <c r="T901" s="39">
        <v>2</v>
      </c>
      <c r="U901" s="39"/>
      <c r="V901" s="39"/>
      <c r="W901" s="25"/>
      <c r="X901" s="33">
        <f t="shared" si="30"/>
        <v>2</v>
      </c>
      <c r="Y901" s="39"/>
      <c r="Z901" s="25">
        <f t="shared" si="32"/>
        <v>0</v>
      </c>
      <c r="AA901" s="45" t="s">
        <v>215</v>
      </c>
      <c r="AB901" s="45"/>
      <c r="AC901" s="45"/>
      <c r="AD901" s="45"/>
      <c r="AE901" s="45"/>
    </row>
    <row r="902" spans="1:31" s="12" customFormat="1" ht="12">
      <c r="A902" s="27">
        <v>45623</v>
      </c>
      <c r="B902" s="20" t="s">
        <v>81</v>
      </c>
      <c r="C902" s="37">
        <v>0</v>
      </c>
      <c r="D902" s="34" t="s">
        <v>180</v>
      </c>
      <c r="E902" s="34" t="e">
        <f>IF(B902="","",VLOOKUP($B902,#REF!,4,FALSE))</f>
        <v>#REF!</v>
      </c>
      <c r="F902" s="34" t="e">
        <f>IF(E902="","",VLOOKUP($B902,#REF!,5,FALSE))</f>
        <v>#REF!</v>
      </c>
      <c r="G902" s="34" t="e">
        <f>IF(F902="","",VLOOKUP($B902,#REF!,6,FALSE))</f>
        <v>#REF!</v>
      </c>
      <c r="H902" s="34" t="e">
        <f>IF(G902="","",VLOOKUP($B902,#REF!,7,FALSE))</f>
        <v>#REF!</v>
      </c>
      <c r="I902" s="25"/>
      <c r="J902" s="25"/>
      <c r="K902" s="25"/>
      <c r="L902" s="25"/>
      <c r="M902" s="25"/>
      <c r="N902" s="25"/>
      <c r="O902" s="33">
        <f t="shared" si="31"/>
        <v>0</v>
      </c>
      <c r="P902" s="25"/>
      <c r="Q902" s="25">
        <f t="shared" si="33"/>
        <v>0</v>
      </c>
      <c r="R902" s="39"/>
      <c r="S902" s="39"/>
      <c r="T902" s="39">
        <v>2</v>
      </c>
      <c r="U902" s="39"/>
      <c r="V902" s="39"/>
      <c r="W902" s="25"/>
      <c r="X902" s="33">
        <f t="shared" si="30"/>
        <v>2</v>
      </c>
      <c r="Y902" s="39"/>
      <c r="Z902" s="25">
        <f t="shared" si="32"/>
        <v>0</v>
      </c>
      <c r="AA902" s="45" t="s">
        <v>215</v>
      </c>
      <c r="AB902" s="45"/>
      <c r="AC902" s="45"/>
      <c r="AD902" s="45"/>
      <c r="AE902" s="45"/>
    </row>
    <row r="903" spans="1:31" s="12" customFormat="1" ht="12">
      <c r="A903" s="27">
        <v>45623</v>
      </c>
      <c r="B903" s="73" t="s">
        <v>15</v>
      </c>
      <c r="C903" s="37" t="e">
        <f>IF(B903="","",VLOOKUP($B903,#REF!,2,FALSE))</f>
        <v>#REF!</v>
      </c>
      <c r="D903" s="34" t="e">
        <f>IF(B903="","",VLOOKUP($B903,#REF!,3,FALSE))</f>
        <v>#REF!</v>
      </c>
      <c r="E903" s="34" t="e">
        <f>IF(B903="","",VLOOKUP($B903,#REF!,4,FALSE))</f>
        <v>#REF!</v>
      </c>
      <c r="F903" s="34" t="e">
        <f>IF(E903="","",VLOOKUP($B903,#REF!,5,FALSE))</f>
        <v>#REF!</v>
      </c>
      <c r="G903" s="34" t="e">
        <f>IF(F903="","",VLOOKUP($B903,#REF!,6,FALSE))</f>
        <v>#REF!</v>
      </c>
      <c r="H903" s="34" t="e">
        <f>IF(G903="","",VLOOKUP($B903,#REF!,7,FALSE))</f>
        <v>#REF!</v>
      </c>
      <c r="I903" s="25"/>
      <c r="J903" s="25"/>
      <c r="K903" s="25"/>
      <c r="L903" s="25"/>
      <c r="M903" s="25"/>
      <c r="N903" s="25"/>
      <c r="O903" s="33">
        <f t="shared" si="31"/>
        <v>0</v>
      </c>
      <c r="P903" s="25"/>
      <c r="Q903" s="25">
        <f t="shared" si="33"/>
        <v>0</v>
      </c>
      <c r="R903" s="39"/>
      <c r="S903" s="39"/>
      <c r="T903" s="39">
        <v>1</v>
      </c>
      <c r="U903" s="39"/>
      <c r="V903" s="39"/>
      <c r="W903" s="25"/>
      <c r="X903" s="33">
        <f t="shared" si="30"/>
        <v>1</v>
      </c>
      <c r="Y903" s="39"/>
      <c r="Z903" s="25">
        <f t="shared" si="32"/>
        <v>0</v>
      </c>
      <c r="AA903" s="45"/>
      <c r="AB903" s="45"/>
      <c r="AC903" s="45"/>
      <c r="AD903" s="45"/>
      <c r="AE903" s="45"/>
    </row>
    <row r="904" spans="1:31" s="12" customFormat="1" ht="12">
      <c r="A904" s="27">
        <v>45623</v>
      </c>
      <c r="B904" s="53" t="s">
        <v>113</v>
      </c>
      <c r="C904" s="37" t="s">
        <v>136</v>
      </c>
      <c r="D904" s="34" t="s">
        <v>177</v>
      </c>
      <c r="E904" s="34" t="e">
        <f>IF(B904="","",VLOOKUP($B904,#REF!,4,FALSE))</f>
        <v>#REF!</v>
      </c>
      <c r="F904" s="34" t="e">
        <f>IF(E904="","",VLOOKUP($B904,#REF!,5,FALSE))</f>
        <v>#REF!</v>
      </c>
      <c r="G904" s="34" t="e">
        <f>IF(F904="","",VLOOKUP($B904,#REF!,6,FALSE))</f>
        <v>#REF!</v>
      </c>
      <c r="H904" s="34" t="e">
        <f>IF(G904="","",VLOOKUP($B904,#REF!,7,FALSE))</f>
        <v>#REF!</v>
      </c>
      <c r="I904" s="25"/>
      <c r="J904" s="25"/>
      <c r="K904" s="25">
        <v>1</v>
      </c>
      <c r="L904" s="25"/>
      <c r="M904" s="25"/>
      <c r="N904" s="25"/>
      <c r="O904" s="33">
        <f t="shared" si="31"/>
        <v>1</v>
      </c>
      <c r="P904" s="25"/>
      <c r="Q904" s="25">
        <f t="shared" si="33"/>
        <v>0</v>
      </c>
      <c r="R904" s="39"/>
      <c r="S904" s="39"/>
      <c r="T904" s="39">
        <v>1</v>
      </c>
      <c r="U904" s="39"/>
      <c r="V904" s="39"/>
      <c r="W904" s="25"/>
      <c r="X904" s="33">
        <f t="shared" si="30"/>
        <v>1</v>
      </c>
      <c r="Y904" s="39">
        <v>48240</v>
      </c>
      <c r="Z904" s="25">
        <f t="shared" si="32"/>
        <v>48240</v>
      </c>
      <c r="AA904" s="45" t="s">
        <v>136</v>
      </c>
      <c r="AB904" s="45" t="s">
        <v>177</v>
      </c>
      <c r="AC904" s="45"/>
      <c r="AD904" s="45"/>
      <c r="AE904" s="45"/>
    </row>
    <row r="905" spans="1:31" s="12" customFormat="1" ht="12">
      <c r="A905" s="27">
        <v>45623</v>
      </c>
      <c r="B905" s="53" t="s">
        <v>10</v>
      </c>
      <c r="C905" s="37" t="e">
        <f>IF(B905="","",VLOOKUP($B905,#REF!,2,FALSE))</f>
        <v>#REF!</v>
      </c>
      <c r="D905" s="34" t="e">
        <f>IF(B905="","",VLOOKUP($B905,#REF!,3,FALSE))</f>
        <v>#REF!</v>
      </c>
      <c r="E905" s="34" t="e">
        <f>IF(B905="","",VLOOKUP($B905,#REF!,4,FALSE))</f>
        <v>#REF!</v>
      </c>
      <c r="F905" s="34" t="e">
        <f>IF(E905="","",VLOOKUP($B905,#REF!,5,FALSE))</f>
        <v>#REF!</v>
      </c>
      <c r="G905" s="34" t="e">
        <f>IF(F905="","",VLOOKUP($B905,#REF!,6,FALSE))</f>
        <v>#REF!</v>
      </c>
      <c r="H905" s="34" t="e">
        <f>IF(G905="","",VLOOKUP($B905,#REF!,7,FALSE))</f>
        <v>#REF!</v>
      </c>
      <c r="I905" s="25"/>
      <c r="J905" s="25"/>
      <c r="K905" s="25"/>
      <c r="L905" s="25"/>
      <c r="M905" s="25"/>
      <c r="N905" s="25"/>
      <c r="O905" s="33">
        <f t="shared" si="31"/>
        <v>0</v>
      </c>
      <c r="P905" s="25"/>
      <c r="Q905" s="25">
        <f t="shared" si="33"/>
        <v>0</v>
      </c>
      <c r="R905" s="39"/>
      <c r="S905" s="39"/>
      <c r="T905" s="39">
        <v>1</v>
      </c>
      <c r="U905" s="39"/>
      <c r="V905" s="39"/>
      <c r="W905" s="25"/>
      <c r="X905" s="33">
        <f t="shared" si="30"/>
        <v>1</v>
      </c>
      <c r="Y905" s="39"/>
      <c r="Z905" s="25">
        <f t="shared" si="32"/>
        <v>0</v>
      </c>
      <c r="AA905" s="45"/>
      <c r="AB905" s="45"/>
      <c r="AC905" s="45"/>
      <c r="AD905" s="45"/>
      <c r="AE905" s="45"/>
    </row>
    <row r="906" spans="1:31" s="12" customFormat="1" ht="12">
      <c r="A906" s="27">
        <v>45623</v>
      </c>
      <c r="B906" s="53" t="s">
        <v>46</v>
      </c>
      <c r="C906" s="37" t="s">
        <v>136</v>
      </c>
      <c r="D906" s="34" t="s">
        <v>177</v>
      </c>
      <c r="E906" s="34" t="e">
        <f>IF(B906="","",VLOOKUP($B906,#REF!,4,FALSE))</f>
        <v>#REF!</v>
      </c>
      <c r="F906" s="34" t="e">
        <f>IF(E906="","",VLOOKUP($B906,#REF!,5,FALSE))</f>
        <v>#REF!</v>
      </c>
      <c r="G906" s="34" t="e">
        <f>IF(F906="","",VLOOKUP($B906,#REF!,6,FALSE))</f>
        <v>#REF!</v>
      </c>
      <c r="H906" s="34" t="e">
        <f>IF(G906="","",VLOOKUP($B906,#REF!,7,FALSE))</f>
        <v>#REF!</v>
      </c>
      <c r="I906" s="25"/>
      <c r="J906" s="25"/>
      <c r="K906" s="25">
        <v>1</v>
      </c>
      <c r="L906" s="25"/>
      <c r="M906" s="25"/>
      <c r="N906" s="25"/>
      <c r="O906" s="33">
        <f t="shared" si="31"/>
        <v>1</v>
      </c>
      <c r="P906" s="25"/>
      <c r="Q906" s="25">
        <f t="shared" si="33"/>
        <v>0</v>
      </c>
      <c r="R906" s="39"/>
      <c r="S906" s="39"/>
      <c r="T906" s="39">
        <v>1</v>
      </c>
      <c r="U906" s="39"/>
      <c r="V906" s="39"/>
      <c r="W906" s="25"/>
      <c r="X906" s="33">
        <f t="shared" si="30"/>
        <v>1</v>
      </c>
      <c r="Y906" s="39">
        <v>56400</v>
      </c>
      <c r="Z906" s="25">
        <f t="shared" si="32"/>
        <v>56400</v>
      </c>
      <c r="AA906" s="45" t="s">
        <v>136</v>
      </c>
      <c r="AB906" s="45" t="s">
        <v>177</v>
      </c>
      <c r="AC906" s="45"/>
      <c r="AD906" s="45"/>
      <c r="AE906" s="45"/>
    </row>
    <row r="907" spans="1:31" s="12" customFormat="1" ht="12">
      <c r="A907" s="27">
        <v>45623</v>
      </c>
      <c r="B907" s="53" t="s">
        <v>162</v>
      </c>
      <c r="C907" s="37" t="s">
        <v>136</v>
      </c>
      <c r="D907" s="34" t="s">
        <v>177</v>
      </c>
      <c r="E907" s="34" t="e">
        <f>IF(B907="","",VLOOKUP($B907,#REF!,4,FALSE))</f>
        <v>#REF!</v>
      </c>
      <c r="F907" s="34" t="e">
        <f>IF(E907="","",VLOOKUP($B907,#REF!,5,FALSE))</f>
        <v>#REF!</v>
      </c>
      <c r="G907" s="34" t="e">
        <f>IF(F907="","",VLOOKUP($B907,#REF!,6,FALSE))</f>
        <v>#REF!</v>
      </c>
      <c r="H907" s="34" t="e">
        <f>IF(G907="","",VLOOKUP($B907,#REF!,7,FALSE))</f>
        <v>#REF!</v>
      </c>
      <c r="I907" s="25"/>
      <c r="J907" s="25"/>
      <c r="K907" s="25"/>
      <c r="L907" s="25"/>
      <c r="M907" s="25"/>
      <c r="N907" s="25"/>
      <c r="O907" s="33">
        <f t="shared" si="31"/>
        <v>0</v>
      </c>
      <c r="P907" s="25"/>
      <c r="Q907" s="25">
        <f t="shared" si="33"/>
        <v>0</v>
      </c>
      <c r="R907" s="39"/>
      <c r="S907" s="39"/>
      <c r="T907" s="39">
        <v>2</v>
      </c>
      <c r="U907" s="39"/>
      <c r="V907" s="39"/>
      <c r="W907" s="25"/>
      <c r="X907" s="33">
        <f t="shared" si="30"/>
        <v>2</v>
      </c>
      <c r="Y907" s="39">
        <v>44000</v>
      </c>
      <c r="Z907" s="25">
        <f t="shared" si="32"/>
        <v>88000</v>
      </c>
      <c r="AA907" s="45" t="s">
        <v>136</v>
      </c>
      <c r="AB907" s="45" t="s">
        <v>177</v>
      </c>
      <c r="AC907" s="45"/>
      <c r="AD907" s="45"/>
      <c r="AE907" s="45"/>
    </row>
    <row r="908" spans="1:31" s="12" customFormat="1" ht="12">
      <c r="A908" s="27">
        <v>45623</v>
      </c>
      <c r="B908" s="53" t="s">
        <v>163</v>
      </c>
      <c r="C908" s="37" t="s">
        <v>136</v>
      </c>
      <c r="D908" s="34" t="s">
        <v>178</v>
      </c>
      <c r="E908" s="34" t="e">
        <f>IF(B908="","",VLOOKUP($B908,#REF!,4,FALSE))</f>
        <v>#REF!</v>
      </c>
      <c r="F908" s="34" t="e">
        <f>IF(E908="","",VLOOKUP($B908,#REF!,5,FALSE))</f>
        <v>#REF!</v>
      </c>
      <c r="G908" s="34" t="e">
        <f>IF(F908="","",VLOOKUP($B908,#REF!,6,FALSE))</f>
        <v>#REF!</v>
      </c>
      <c r="H908" s="34" t="e">
        <f>IF(G908="","",VLOOKUP($B908,#REF!,7,FALSE))</f>
        <v>#REF!</v>
      </c>
      <c r="I908" s="25"/>
      <c r="J908" s="25"/>
      <c r="K908" s="25"/>
      <c r="L908" s="25"/>
      <c r="M908" s="25"/>
      <c r="N908" s="25"/>
      <c r="O908" s="33">
        <f t="shared" si="31"/>
        <v>0</v>
      </c>
      <c r="P908" s="25"/>
      <c r="Q908" s="25">
        <f t="shared" si="33"/>
        <v>0</v>
      </c>
      <c r="R908" s="39"/>
      <c r="S908" s="39"/>
      <c r="T908" s="39">
        <v>2</v>
      </c>
      <c r="U908" s="39"/>
      <c r="V908" s="39"/>
      <c r="W908" s="25"/>
      <c r="X908" s="33">
        <f t="shared" si="30"/>
        <v>2</v>
      </c>
      <c r="Y908" s="39">
        <v>46400</v>
      </c>
      <c r="Z908" s="25">
        <f t="shared" si="32"/>
        <v>92800</v>
      </c>
      <c r="AA908" s="45" t="s">
        <v>136</v>
      </c>
      <c r="AB908" s="45" t="s">
        <v>178</v>
      </c>
      <c r="AC908" s="45"/>
      <c r="AD908" s="45"/>
      <c r="AE908" s="45"/>
    </row>
    <row r="909" spans="1:31" s="12" customFormat="1" ht="12">
      <c r="A909" s="27">
        <v>45623</v>
      </c>
      <c r="B909" s="53" t="s">
        <v>10</v>
      </c>
      <c r="C909" s="37" t="e">
        <f>IF(B909="","",VLOOKUP($B909,#REF!,2,FALSE))</f>
        <v>#REF!</v>
      </c>
      <c r="D909" s="34" t="e">
        <f>IF(B909="","",VLOOKUP($B909,#REF!,3,FALSE))</f>
        <v>#REF!</v>
      </c>
      <c r="E909" s="34" t="e">
        <f>IF(B909="","",VLOOKUP($B909,#REF!,4,FALSE))</f>
        <v>#REF!</v>
      </c>
      <c r="F909" s="34" t="e">
        <f>IF(E909="","",VLOOKUP($B909,#REF!,5,FALSE))</f>
        <v>#REF!</v>
      </c>
      <c r="G909" s="34" t="e">
        <f>IF(F909="","",VLOOKUP($B909,#REF!,6,FALSE))</f>
        <v>#REF!</v>
      </c>
      <c r="H909" s="34" t="e">
        <f>IF(G909="","",VLOOKUP($B909,#REF!,7,FALSE))</f>
        <v>#REF!</v>
      </c>
      <c r="I909" s="25"/>
      <c r="J909" s="25"/>
      <c r="K909" s="25"/>
      <c r="L909" s="25"/>
      <c r="M909" s="25"/>
      <c r="N909" s="25"/>
      <c r="O909" s="33">
        <f t="shared" si="31"/>
        <v>0</v>
      </c>
      <c r="P909" s="25"/>
      <c r="Q909" s="25">
        <f t="shared" si="33"/>
        <v>0</v>
      </c>
      <c r="R909" s="39"/>
      <c r="S909" s="39"/>
      <c r="T909" s="39">
        <v>1</v>
      </c>
      <c r="U909" s="39"/>
      <c r="V909" s="39"/>
      <c r="W909" s="25"/>
      <c r="X909" s="33">
        <f t="shared" si="30"/>
        <v>1</v>
      </c>
      <c r="Y909" s="39"/>
      <c r="Z909" s="25">
        <f t="shared" si="32"/>
        <v>0</v>
      </c>
      <c r="AA909" s="45"/>
      <c r="AB909" s="45"/>
      <c r="AC909" s="45"/>
      <c r="AD909" s="45"/>
      <c r="AE909" s="45"/>
    </row>
    <row r="910" spans="1:31" s="12" customFormat="1" ht="12">
      <c r="A910" s="27">
        <v>45623</v>
      </c>
      <c r="B910" s="53" t="s">
        <v>46</v>
      </c>
      <c r="C910" s="37" t="s">
        <v>135</v>
      </c>
      <c r="D910" s="34" t="s">
        <v>179</v>
      </c>
      <c r="E910" s="34" t="e">
        <f>IF(B910="","",VLOOKUP($B910,#REF!,4,FALSE))</f>
        <v>#REF!</v>
      </c>
      <c r="F910" s="34" t="e">
        <f>IF(E910="","",VLOOKUP($B910,#REF!,5,FALSE))</f>
        <v>#REF!</v>
      </c>
      <c r="G910" s="34" t="e">
        <f>IF(F910="","",VLOOKUP($B910,#REF!,6,FALSE))</f>
        <v>#REF!</v>
      </c>
      <c r="H910" s="34" t="e">
        <f>IF(G910="","",VLOOKUP($B910,#REF!,7,FALSE))</f>
        <v>#REF!</v>
      </c>
      <c r="I910" s="25"/>
      <c r="J910" s="25"/>
      <c r="K910" s="25">
        <v>1</v>
      </c>
      <c r="L910" s="25"/>
      <c r="M910" s="25"/>
      <c r="N910" s="25"/>
      <c r="O910" s="33">
        <f t="shared" si="31"/>
        <v>1</v>
      </c>
      <c r="P910" s="25"/>
      <c r="Q910" s="25">
        <f t="shared" si="33"/>
        <v>0</v>
      </c>
      <c r="R910" s="39"/>
      <c r="S910" s="39"/>
      <c r="T910" s="39">
        <v>1</v>
      </c>
      <c r="U910" s="39"/>
      <c r="V910" s="39"/>
      <c r="W910" s="25"/>
      <c r="X910" s="33">
        <f t="shared" si="30"/>
        <v>1</v>
      </c>
      <c r="Y910" s="39">
        <v>56400</v>
      </c>
      <c r="Z910" s="25">
        <f t="shared" si="32"/>
        <v>56400</v>
      </c>
      <c r="AA910" s="45" t="s">
        <v>135</v>
      </c>
      <c r="AB910" s="45" t="s">
        <v>179</v>
      </c>
      <c r="AC910" s="45"/>
      <c r="AD910" s="45"/>
      <c r="AE910" s="45"/>
    </row>
    <row r="911" spans="1:31" s="12" customFormat="1" ht="12">
      <c r="A911" s="27">
        <v>45623</v>
      </c>
      <c r="B911" s="43" t="s">
        <v>35</v>
      </c>
      <c r="C911" s="37">
        <v>0</v>
      </c>
      <c r="D911" s="34" t="s">
        <v>180</v>
      </c>
      <c r="E911" s="34" t="e">
        <f>IF(B911="","",VLOOKUP($B911,#REF!,4,FALSE))</f>
        <v>#REF!</v>
      </c>
      <c r="F911" s="34" t="e">
        <f>IF(E911="","",VLOOKUP($B911,#REF!,5,FALSE))</f>
        <v>#REF!</v>
      </c>
      <c r="G911" s="34" t="e">
        <f>IF(F911="","",VLOOKUP($B911,#REF!,6,FALSE))</f>
        <v>#REF!</v>
      </c>
      <c r="H911" s="34" t="e">
        <f>IF(G911="","",VLOOKUP($B911,#REF!,7,FALSE))</f>
        <v>#REF!</v>
      </c>
      <c r="I911" s="25">
        <v>849</v>
      </c>
      <c r="J911" s="25"/>
      <c r="K911" s="25"/>
      <c r="L911" s="25"/>
      <c r="M911" s="25"/>
      <c r="N911" s="25"/>
      <c r="O911" s="33">
        <f t="shared" si="31"/>
        <v>849</v>
      </c>
      <c r="P911" s="25"/>
      <c r="Q911" s="25">
        <f t="shared" si="33"/>
        <v>0</v>
      </c>
      <c r="R911" s="39"/>
      <c r="S911" s="39"/>
      <c r="T911" s="39"/>
      <c r="U911" s="39"/>
      <c r="V911" s="39"/>
      <c r="W911" s="25"/>
      <c r="X911" s="33">
        <f t="shared" si="30"/>
        <v>0</v>
      </c>
      <c r="Y911" s="39"/>
      <c r="Z911" s="25">
        <f t="shared" si="32"/>
        <v>0</v>
      </c>
      <c r="AA911" s="45"/>
      <c r="AB911" s="45"/>
      <c r="AC911" s="45"/>
      <c r="AD911" s="45"/>
      <c r="AE911" s="45"/>
    </row>
    <row r="912" spans="1:31" s="12" customFormat="1" ht="12">
      <c r="A912" s="27">
        <v>45623</v>
      </c>
      <c r="B912" s="53" t="s">
        <v>16</v>
      </c>
      <c r="C912" s="37">
        <v>0</v>
      </c>
      <c r="D912" s="34" t="s">
        <v>180</v>
      </c>
      <c r="E912" s="34" t="e">
        <f>IF(B912="","",VLOOKUP($B912,#REF!,4,FALSE))</f>
        <v>#REF!</v>
      </c>
      <c r="F912" s="34" t="e">
        <f>IF(E912="","",VLOOKUP($B912,#REF!,5,FALSE))</f>
        <v>#REF!</v>
      </c>
      <c r="G912" s="34" t="e">
        <f>IF(F912="","",VLOOKUP($B912,#REF!,6,FALSE))</f>
        <v>#REF!</v>
      </c>
      <c r="H912" s="34" t="e">
        <f>IF(G912="","",VLOOKUP($B912,#REF!,7,FALSE))</f>
        <v>#REF!</v>
      </c>
      <c r="I912" s="25"/>
      <c r="J912" s="25">
        <v>629</v>
      </c>
      <c r="K912" s="25"/>
      <c r="L912" s="25"/>
      <c r="M912" s="25"/>
      <c r="N912" s="25"/>
      <c r="O912" s="33">
        <f t="shared" si="31"/>
        <v>629</v>
      </c>
      <c r="P912" s="25"/>
      <c r="Q912" s="25">
        <f t="shared" si="33"/>
        <v>0</v>
      </c>
      <c r="R912" s="39"/>
      <c r="S912" s="39"/>
      <c r="T912" s="39"/>
      <c r="U912" s="39"/>
      <c r="V912" s="39"/>
      <c r="W912" s="25"/>
      <c r="X912" s="33">
        <f t="shared" si="30"/>
        <v>0</v>
      </c>
      <c r="Y912" s="39"/>
      <c r="Z912" s="25">
        <f t="shared" si="32"/>
        <v>0</v>
      </c>
      <c r="AA912" s="45"/>
      <c r="AB912" s="45"/>
      <c r="AC912" s="45"/>
      <c r="AD912" s="45"/>
      <c r="AE912" s="45"/>
    </row>
    <row r="913" spans="1:31" s="12" customFormat="1" ht="12">
      <c r="A913" s="27">
        <v>45623</v>
      </c>
      <c r="B913" s="54" t="s">
        <v>169</v>
      </c>
      <c r="C913" s="37">
        <v>0</v>
      </c>
      <c r="D913" s="34" t="s">
        <v>180</v>
      </c>
      <c r="E913" s="34" t="e">
        <f>IF(B913="","",VLOOKUP($B913,#REF!,4,FALSE))</f>
        <v>#REF!</v>
      </c>
      <c r="F913" s="34" t="e">
        <f>IF(E913="","",VLOOKUP($B913,#REF!,5,FALSE))</f>
        <v>#REF!</v>
      </c>
      <c r="G913" s="34" t="e">
        <f>IF(F913="","",VLOOKUP($B913,#REF!,6,FALSE))</f>
        <v>#REF!</v>
      </c>
      <c r="H913" s="34" t="e">
        <f>IF(G913="","",VLOOKUP($B913,#REF!,7,FALSE))</f>
        <v>#REF!</v>
      </c>
      <c r="I913" s="25"/>
      <c r="J913" s="25"/>
      <c r="K913" s="25"/>
      <c r="L913" s="25">
        <v>1400</v>
      </c>
      <c r="M913" s="25"/>
      <c r="N913" s="25"/>
      <c r="O913" s="33">
        <f t="shared" si="31"/>
        <v>1400</v>
      </c>
      <c r="P913" s="25"/>
      <c r="Q913" s="25">
        <f t="shared" si="33"/>
        <v>0</v>
      </c>
      <c r="R913" s="39"/>
      <c r="S913" s="39"/>
      <c r="T913" s="39"/>
      <c r="U913" s="39"/>
      <c r="V913" s="39"/>
      <c r="W913" s="25"/>
      <c r="X913" s="33">
        <f t="shared" si="30"/>
        <v>0</v>
      </c>
      <c r="Y913" s="44"/>
      <c r="Z913" s="25">
        <f t="shared" si="32"/>
        <v>0</v>
      </c>
      <c r="AA913" s="45"/>
      <c r="AB913" s="45"/>
      <c r="AC913" s="45"/>
      <c r="AD913" s="45"/>
      <c r="AE913" s="45"/>
    </row>
    <row r="914" spans="1:31" s="12" customFormat="1" ht="12">
      <c r="A914" s="27">
        <v>45623</v>
      </c>
      <c r="B914" s="54" t="s">
        <v>226</v>
      </c>
      <c r="C914" s="37">
        <v>0</v>
      </c>
      <c r="D914" s="34" t="s">
        <v>180</v>
      </c>
      <c r="E914" s="34" t="e">
        <f>IF(B914="","",VLOOKUP($B914,#REF!,4,FALSE))</f>
        <v>#REF!</v>
      </c>
      <c r="F914" s="34" t="e">
        <f>IF(E914="","",VLOOKUP($B914,#REF!,5,FALSE))</f>
        <v>#REF!</v>
      </c>
      <c r="G914" s="34" t="e">
        <f>IF(F914="","",VLOOKUP($B914,#REF!,6,FALSE))</f>
        <v>#REF!</v>
      </c>
      <c r="H914" s="34" t="e">
        <f>IF(G914="","",VLOOKUP($B914,#REF!,7,FALSE))</f>
        <v>#REF!</v>
      </c>
      <c r="I914" s="25"/>
      <c r="J914" s="25"/>
      <c r="K914" s="25"/>
      <c r="L914" s="25">
        <v>2472</v>
      </c>
      <c r="M914" s="25"/>
      <c r="N914" s="25"/>
      <c r="O914" s="33">
        <f t="shared" si="31"/>
        <v>2472</v>
      </c>
      <c r="P914" s="25"/>
      <c r="Q914" s="25">
        <f t="shared" si="33"/>
        <v>0</v>
      </c>
      <c r="R914" s="39"/>
      <c r="S914" s="39"/>
      <c r="T914" s="39"/>
      <c r="U914" s="39"/>
      <c r="V914" s="39"/>
      <c r="W914" s="25"/>
      <c r="X914" s="33">
        <f t="shared" si="30"/>
        <v>0</v>
      </c>
      <c r="Y914" s="44"/>
      <c r="Z914" s="25">
        <f t="shared" si="32"/>
        <v>0</v>
      </c>
      <c r="AA914" s="45"/>
      <c r="AB914" s="45"/>
      <c r="AC914" s="45"/>
      <c r="AD914" s="45"/>
      <c r="AE914" s="45"/>
    </row>
    <row r="915" spans="1:31" s="12" customFormat="1" ht="12">
      <c r="A915" s="27">
        <v>45623</v>
      </c>
      <c r="B915" s="28" t="s">
        <v>57</v>
      </c>
      <c r="C915" s="37">
        <v>0</v>
      </c>
      <c r="D915" s="34" t="s">
        <v>180</v>
      </c>
      <c r="E915" s="34" t="e">
        <f>IF(B915="","",VLOOKUP($B915,#REF!,4,FALSE))</f>
        <v>#REF!</v>
      </c>
      <c r="F915" s="34" t="e">
        <f>IF(E915="","",VLOOKUP($B915,#REF!,5,FALSE))</f>
        <v>#REF!</v>
      </c>
      <c r="G915" s="34" t="e">
        <f>IF(F915="","",VLOOKUP($B915,#REF!,6,FALSE))</f>
        <v>#REF!</v>
      </c>
      <c r="H915" s="34" t="e">
        <f>IF(G915="","",VLOOKUP($B915,#REF!,7,FALSE))</f>
        <v>#REF!</v>
      </c>
      <c r="I915" s="25"/>
      <c r="J915" s="25"/>
      <c r="K915" s="25"/>
      <c r="L915" s="25">
        <v>129</v>
      </c>
      <c r="M915" s="25"/>
      <c r="N915" s="25"/>
      <c r="O915" s="33">
        <f t="shared" si="31"/>
        <v>129</v>
      </c>
      <c r="P915" s="25"/>
      <c r="Q915" s="25">
        <f t="shared" si="33"/>
        <v>0</v>
      </c>
      <c r="R915" s="39"/>
      <c r="S915" s="39"/>
      <c r="T915" s="39"/>
      <c r="U915" s="39"/>
      <c r="V915" s="39"/>
      <c r="W915" s="25"/>
      <c r="X915" s="33">
        <f t="shared" si="30"/>
        <v>0</v>
      </c>
      <c r="Y915" s="39"/>
      <c r="Z915" s="25">
        <f t="shared" si="32"/>
        <v>0</v>
      </c>
      <c r="AA915" s="45"/>
      <c r="AB915" s="45"/>
      <c r="AC915" s="45"/>
      <c r="AD915" s="45"/>
      <c r="AE915" s="45"/>
    </row>
    <row r="916" spans="1:31" s="12" customFormat="1" ht="12">
      <c r="A916" s="27">
        <v>45624</v>
      </c>
      <c r="B916" s="28" t="s">
        <v>160</v>
      </c>
      <c r="C916" s="37" t="e">
        <f>IF(B916="","",VLOOKUP($B916,#REF!,2,FALSE))</f>
        <v>#REF!</v>
      </c>
      <c r="D916" s="34" t="e">
        <f>IF(B916="","",VLOOKUP($B916,#REF!,3,FALSE))</f>
        <v>#REF!</v>
      </c>
      <c r="E916" s="34" t="e">
        <f>IF(B916="","",VLOOKUP($B916,#REF!,4,FALSE))</f>
        <v>#REF!</v>
      </c>
      <c r="F916" s="34" t="e">
        <f>IF(E916="","",VLOOKUP($B916,#REF!,5,FALSE))</f>
        <v>#REF!</v>
      </c>
      <c r="G916" s="34" t="e">
        <f>IF(F916="","",VLOOKUP($B916,#REF!,6,FALSE))</f>
        <v>#REF!</v>
      </c>
      <c r="H916" s="34" t="e">
        <f>IF(G916="","",VLOOKUP($B916,#REF!,7,FALSE))</f>
        <v>#REF!</v>
      </c>
      <c r="I916" s="25"/>
      <c r="J916" s="25"/>
      <c r="K916" s="25"/>
      <c r="L916" s="25"/>
      <c r="M916" s="25"/>
      <c r="N916" s="25"/>
      <c r="O916" s="33">
        <f t="shared" si="31"/>
        <v>0</v>
      </c>
      <c r="P916" s="25"/>
      <c r="Q916" s="25">
        <f t="shared" si="33"/>
        <v>0</v>
      </c>
      <c r="R916" s="39"/>
      <c r="S916" s="39"/>
      <c r="T916" s="39"/>
      <c r="U916" s="39"/>
      <c r="V916" s="39">
        <v>192</v>
      </c>
      <c r="W916" s="25"/>
      <c r="X916" s="33">
        <f t="shared" si="30"/>
        <v>192</v>
      </c>
      <c r="Y916" s="39">
        <v>100300</v>
      </c>
      <c r="Z916" s="25">
        <f t="shared" si="32"/>
        <v>19257600</v>
      </c>
      <c r="AA916" s="45"/>
      <c r="AB916" s="45"/>
      <c r="AC916" s="45"/>
      <c r="AD916" s="45"/>
      <c r="AE916" s="45"/>
    </row>
    <row r="917" spans="1:31" s="12" customFormat="1" ht="12">
      <c r="A917" s="27">
        <v>45624</v>
      </c>
      <c r="B917" s="53" t="s">
        <v>168</v>
      </c>
      <c r="C917" s="37" t="e">
        <f>IF(B917="","",VLOOKUP($B917,#REF!,2,FALSE))</f>
        <v>#REF!</v>
      </c>
      <c r="D917" s="34" t="e">
        <f>IF(B917="","",VLOOKUP($B917,#REF!,3,FALSE))</f>
        <v>#REF!</v>
      </c>
      <c r="E917" s="34" t="e">
        <f>IF(B917="","",VLOOKUP($B917,#REF!,4,FALSE))</f>
        <v>#REF!</v>
      </c>
      <c r="F917" s="34" t="e">
        <f>IF(E917="","",VLOOKUP($B917,#REF!,5,FALSE))</f>
        <v>#REF!</v>
      </c>
      <c r="G917" s="34" t="e">
        <f>IF(F917="","",VLOOKUP($B917,#REF!,6,FALSE))</f>
        <v>#REF!</v>
      </c>
      <c r="H917" s="34" t="e">
        <f>IF(G917="","",VLOOKUP($B917,#REF!,7,FALSE))</f>
        <v>#REF!</v>
      </c>
      <c r="I917" s="25"/>
      <c r="J917" s="25"/>
      <c r="K917" s="25"/>
      <c r="L917" s="25"/>
      <c r="M917" s="25"/>
      <c r="N917" s="25"/>
      <c r="O917" s="33">
        <f t="shared" si="31"/>
        <v>0</v>
      </c>
      <c r="P917" s="25"/>
      <c r="Q917" s="25">
        <f t="shared" si="33"/>
        <v>0</v>
      </c>
      <c r="R917" s="39"/>
      <c r="S917" s="39"/>
      <c r="T917" s="39"/>
      <c r="U917" s="39"/>
      <c r="V917" s="39">
        <v>192</v>
      </c>
      <c r="W917" s="25"/>
      <c r="X917" s="33">
        <f t="shared" si="30"/>
        <v>192</v>
      </c>
      <c r="Y917" s="39">
        <v>124920</v>
      </c>
      <c r="Z917" s="25">
        <f t="shared" si="32"/>
        <v>23984640</v>
      </c>
      <c r="AA917" s="45"/>
      <c r="AB917" s="45"/>
      <c r="AC917" s="45"/>
      <c r="AD917" s="45"/>
      <c r="AE917" s="45"/>
    </row>
    <row r="918" spans="1:31" s="12" customFormat="1" ht="12">
      <c r="A918" s="27">
        <v>45624</v>
      </c>
      <c r="B918" s="47" t="s">
        <v>211</v>
      </c>
      <c r="C918" s="37" t="e">
        <f>IF(B918="","",VLOOKUP($B918,#REF!,2,FALSE))</f>
        <v>#REF!</v>
      </c>
      <c r="D918" s="34" t="e">
        <f>IF(B918="","",VLOOKUP($B918,#REF!,3,FALSE))</f>
        <v>#REF!</v>
      </c>
      <c r="E918" s="34" t="e">
        <f>IF(B918="","",VLOOKUP($B918,#REF!,4,FALSE))</f>
        <v>#REF!</v>
      </c>
      <c r="F918" s="34" t="e">
        <f>IF(E918="","",VLOOKUP($B918,#REF!,5,FALSE))</f>
        <v>#REF!</v>
      </c>
      <c r="G918" s="34" t="e">
        <f>IF(F918="","",VLOOKUP($B918,#REF!,6,FALSE))</f>
        <v>#REF!</v>
      </c>
      <c r="H918" s="34" t="e">
        <f>IF(G918="","",VLOOKUP($B918,#REF!,7,FALSE))</f>
        <v>#REF!</v>
      </c>
      <c r="I918" s="25"/>
      <c r="J918" s="25"/>
      <c r="K918" s="25"/>
      <c r="L918" s="25"/>
      <c r="M918" s="25"/>
      <c r="N918" s="25"/>
      <c r="O918" s="33">
        <f t="shared" si="31"/>
        <v>0</v>
      </c>
      <c r="P918" s="25"/>
      <c r="Q918" s="25">
        <f t="shared" si="33"/>
        <v>0</v>
      </c>
      <c r="R918" s="39"/>
      <c r="S918" s="39"/>
      <c r="T918" s="39"/>
      <c r="U918" s="39"/>
      <c r="V918" s="39">
        <v>192</v>
      </c>
      <c r="W918" s="25"/>
      <c r="X918" s="33">
        <f t="shared" si="30"/>
        <v>192</v>
      </c>
      <c r="Y918" s="39">
        <v>46020</v>
      </c>
      <c r="Z918" s="25">
        <f t="shared" si="32"/>
        <v>8835840</v>
      </c>
      <c r="AA918" s="45"/>
      <c r="AB918" s="45"/>
      <c r="AC918" s="45"/>
      <c r="AD918" s="45"/>
      <c r="AE918" s="45"/>
    </row>
    <row r="919" spans="1:31" s="12" customFormat="1" ht="12">
      <c r="A919" s="27">
        <v>45624</v>
      </c>
      <c r="B919" s="47" t="s">
        <v>211</v>
      </c>
      <c r="C919" s="37" t="e">
        <f>IF(B919="","",VLOOKUP($B919,#REF!,2,FALSE))</f>
        <v>#REF!</v>
      </c>
      <c r="D919" s="34" t="e">
        <f>IF(B919="","",VLOOKUP($B919,#REF!,3,FALSE))</f>
        <v>#REF!</v>
      </c>
      <c r="E919" s="34" t="e">
        <f>IF(B919="","",VLOOKUP($B919,#REF!,4,FALSE))</f>
        <v>#REF!</v>
      </c>
      <c r="F919" s="34" t="e">
        <f>IF(E919="","",VLOOKUP($B919,#REF!,5,FALSE))</f>
        <v>#REF!</v>
      </c>
      <c r="G919" s="34" t="e">
        <f>IF(F919="","",VLOOKUP($B919,#REF!,6,FALSE))</f>
        <v>#REF!</v>
      </c>
      <c r="H919" s="34" t="e">
        <f>IF(G919="","",VLOOKUP($B919,#REF!,7,FALSE))</f>
        <v>#REF!</v>
      </c>
      <c r="I919" s="25"/>
      <c r="J919" s="25"/>
      <c r="K919" s="25"/>
      <c r="L919" s="25"/>
      <c r="M919" s="25"/>
      <c r="N919" s="25"/>
      <c r="O919" s="33">
        <f t="shared" si="31"/>
        <v>0</v>
      </c>
      <c r="P919" s="25"/>
      <c r="Q919" s="25">
        <f t="shared" si="33"/>
        <v>0</v>
      </c>
      <c r="R919" s="39"/>
      <c r="S919" s="39"/>
      <c r="T919" s="39"/>
      <c r="U919" s="39"/>
      <c r="V919" s="39">
        <v>60</v>
      </c>
      <c r="W919" s="25"/>
      <c r="X919" s="33">
        <f t="shared" si="30"/>
        <v>60</v>
      </c>
      <c r="Y919" s="39">
        <v>46020</v>
      </c>
      <c r="Z919" s="25">
        <f t="shared" si="32"/>
        <v>2761200</v>
      </c>
      <c r="AA919" s="45"/>
      <c r="AB919" s="45"/>
      <c r="AC919" s="45"/>
      <c r="AD919" s="45"/>
      <c r="AE919" s="45"/>
    </row>
    <row r="920" spans="1:31" s="12" customFormat="1" ht="12">
      <c r="A920" s="27">
        <v>45624</v>
      </c>
      <c r="B920" s="53" t="s">
        <v>241</v>
      </c>
      <c r="C920" s="37" t="s">
        <v>137</v>
      </c>
      <c r="D920" s="34" t="s">
        <v>182</v>
      </c>
      <c r="E920" s="34" t="e">
        <f>IF(B920="","",VLOOKUP($B920,#REF!,4,FALSE))</f>
        <v>#REF!</v>
      </c>
      <c r="F920" s="34" t="e">
        <f>IF(E920="","",VLOOKUP($B920,#REF!,5,FALSE))</f>
        <v>#REF!</v>
      </c>
      <c r="G920" s="34" t="e">
        <f>IF(F920="","",VLOOKUP($B920,#REF!,6,FALSE))</f>
        <v>#REF!</v>
      </c>
      <c r="H920" s="34" t="e">
        <f>IF(G920="","",VLOOKUP($B920,#REF!,7,FALSE))</f>
        <v>#REF!</v>
      </c>
      <c r="I920" s="25"/>
      <c r="J920" s="25"/>
      <c r="K920" s="25">
        <v>2</v>
      </c>
      <c r="L920" s="25"/>
      <c r="M920" s="25"/>
      <c r="N920" s="25"/>
      <c r="O920" s="33">
        <f t="shared" si="31"/>
        <v>2</v>
      </c>
      <c r="P920" s="25">
        <v>137250</v>
      </c>
      <c r="Q920" s="25">
        <f t="shared" si="33"/>
        <v>274500</v>
      </c>
      <c r="R920" s="39"/>
      <c r="S920" s="39"/>
      <c r="T920" s="39">
        <v>0</v>
      </c>
      <c r="U920" s="39"/>
      <c r="V920" s="39"/>
      <c r="W920" s="25"/>
      <c r="X920" s="33">
        <f t="shared" si="30"/>
        <v>0</v>
      </c>
      <c r="Y920" s="39"/>
      <c r="Z920" s="25">
        <f t="shared" si="32"/>
        <v>0</v>
      </c>
      <c r="AA920" s="45"/>
      <c r="AB920" s="45"/>
      <c r="AC920" s="45"/>
      <c r="AD920" s="45"/>
      <c r="AE920" s="45"/>
    </row>
    <row r="921" spans="1:31" s="12" customFormat="1" ht="12">
      <c r="A921" s="27">
        <v>45624</v>
      </c>
      <c r="B921" s="53" t="s">
        <v>241</v>
      </c>
      <c r="C921" s="37" t="e">
        <f>IF(B921="","",VLOOKUP($B921,#REF!,2,FALSE))</f>
        <v>#REF!</v>
      </c>
      <c r="D921" s="34" t="e">
        <f>IF(B921="","",VLOOKUP($B921,#REF!,3,FALSE))</f>
        <v>#REF!</v>
      </c>
      <c r="E921" s="34" t="e">
        <f>IF(B921="","",VLOOKUP($B921,#REF!,4,FALSE))</f>
        <v>#REF!</v>
      </c>
      <c r="F921" s="34" t="e">
        <f>IF(E921="","",VLOOKUP($B921,#REF!,5,FALSE))</f>
        <v>#REF!</v>
      </c>
      <c r="G921" s="34" t="e">
        <f>IF(F921="","",VLOOKUP($B921,#REF!,6,FALSE))</f>
        <v>#REF!</v>
      </c>
      <c r="H921" s="34" t="e">
        <f>IF(G921="","",VLOOKUP($B921,#REF!,7,FALSE))</f>
        <v>#REF!</v>
      </c>
      <c r="I921" s="25"/>
      <c r="J921" s="25"/>
      <c r="K921" s="25">
        <v>0</v>
      </c>
      <c r="L921" s="25"/>
      <c r="M921" s="25"/>
      <c r="N921" s="25"/>
      <c r="O921" s="33">
        <f t="shared" si="31"/>
        <v>0</v>
      </c>
      <c r="P921" s="25"/>
      <c r="Q921" s="25">
        <f t="shared" si="33"/>
        <v>0</v>
      </c>
      <c r="R921" s="39"/>
      <c r="S921" s="39"/>
      <c r="T921" s="39">
        <v>2</v>
      </c>
      <c r="U921" s="39"/>
      <c r="V921" s="39"/>
      <c r="W921" s="25"/>
      <c r="X921" s="33">
        <f t="shared" si="30"/>
        <v>2</v>
      </c>
      <c r="Y921" s="39"/>
      <c r="Z921" s="25">
        <f t="shared" si="32"/>
        <v>0</v>
      </c>
      <c r="AA921" s="45"/>
      <c r="AB921" s="45"/>
      <c r="AC921" s="45"/>
      <c r="AD921" s="45"/>
      <c r="AE921" s="45"/>
    </row>
    <row r="922" spans="1:31" s="12" customFormat="1" ht="12">
      <c r="A922" s="27">
        <v>45624</v>
      </c>
      <c r="B922" s="53" t="s">
        <v>18</v>
      </c>
      <c r="C922" s="37" t="e">
        <f>IF(B922="","",VLOOKUP($B922,#REF!,2,FALSE))</f>
        <v>#REF!</v>
      </c>
      <c r="D922" s="34" t="e">
        <f>IF(B922="","",VLOOKUP($B922,#REF!,3,FALSE))</f>
        <v>#REF!</v>
      </c>
      <c r="E922" s="34" t="e">
        <f>IF(B922="","",VLOOKUP($B922,#REF!,4,FALSE))</f>
        <v>#REF!</v>
      </c>
      <c r="F922" s="34" t="e">
        <f>IF(E922="","",VLOOKUP($B922,#REF!,5,FALSE))</f>
        <v>#REF!</v>
      </c>
      <c r="G922" s="34" t="e">
        <f>IF(F922="","",VLOOKUP($B922,#REF!,6,FALSE))</f>
        <v>#REF!</v>
      </c>
      <c r="H922" s="34" t="e">
        <f>IF(G922="","",VLOOKUP($B922,#REF!,7,FALSE))</f>
        <v>#REF!</v>
      </c>
      <c r="I922" s="25"/>
      <c r="J922" s="25"/>
      <c r="K922" s="25">
        <v>2</v>
      </c>
      <c r="L922" s="25"/>
      <c r="M922" s="25"/>
      <c r="N922" s="25"/>
      <c r="O922" s="33">
        <f t="shared" si="31"/>
        <v>2</v>
      </c>
      <c r="P922" s="25"/>
      <c r="Q922" s="25">
        <f t="shared" si="33"/>
        <v>0</v>
      </c>
      <c r="R922" s="39"/>
      <c r="S922" s="39"/>
      <c r="T922" s="39">
        <v>2</v>
      </c>
      <c r="U922" s="39"/>
      <c r="V922" s="39"/>
      <c r="W922" s="25"/>
      <c r="X922" s="33">
        <f t="shared" si="30"/>
        <v>2</v>
      </c>
      <c r="Y922" s="39">
        <f>13250*15</f>
        <v>198750</v>
      </c>
      <c r="Z922" s="25">
        <f t="shared" si="32"/>
        <v>397500</v>
      </c>
      <c r="AA922" s="45"/>
      <c r="AB922" s="45"/>
      <c r="AC922" s="45"/>
      <c r="AD922" s="45"/>
      <c r="AE922" s="45"/>
    </row>
    <row r="923" spans="1:31" s="12" customFormat="1" ht="12">
      <c r="A923" s="27">
        <v>45624</v>
      </c>
      <c r="B923" s="53" t="s">
        <v>32</v>
      </c>
      <c r="C923" s="37" t="e">
        <f>IF(B923="","",VLOOKUP($B923,#REF!,2,FALSE))</f>
        <v>#REF!</v>
      </c>
      <c r="D923" s="34" t="e">
        <f>IF(B923="","",VLOOKUP($B923,#REF!,3,FALSE))</f>
        <v>#REF!</v>
      </c>
      <c r="E923" s="34" t="e">
        <f>IF(B923="","",VLOOKUP($B923,#REF!,4,FALSE))</f>
        <v>#REF!</v>
      </c>
      <c r="F923" s="34" t="e">
        <f>IF(E923="","",VLOOKUP($B923,#REF!,5,FALSE))</f>
        <v>#REF!</v>
      </c>
      <c r="G923" s="34" t="e">
        <f>IF(F923="","",VLOOKUP($B923,#REF!,6,FALSE))</f>
        <v>#REF!</v>
      </c>
      <c r="H923" s="34" t="e">
        <f>IF(G923="","",VLOOKUP($B923,#REF!,7,FALSE))</f>
        <v>#REF!</v>
      </c>
      <c r="I923" s="25"/>
      <c r="J923" s="25"/>
      <c r="K923" s="25">
        <v>0</v>
      </c>
      <c r="L923" s="25"/>
      <c r="M923" s="25"/>
      <c r="N923" s="25"/>
      <c r="O923" s="33">
        <f t="shared" si="31"/>
        <v>0</v>
      </c>
      <c r="P923" s="25"/>
      <c r="Q923" s="25">
        <f t="shared" si="33"/>
        <v>0</v>
      </c>
      <c r="R923" s="39"/>
      <c r="S923" s="39"/>
      <c r="T923" s="39">
        <v>1</v>
      </c>
      <c r="U923" s="39"/>
      <c r="V923" s="39"/>
      <c r="W923" s="25"/>
      <c r="X923" s="33">
        <f t="shared" si="30"/>
        <v>1</v>
      </c>
      <c r="Y923" s="39"/>
      <c r="Z923" s="25">
        <f t="shared" si="32"/>
        <v>0</v>
      </c>
      <c r="AA923" s="45"/>
      <c r="AB923" s="45"/>
      <c r="AC923" s="45"/>
      <c r="AD923" s="45"/>
      <c r="AE923" s="45"/>
    </row>
    <row r="924" spans="1:31" s="12" customFormat="1" ht="12">
      <c r="A924" s="27">
        <v>45624</v>
      </c>
      <c r="B924" s="53" t="s">
        <v>247</v>
      </c>
      <c r="C924" s="37" t="e">
        <f>IF(B924="","",VLOOKUP($B924,#REF!,2,FALSE))</f>
        <v>#REF!</v>
      </c>
      <c r="D924" s="34" t="e">
        <f>IF(B924="","",VLOOKUP($B924,#REF!,3,FALSE))</f>
        <v>#REF!</v>
      </c>
      <c r="E924" s="34" t="e">
        <f>IF(B924="","",VLOOKUP($B924,#REF!,4,FALSE))</f>
        <v>#REF!</v>
      </c>
      <c r="F924" s="34" t="e">
        <f>IF(E924="","",VLOOKUP($B924,#REF!,5,FALSE))</f>
        <v>#REF!</v>
      </c>
      <c r="G924" s="34" t="e">
        <f>IF(F924="","",VLOOKUP($B924,#REF!,6,FALSE))</f>
        <v>#REF!</v>
      </c>
      <c r="H924" s="34" t="e">
        <f>IF(G924="","",VLOOKUP($B924,#REF!,7,FALSE))</f>
        <v>#REF!</v>
      </c>
      <c r="I924" s="25"/>
      <c r="J924" s="25"/>
      <c r="K924" s="25">
        <v>1</v>
      </c>
      <c r="L924" s="25"/>
      <c r="M924" s="25"/>
      <c r="N924" s="25"/>
      <c r="O924" s="33">
        <f t="shared" si="31"/>
        <v>1</v>
      </c>
      <c r="P924" s="25"/>
      <c r="Q924" s="25">
        <f t="shared" si="33"/>
        <v>0</v>
      </c>
      <c r="R924" s="39"/>
      <c r="S924" s="39"/>
      <c r="T924" s="39">
        <v>1</v>
      </c>
      <c r="U924" s="39"/>
      <c r="V924" s="39"/>
      <c r="W924" s="25"/>
      <c r="X924" s="33">
        <f>SUM(R924:W924)</f>
        <v>1</v>
      </c>
      <c r="Y924" s="39">
        <v>72000</v>
      </c>
      <c r="Z924" s="25">
        <f t="shared" si="32"/>
        <v>72000</v>
      </c>
      <c r="AA924" s="45"/>
      <c r="AB924" s="45"/>
      <c r="AC924" s="45"/>
      <c r="AD924" s="45"/>
      <c r="AE924" s="45"/>
    </row>
    <row r="925" spans="1:31" s="12" customFormat="1" ht="12">
      <c r="A925" s="27">
        <v>45624</v>
      </c>
      <c r="B925" s="28" t="s">
        <v>77</v>
      </c>
      <c r="C925" s="37" t="e">
        <f>IF(B925="","",VLOOKUP($B925,#REF!,2,FALSE))</f>
        <v>#REF!</v>
      </c>
      <c r="D925" s="34" t="e">
        <f>IF(B925="","",VLOOKUP($B925,#REF!,3,FALSE))</f>
        <v>#REF!</v>
      </c>
      <c r="E925" s="34" t="e">
        <f>IF(B925="","",VLOOKUP($B925,#REF!,4,FALSE))</f>
        <v>#REF!</v>
      </c>
      <c r="F925" s="34" t="e">
        <f>IF(E925="","",VLOOKUP($B925,#REF!,5,FALSE))</f>
        <v>#REF!</v>
      </c>
      <c r="G925" s="34" t="e">
        <f>IF(F925="","",VLOOKUP($B925,#REF!,6,FALSE))</f>
        <v>#REF!</v>
      </c>
      <c r="H925" s="34" t="e">
        <f>IF(G925="","",VLOOKUP($B925,#REF!,7,FALSE))</f>
        <v>#REF!</v>
      </c>
      <c r="I925" s="25"/>
      <c r="J925" s="25"/>
      <c r="K925" s="25">
        <v>0</v>
      </c>
      <c r="L925" s="25"/>
      <c r="M925" s="25"/>
      <c r="N925" s="25"/>
      <c r="O925" s="33">
        <f t="shared" si="31"/>
        <v>0</v>
      </c>
      <c r="P925" s="25"/>
      <c r="Q925" s="25">
        <f t="shared" si="33"/>
        <v>0</v>
      </c>
      <c r="R925" s="39"/>
      <c r="S925" s="39"/>
      <c r="T925" s="39">
        <v>3</v>
      </c>
      <c r="U925" s="39"/>
      <c r="V925" s="39"/>
      <c r="W925" s="25"/>
      <c r="X925" s="33">
        <f t="shared" ref="X925:X989" si="34">SUM(R925:W925)</f>
        <v>3</v>
      </c>
      <c r="Y925" s="39"/>
      <c r="Z925" s="25">
        <f t="shared" si="32"/>
        <v>0</v>
      </c>
      <c r="AA925" s="45"/>
      <c r="AB925" s="45"/>
      <c r="AC925" s="45"/>
      <c r="AD925" s="45"/>
      <c r="AE925" s="45"/>
    </row>
    <row r="926" spans="1:31" s="12" customFormat="1" ht="12">
      <c r="A926" s="27">
        <v>45624</v>
      </c>
      <c r="B926" s="28" t="s">
        <v>248</v>
      </c>
      <c r="C926" s="37" t="e">
        <f>IF(B926="","",VLOOKUP($B926,#REF!,2,FALSE))</f>
        <v>#REF!</v>
      </c>
      <c r="D926" s="34" t="e">
        <f>IF(B926="","",VLOOKUP($B926,#REF!,3,FALSE))</f>
        <v>#REF!</v>
      </c>
      <c r="E926" s="34" t="e">
        <f>IF(B926="","",VLOOKUP($B926,#REF!,4,FALSE))</f>
        <v>#REF!</v>
      </c>
      <c r="F926" s="34" t="e">
        <f>IF(E926="","",VLOOKUP($B926,#REF!,5,FALSE))</f>
        <v>#REF!</v>
      </c>
      <c r="G926" s="34" t="e">
        <f>IF(F926="","",VLOOKUP($B926,#REF!,6,FALSE))</f>
        <v>#REF!</v>
      </c>
      <c r="H926" s="34" t="e">
        <f>IF(G926="","",VLOOKUP($B926,#REF!,7,FALSE))</f>
        <v>#REF!</v>
      </c>
      <c r="I926" s="25"/>
      <c r="J926" s="25"/>
      <c r="K926" s="25">
        <v>3</v>
      </c>
      <c r="L926" s="25"/>
      <c r="M926" s="25"/>
      <c r="N926" s="25"/>
      <c r="O926" s="33">
        <f t="shared" si="31"/>
        <v>3</v>
      </c>
      <c r="P926" s="25"/>
      <c r="Q926" s="25">
        <f t="shared" si="33"/>
        <v>0</v>
      </c>
      <c r="R926" s="39"/>
      <c r="S926" s="39"/>
      <c r="T926" s="39">
        <v>3</v>
      </c>
      <c r="U926" s="39"/>
      <c r="V926" s="39"/>
      <c r="W926" s="25"/>
      <c r="X926" s="33">
        <f t="shared" si="34"/>
        <v>3</v>
      </c>
      <c r="Y926" s="39">
        <v>16500</v>
      </c>
      <c r="Z926" s="25">
        <f t="shared" si="32"/>
        <v>49500</v>
      </c>
      <c r="AA926" s="45"/>
      <c r="AB926" s="45"/>
      <c r="AC926" s="45"/>
      <c r="AD926" s="45"/>
      <c r="AE926" s="45"/>
    </row>
    <row r="927" spans="1:31" s="12" customFormat="1" ht="12">
      <c r="A927" s="27">
        <v>45624</v>
      </c>
      <c r="B927" s="20" t="s">
        <v>81</v>
      </c>
      <c r="C927" s="37" t="e">
        <f>IF(B927="","",VLOOKUP($B927,#REF!,2,FALSE))</f>
        <v>#REF!</v>
      </c>
      <c r="D927" s="34" t="e">
        <f>IF(B927="","",VLOOKUP($B927,#REF!,3,FALSE))</f>
        <v>#REF!</v>
      </c>
      <c r="E927" s="34" t="e">
        <f>IF(B927="","",VLOOKUP($B927,#REF!,4,FALSE))</f>
        <v>#REF!</v>
      </c>
      <c r="F927" s="34" t="e">
        <f>IF(E927="","",VLOOKUP($B927,#REF!,5,FALSE))</f>
        <v>#REF!</v>
      </c>
      <c r="G927" s="34" t="e">
        <f>IF(F927="","",VLOOKUP($B927,#REF!,6,FALSE))</f>
        <v>#REF!</v>
      </c>
      <c r="H927" s="34" t="e">
        <f>IF(G927="","",VLOOKUP($B927,#REF!,7,FALSE))</f>
        <v>#REF!</v>
      </c>
      <c r="I927" s="25"/>
      <c r="J927" s="25"/>
      <c r="K927" s="25">
        <v>0</v>
      </c>
      <c r="L927" s="25"/>
      <c r="M927" s="25"/>
      <c r="N927" s="25"/>
      <c r="O927" s="33">
        <f t="shared" si="31"/>
        <v>0</v>
      </c>
      <c r="P927" s="25"/>
      <c r="Q927" s="25">
        <f t="shared" si="33"/>
        <v>0</v>
      </c>
      <c r="R927" s="39"/>
      <c r="S927" s="39"/>
      <c r="T927" s="39">
        <v>15</v>
      </c>
      <c r="U927" s="39"/>
      <c r="V927" s="39"/>
      <c r="W927" s="25"/>
      <c r="X927" s="33">
        <f t="shared" si="34"/>
        <v>15</v>
      </c>
      <c r="Y927" s="39"/>
      <c r="Z927" s="25">
        <f t="shared" si="32"/>
        <v>0</v>
      </c>
      <c r="AA927" s="45"/>
      <c r="AB927" s="45"/>
      <c r="AC927" s="45"/>
      <c r="AD927" s="45"/>
      <c r="AE927" s="45"/>
    </row>
    <row r="928" spans="1:31" s="12" customFormat="1" ht="12">
      <c r="A928" s="27">
        <v>45624</v>
      </c>
      <c r="B928" s="53" t="s">
        <v>249</v>
      </c>
      <c r="C928" s="37" t="e">
        <f>IF(B928="","",VLOOKUP($B928,#REF!,2,FALSE))</f>
        <v>#REF!</v>
      </c>
      <c r="D928" s="34" t="e">
        <f>IF(B928="","",VLOOKUP($B928,#REF!,3,FALSE))</f>
        <v>#REF!</v>
      </c>
      <c r="E928" s="34" t="e">
        <f>IF(B928="","",VLOOKUP($B928,#REF!,4,FALSE))</f>
        <v>#REF!</v>
      </c>
      <c r="F928" s="34" t="e">
        <f>IF(E928="","",VLOOKUP($B928,#REF!,5,FALSE))</f>
        <v>#REF!</v>
      </c>
      <c r="G928" s="34" t="e">
        <f>IF(F928="","",VLOOKUP($B928,#REF!,6,FALSE))</f>
        <v>#REF!</v>
      </c>
      <c r="H928" s="34" t="e">
        <f>IF(G928="","",VLOOKUP($B928,#REF!,7,FALSE))</f>
        <v>#REF!</v>
      </c>
      <c r="I928" s="25"/>
      <c r="J928" s="25"/>
      <c r="K928" s="25">
        <v>15</v>
      </c>
      <c r="L928" s="25"/>
      <c r="M928" s="25"/>
      <c r="N928" s="25"/>
      <c r="O928" s="33">
        <f t="shared" si="31"/>
        <v>15</v>
      </c>
      <c r="P928" s="25"/>
      <c r="Q928" s="25">
        <f t="shared" si="33"/>
        <v>0</v>
      </c>
      <c r="R928" s="39"/>
      <c r="S928" s="39"/>
      <c r="T928" s="39">
        <v>15</v>
      </c>
      <c r="U928" s="39"/>
      <c r="V928" s="39"/>
      <c r="W928" s="25"/>
      <c r="X928" s="33">
        <f t="shared" si="34"/>
        <v>15</v>
      </c>
      <c r="Y928" s="39">
        <v>14500</v>
      </c>
      <c r="Z928" s="25">
        <f t="shared" si="32"/>
        <v>217500</v>
      </c>
      <c r="AA928" s="45"/>
      <c r="AB928" s="45"/>
      <c r="AC928" s="45"/>
      <c r="AD928" s="45"/>
      <c r="AE928" s="45"/>
    </row>
    <row r="929" spans="1:31" s="12" customFormat="1" ht="12">
      <c r="A929" s="27">
        <v>45624</v>
      </c>
      <c r="B929" s="53" t="s">
        <v>163</v>
      </c>
      <c r="C929" s="37" t="e">
        <f>IF(B929="","",VLOOKUP($B929,#REF!,2,FALSE))</f>
        <v>#REF!</v>
      </c>
      <c r="D929" s="34" t="e">
        <f>IF(B929="","",VLOOKUP($B929,#REF!,3,FALSE))</f>
        <v>#REF!</v>
      </c>
      <c r="E929" s="34" t="e">
        <f>IF(B929="","",VLOOKUP($B929,#REF!,4,FALSE))</f>
        <v>#REF!</v>
      </c>
      <c r="F929" s="34" t="e">
        <f>IF(E929="","",VLOOKUP($B929,#REF!,5,FALSE))</f>
        <v>#REF!</v>
      </c>
      <c r="G929" s="34" t="e">
        <f>IF(F929="","",VLOOKUP($B929,#REF!,6,FALSE))</f>
        <v>#REF!</v>
      </c>
      <c r="H929" s="34" t="e">
        <f>IF(G929="","",VLOOKUP($B929,#REF!,7,FALSE))</f>
        <v>#REF!</v>
      </c>
      <c r="I929" s="25"/>
      <c r="J929" s="25"/>
      <c r="K929" s="25">
        <v>0</v>
      </c>
      <c r="L929" s="25"/>
      <c r="M929" s="25"/>
      <c r="N929" s="25"/>
      <c r="O929" s="33">
        <f t="shared" si="31"/>
        <v>0</v>
      </c>
      <c r="P929" s="25"/>
      <c r="Q929" s="25">
        <f t="shared" si="33"/>
        <v>0</v>
      </c>
      <c r="R929" s="39"/>
      <c r="S929" s="39"/>
      <c r="T929" s="39">
        <v>1</v>
      </c>
      <c r="U929" s="39"/>
      <c r="V929" s="39"/>
      <c r="W929" s="25"/>
      <c r="X929" s="33">
        <f t="shared" si="34"/>
        <v>1</v>
      </c>
      <c r="Y929" s="39"/>
      <c r="Z929" s="25">
        <f t="shared" si="32"/>
        <v>0</v>
      </c>
      <c r="AA929" s="45"/>
      <c r="AB929" s="45"/>
      <c r="AC929" s="45"/>
      <c r="AD929" s="45"/>
      <c r="AE929" s="45"/>
    </row>
    <row r="930" spans="1:31" s="12" customFormat="1" ht="12">
      <c r="A930" s="27">
        <v>45624</v>
      </c>
      <c r="B930" s="53" t="s">
        <v>9</v>
      </c>
      <c r="C930" s="37" t="e">
        <f>IF(B930="","",VLOOKUP($B930,#REF!,2,FALSE))</f>
        <v>#REF!</v>
      </c>
      <c r="D930" s="34" t="e">
        <f>IF(B930="","",VLOOKUP($B930,#REF!,3,FALSE))</f>
        <v>#REF!</v>
      </c>
      <c r="E930" s="34" t="e">
        <f>IF(B930="","",VLOOKUP($B930,#REF!,4,FALSE))</f>
        <v>#REF!</v>
      </c>
      <c r="F930" s="34" t="e">
        <f>IF(E930="","",VLOOKUP($B930,#REF!,5,FALSE))</f>
        <v>#REF!</v>
      </c>
      <c r="G930" s="34" t="e">
        <f>IF(F930="","",VLOOKUP($B930,#REF!,6,FALSE))</f>
        <v>#REF!</v>
      </c>
      <c r="H930" s="34" t="e">
        <f>IF(G930="","",VLOOKUP($B930,#REF!,7,FALSE))</f>
        <v>#REF!</v>
      </c>
      <c r="I930" s="25"/>
      <c r="J930" s="25"/>
      <c r="K930" s="25">
        <v>1</v>
      </c>
      <c r="L930" s="25"/>
      <c r="M930" s="25"/>
      <c r="N930" s="25"/>
      <c r="O930" s="33">
        <f t="shared" si="31"/>
        <v>1</v>
      </c>
      <c r="P930" s="25"/>
      <c r="Q930" s="25">
        <f t="shared" si="33"/>
        <v>0</v>
      </c>
      <c r="R930" s="39"/>
      <c r="S930" s="39"/>
      <c r="T930" s="39">
        <v>1</v>
      </c>
      <c r="U930" s="39"/>
      <c r="V930" s="39"/>
      <c r="W930" s="25"/>
      <c r="X930" s="33">
        <f t="shared" si="34"/>
        <v>1</v>
      </c>
      <c r="Y930" s="39">
        <v>46400</v>
      </c>
      <c r="Z930" s="25">
        <f t="shared" si="32"/>
        <v>46400</v>
      </c>
      <c r="AA930" s="45"/>
      <c r="AB930" s="45"/>
      <c r="AC930" s="45"/>
      <c r="AD930" s="45"/>
      <c r="AE930" s="45"/>
    </row>
    <row r="931" spans="1:31" s="12" customFormat="1" ht="12">
      <c r="A931" s="27">
        <v>45624</v>
      </c>
      <c r="B931" s="53" t="s">
        <v>198</v>
      </c>
      <c r="C931" s="37" t="e">
        <f>IF(B931="","",VLOOKUP($B931,#REF!,2,FALSE))</f>
        <v>#REF!</v>
      </c>
      <c r="D931" s="34" t="e">
        <f>IF(B931="","",VLOOKUP($B931,#REF!,3,FALSE))</f>
        <v>#REF!</v>
      </c>
      <c r="E931" s="34" t="e">
        <f>IF(B931="","",VLOOKUP($B931,#REF!,4,FALSE))</f>
        <v>#REF!</v>
      </c>
      <c r="F931" s="34" t="e">
        <f>IF(E931="","",VLOOKUP($B931,#REF!,5,FALSE))</f>
        <v>#REF!</v>
      </c>
      <c r="G931" s="34" t="e">
        <f>IF(F931="","",VLOOKUP($B931,#REF!,6,FALSE))</f>
        <v>#REF!</v>
      </c>
      <c r="H931" s="34" t="e">
        <f>IF(G931="","",VLOOKUP($B931,#REF!,7,FALSE))</f>
        <v>#REF!</v>
      </c>
      <c r="I931" s="25"/>
      <c r="J931" s="25"/>
      <c r="K931" s="25">
        <v>0</v>
      </c>
      <c r="L931" s="25"/>
      <c r="M931" s="25"/>
      <c r="N931" s="25"/>
      <c r="O931" s="33">
        <f t="shared" si="31"/>
        <v>0</v>
      </c>
      <c r="P931" s="25"/>
      <c r="Q931" s="25">
        <f t="shared" si="33"/>
        <v>0</v>
      </c>
      <c r="R931" s="39"/>
      <c r="S931" s="39"/>
      <c r="T931" s="39">
        <v>1</v>
      </c>
      <c r="U931" s="39"/>
      <c r="V931" s="39"/>
      <c r="W931" s="25"/>
      <c r="X931" s="33">
        <f t="shared" si="34"/>
        <v>1</v>
      </c>
      <c r="Y931" s="39"/>
      <c r="Z931" s="25">
        <f t="shared" si="32"/>
        <v>0</v>
      </c>
      <c r="AA931" s="45"/>
      <c r="AB931" s="45"/>
      <c r="AC931" s="45"/>
      <c r="AD931" s="45"/>
      <c r="AE931" s="45"/>
    </row>
    <row r="932" spans="1:31" s="12" customFormat="1" ht="12">
      <c r="A932" s="27">
        <v>45624</v>
      </c>
      <c r="B932" s="74" t="s">
        <v>110</v>
      </c>
      <c r="C932" s="37" t="e">
        <f>IF(B932="","",VLOOKUP($B932,#REF!,2,FALSE))</f>
        <v>#REF!</v>
      </c>
      <c r="D932" s="34" t="e">
        <f>IF(B932="","",VLOOKUP($B932,#REF!,3,FALSE))</f>
        <v>#REF!</v>
      </c>
      <c r="E932" s="34" t="e">
        <f>IF(B932="","",VLOOKUP($B932,#REF!,4,FALSE))</f>
        <v>#REF!</v>
      </c>
      <c r="F932" s="34" t="e">
        <f>IF(E932="","",VLOOKUP($B932,#REF!,5,FALSE))</f>
        <v>#REF!</v>
      </c>
      <c r="G932" s="34" t="e">
        <f>IF(F932="","",VLOOKUP($B932,#REF!,6,FALSE))</f>
        <v>#REF!</v>
      </c>
      <c r="H932" s="34" t="e">
        <f>IF(G932="","",VLOOKUP($B932,#REF!,7,FALSE))</f>
        <v>#REF!</v>
      </c>
      <c r="I932" s="25"/>
      <c r="J932" s="25"/>
      <c r="K932" s="25">
        <v>1</v>
      </c>
      <c r="L932" s="25"/>
      <c r="M932" s="25"/>
      <c r="N932" s="25"/>
      <c r="O932" s="33">
        <f t="shared" si="31"/>
        <v>1</v>
      </c>
      <c r="P932" s="25"/>
      <c r="Q932" s="25">
        <f t="shared" si="33"/>
        <v>0</v>
      </c>
      <c r="R932" s="39"/>
      <c r="S932" s="39"/>
      <c r="T932" s="39">
        <v>1</v>
      </c>
      <c r="U932" s="39"/>
      <c r="V932" s="39"/>
      <c r="W932" s="25"/>
      <c r="X932" s="33">
        <f t="shared" si="34"/>
        <v>1</v>
      </c>
      <c r="Y932" s="39">
        <v>80000</v>
      </c>
      <c r="Z932" s="25">
        <f t="shared" si="32"/>
        <v>80000</v>
      </c>
      <c r="AA932" s="45"/>
      <c r="AB932" s="45"/>
      <c r="AC932" s="45"/>
      <c r="AD932" s="45"/>
      <c r="AE932" s="45"/>
    </row>
    <row r="933" spans="1:31" s="12" customFormat="1" ht="12">
      <c r="A933" s="27">
        <v>45624</v>
      </c>
      <c r="B933" s="53" t="s">
        <v>115</v>
      </c>
      <c r="C933" s="37" t="e">
        <f>IF(B933="","",VLOOKUP($B933,#REF!,2,FALSE))</f>
        <v>#REF!</v>
      </c>
      <c r="D933" s="34" t="e">
        <f>IF(B933="","",VLOOKUP($B933,#REF!,3,FALSE))</f>
        <v>#REF!</v>
      </c>
      <c r="E933" s="34" t="e">
        <f>IF(B933="","",VLOOKUP($B933,#REF!,4,FALSE))</f>
        <v>#REF!</v>
      </c>
      <c r="F933" s="34" t="e">
        <f>IF(E933="","",VLOOKUP($B933,#REF!,5,FALSE))</f>
        <v>#REF!</v>
      </c>
      <c r="G933" s="34" t="e">
        <f>IF(F933="","",VLOOKUP($B933,#REF!,6,FALSE))</f>
        <v>#REF!</v>
      </c>
      <c r="H933" s="34" t="e">
        <f>IF(G933="","",VLOOKUP($B933,#REF!,7,FALSE))</f>
        <v>#REF!</v>
      </c>
      <c r="I933" s="25"/>
      <c r="J933" s="25"/>
      <c r="K933" s="25"/>
      <c r="L933" s="25"/>
      <c r="M933" s="25"/>
      <c r="N933" s="25"/>
      <c r="O933" s="33">
        <f t="shared" si="31"/>
        <v>0</v>
      </c>
      <c r="P933" s="25"/>
      <c r="Q933" s="25">
        <f t="shared" si="33"/>
        <v>0</v>
      </c>
      <c r="R933" s="39"/>
      <c r="S933" s="39"/>
      <c r="T933" s="39">
        <v>1</v>
      </c>
      <c r="U933" s="39"/>
      <c r="V933" s="39"/>
      <c r="W933" s="25"/>
      <c r="X933" s="33">
        <f t="shared" si="34"/>
        <v>1</v>
      </c>
      <c r="Y933" s="39">
        <v>16000</v>
      </c>
      <c r="Z933" s="25">
        <f t="shared" si="32"/>
        <v>16000</v>
      </c>
      <c r="AA933" s="45"/>
      <c r="AB933" s="45"/>
      <c r="AC933" s="45"/>
      <c r="AD933" s="45"/>
      <c r="AE933" s="45"/>
    </row>
    <row r="934" spans="1:31" s="12" customFormat="1" ht="12">
      <c r="A934" s="27">
        <v>45624</v>
      </c>
      <c r="B934" s="28" t="s">
        <v>77</v>
      </c>
      <c r="C934" s="37">
        <v>0</v>
      </c>
      <c r="D934" s="34" t="s">
        <v>180</v>
      </c>
      <c r="E934" s="34" t="e">
        <f>IF(B934="","",VLOOKUP($B934,#REF!,4,FALSE))</f>
        <v>#REF!</v>
      </c>
      <c r="F934" s="34" t="e">
        <f>IF(E934="","",VLOOKUP($B934,#REF!,5,FALSE))</f>
        <v>#REF!</v>
      </c>
      <c r="G934" s="34" t="e">
        <f>IF(F934="","",VLOOKUP($B934,#REF!,6,FALSE))</f>
        <v>#REF!</v>
      </c>
      <c r="H934" s="34" t="e">
        <f>IF(G934="","",VLOOKUP($B934,#REF!,7,FALSE))</f>
        <v>#REF!</v>
      </c>
      <c r="I934" s="25"/>
      <c r="J934" s="25"/>
      <c r="K934" s="25"/>
      <c r="L934" s="25"/>
      <c r="M934" s="25"/>
      <c r="N934" s="25"/>
      <c r="O934" s="33">
        <f t="shared" si="31"/>
        <v>0</v>
      </c>
      <c r="P934" s="25"/>
      <c r="Q934" s="25">
        <f t="shared" si="33"/>
        <v>0</v>
      </c>
      <c r="R934" s="39"/>
      <c r="S934" s="39"/>
      <c r="T934" s="39">
        <v>6</v>
      </c>
      <c r="U934" s="39"/>
      <c r="V934" s="39"/>
      <c r="W934" s="25"/>
      <c r="X934" s="33">
        <f t="shared" si="34"/>
        <v>6</v>
      </c>
      <c r="Y934" s="39"/>
      <c r="Z934" s="25">
        <f t="shared" si="32"/>
        <v>0</v>
      </c>
      <c r="AA934" s="45" t="s">
        <v>215</v>
      </c>
      <c r="AB934" s="45"/>
      <c r="AC934" s="45"/>
      <c r="AD934" s="45"/>
      <c r="AE934" s="45"/>
    </row>
    <row r="935" spans="1:31" s="12" customFormat="1" ht="12">
      <c r="A935" s="27">
        <v>45624</v>
      </c>
      <c r="B935" s="20" t="s">
        <v>81</v>
      </c>
      <c r="C935" s="37">
        <v>0</v>
      </c>
      <c r="D935" s="34" t="s">
        <v>180</v>
      </c>
      <c r="E935" s="34" t="e">
        <f>IF(B935="","",VLOOKUP($B935,#REF!,4,FALSE))</f>
        <v>#REF!</v>
      </c>
      <c r="F935" s="34" t="e">
        <f>IF(E935="","",VLOOKUP($B935,#REF!,5,FALSE))</f>
        <v>#REF!</v>
      </c>
      <c r="G935" s="34" t="e">
        <f>IF(F935="","",VLOOKUP($B935,#REF!,6,FALSE))</f>
        <v>#REF!</v>
      </c>
      <c r="H935" s="34" t="e">
        <f>IF(G935="","",VLOOKUP($B935,#REF!,7,FALSE))</f>
        <v>#REF!</v>
      </c>
      <c r="I935" s="25"/>
      <c r="J935" s="25"/>
      <c r="K935" s="25"/>
      <c r="L935" s="25"/>
      <c r="M935" s="25"/>
      <c r="N935" s="25"/>
      <c r="O935" s="33">
        <f t="shared" si="31"/>
        <v>0</v>
      </c>
      <c r="P935" s="25"/>
      <c r="Q935" s="25">
        <f t="shared" si="33"/>
        <v>0</v>
      </c>
      <c r="R935" s="39"/>
      <c r="S935" s="39"/>
      <c r="T935" s="39">
        <v>4</v>
      </c>
      <c r="U935" s="39"/>
      <c r="V935" s="39"/>
      <c r="W935" s="25"/>
      <c r="X935" s="33">
        <f t="shared" si="34"/>
        <v>4</v>
      </c>
      <c r="Y935" s="39"/>
      <c r="Z935" s="25">
        <f t="shared" si="32"/>
        <v>0</v>
      </c>
      <c r="AA935" s="45" t="s">
        <v>215</v>
      </c>
      <c r="AB935" s="45"/>
      <c r="AC935" s="45"/>
      <c r="AD935" s="45"/>
      <c r="AE935" s="45"/>
    </row>
    <row r="936" spans="1:31" s="12" customFormat="1" ht="12">
      <c r="A936" s="27">
        <v>45624</v>
      </c>
      <c r="B936" s="28" t="s">
        <v>60</v>
      </c>
      <c r="C936" s="37" t="e">
        <f>IF(B936="","",VLOOKUP($B936,#REF!,2,FALSE))</f>
        <v>#REF!</v>
      </c>
      <c r="D936" s="34" t="e">
        <f>IF(B936="","",VLOOKUP($B936,#REF!,3,FALSE))</f>
        <v>#REF!</v>
      </c>
      <c r="E936" s="34" t="e">
        <f>IF(B936="","",VLOOKUP($B936,#REF!,4,FALSE))</f>
        <v>#REF!</v>
      </c>
      <c r="F936" s="34" t="e">
        <f>IF(E936="","",VLOOKUP($B936,#REF!,5,FALSE))</f>
        <v>#REF!</v>
      </c>
      <c r="G936" s="34" t="e">
        <f>IF(F936="","",VLOOKUP($B936,#REF!,6,FALSE))</f>
        <v>#REF!</v>
      </c>
      <c r="H936" s="34" t="e">
        <f>IF(G936="","",VLOOKUP($B936,#REF!,7,FALSE))</f>
        <v>#REF!</v>
      </c>
      <c r="I936" s="25"/>
      <c r="J936" s="25"/>
      <c r="K936" s="25">
        <v>3</v>
      </c>
      <c r="L936" s="25"/>
      <c r="M936" s="25"/>
      <c r="N936" s="25"/>
      <c r="O936" s="33">
        <f t="shared" si="31"/>
        <v>3</v>
      </c>
      <c r="P936" s="25"/>
      <c r="Q936" s="25">
        <f t="shared" si="33"/>
        <v>0</v>
      </c>
      <c r="R936" s="39"/>
      <c r="S936" s="39"/>
      <c r="T936" s="39"/>
      <c r="U936" s="39"/>
      <c r="V936" s="39"/>
      <c r="W936" s="25"/>
      <c r="X936" s="33">
        <f t="shared" si="34"/>
        <v>0</v>
      </c>
      <c r="Y936" s="39"/>
      <c r="Z936" s="25">
        <f t="shared" si="32"/>
        <v>0</v>
      </c>
      <c r="AA936" s="45"/>
      <c r="AB936" s="45"/>
      <c r="AC936" s="45"/>
      <c r="AD936" s="45"/>
      <c r="AE936" s="45"/>
    </row>
    <row r="937" spans="1:31" s="12" customFormat="1" ht="12">
      <c r="A937" s="27">
        <v>45624</v>
      </c>
      <c r="B937" s="43" t="s">
        <v>35</v>
      </c>
      <c r="C937" s="37">
        <v>0</v>
      </c>
      <c r="D937" s="34" t="s">
        <v>180</v>
      </c>
      <c r="E937" s="34" t="e">
        <f>IF(B937="","",VLOOKUP($B937,#REF!,4,FALSE))</f>
        <v>#REF!</v>
      </c>
      <c r="F937" s="34" t="e">
        <f>IF(E937="","",VLOOKUP($B937,#REF!,5,FALSE))</f>
        <v>#REF!</v>
      </c>
      <c r="G937" s="34" t="e">
        <f>IF(F937="","",VLOOKUP($B937,#REF!,6,FALSE))</f>
        <v>#REF!</v>
      </c>
      <c r="H937" s="34" t="e">
        <f>IF(G937="","",VLOOKUP($B937,#REF!,7,FALSE))</f>
        <v>#REF!</v>
      </c>
      <c r="I937" s="25">
        <v>452</v>
      </c>
      <c r="J937" s="25"/>
      <c r="K937" s="25"/>
      <c r="L937" s="25"/>
      <c r="M937" s="25"/>
      <c r="N937" s="25"/>
      <c r="O937" s="33">
        <f t="shared" si="31"/>
        <v>452</v>
      </c>
      <c r="P937" s="25"/>
      <c r="Q937" s="25">
        <f t="shared" si="33"/>
        <v>0</v>
      </c>
      <c r="R937" s="39"/>
      <c r="S937" s="39"/>
      <c r="T937" s="39"/>
      <c r="U937" s="39"/>
      <c r="V937" s="39"/>
      <c r="W937" s="25"/>
      <c r="X937" s="33">
        <f t="shared" si="34"/>
        <v>0</v>
      </c>
      <c r="Y937" s="39"/>
      <c r="Z937" s="25">
        <f t="shared" si="32"/>
        <v>0</v>
      </c>
      <c r="AA937" s="45"/>
      <c r="AB937" s="45"/>
      <c r="AC937" s="45"/>
      <c r="AD937" s="45"/>
      <c r="AE937" s="45"/>
    </row>
    <row r="938" spans="1:31" s="12" customFormat="1" ht="12">
      <c r="A938" s="27">
        <v>45624</v>
      </c>
      <c r="B938" s="53" t="s">
        <v>16</v>
      </c>
      <c r="C938" s="37">
        <v>0</v>
      </c>
      <c r="D938" s="34" t="s">
        <v>180</v>
      </c>
      <c r="E938" s="34" t="e">
        <f>IF(B938="","",VLOOKUP($B938,#REF!,4,FALSE))</f>
        <v>#REF!</v>
      </c>
      <c r="F938" s="34" t="e">
        <f>IF(E938="","",VLOOKUP($B938,#REF!,5,FALSE))</f>
        <v>#REF!</v>
      </c>
      <c r="G938" s="34" t="e">
        <f>IF(F938="","",VLOOKUP($B938,#REF!,6,FALSE))</f>
        <v>#REF!</v>
      </c>
      <c r="H938" s="34" t="e">
        <f>IF(G938="","",VLOOKUP($B938,#REF!,7,FALSE))</f>
        <v>#REF!</v>
      </c>
      <c r="I938" s="25"/>
      <c r="J938" s="25">
        <v>379</v>
      </c>
      <c r="K938" s="25"/>
      <c r="L938" s="25"/>
      <c r="M938" s="25"/>
      <c r="N938" s="25"/>
      <c r="O938" s="33">
        <f t="shared" si="31"/>
        <v>379</v>
      </c>
      <c r="P938" s="25"/>
      <c r="Q938" s="25">
        <f t="shared" si="33"/>
        <v>0</v>
      </c>
      <c r="R938" s="39"/>
      <c r="S938" s="39"/>
      <c r="T938" s="39"/>
      <c r="U938" s="39"/>
      <c r="V938" s="39"/>
      <c r="W938" s="25"/>
      <c r="X938" s="33">
        <f>SUM(R938:W938)</f>
        <v>0</v>
      </c>
      <c r="Y938" s="39"/>
      <c r="Z938" s="25">
        <f t="shared" si="32"/>
        <v>0</v>
      </c>
      <c r="AA938" s="45"/>
      <c r="AB938" s="45"/>
      <c r="AC938" s="45"/>
      <c r="AD938" s="45"/>
      <c r="AE938" s="45"/>
    </row>
    <row r="939" spans="1:31" s="12" customFormat="1" ht="12">
      <c r="A939" s="27">
        <v>45624</v>
      </c>
      <c r="B939" s="54" t="s">
        <v>169</v>
      </c>
      <c r="C939" s="37">
        <v>0</v>
      </c>
      <c r="D939" s="34" t="s">
        <v>180</v>
      </c>
      <c r="E939" s="34" t="e">
        <f>IF(B939="","",VLOOKUP($B939,#REF!,4,FALSE))</f>
        <v>#REF!</v>
      </c>
      <c r="F939" s="34" t="e">
        <f>IF(E939="","",VLOOKUP($B939,#REF!,5,FALSE))</f>
        <v>#REF!</v>
      </c>
      <c r="G939" s="34" t="e">
        <f>IF(F939="","",VLOOKUP($B939,#REF!,6,FALSE))</f>
        <v>#REF!</v>
      </c>
      <c r="H939" s="34" t="e">
        <f>IF(G939="","",VLOOKUP($B939,#REF!,7,FALSE))</f>
        <v>#REF!</v>
      </c>
      <c r="I939" s="25"/>
      <c r="J939" s="25"/>
      <c r="K939" s="25"/>
      <c r="L939" s="25">
        <v>1027</v>
      </c>
      <c r="M939" s="25"/>
      <c r="N939" s="25"/>
      <c r="O939" s="33">
        <f t="shared" si="31"/>
        <v>1027</v>
      </c>
      <c r="P939" s="25"/>
      <c r="Q939" s="25">
        <f t="shared" si="33"/>
        <v>0</v>
      </c>
      <c r="R939" s="39"/>
      <c r="S939" s="39"/>
      <c r="T939" s="39"/>
      <c r="U939" s="39"/>
      <c r="V939" s="39"/>
      <c r="W939" s="25"/>
      <c r="X939" s="33">
        <f>SUM(R939:W939)</f>
        <v>0</v>
      </c>
      <c r="Y939" s="39"/>
      <c r="Z939" s="25">
        <f t="shared" si="32"/>
        <v>0</v>
      </c>
      <c r="AA939" s="45"/>
      <c r="AB939" s="45"/>
      <c r="AC939" s="45"/>
      <c r="AD939" s="45"/>
      <c r="AE939" s="45"/>
    </row>
    <row r="940" spans="1:31" s="12" customFormat="1" ht="12">
      <c r="A940" s="27">
        <v>45624</v>
      </c>
      <c r="B940" s="54" t="s">
        <v>226</v>
      </c>
      <c r="C940" s="37">
        <v>0</v>
      </c>
      <c r="D940" s="34" t="s">
        <v>180</v>
      </c>
      <c r="E940" s="34" t="e">
        <f>IF(B940="","",VLOOKUP($B940,#REF!,4,FALSE))</f>
        <v>#REF!</v>
      </c>
      <c r="F940" s="34" t="e">
        <f>IF(E940="","",VLOOKUP($B940,#REF!,5,FALSE))</f>
        <v>#REF!</v>
      </c>
      <c r="G940" s="34" t="e">
        <f>IF(F940="","",VLOOKUP($B940,#REF!,6,FALSE))</f>
        <v>#REF!</v>
      </c>
      <c r="H940" s="34" t="e">
        <f>IF(G940="","",VLOOKUP($B940,#REF!,7,FALSE))</f>
        <v>#REF!</v>
      </c>
      <c r="I940" s="25"/>
      <c r="J940" s="25"/>
      <c r="K940" s="25"/>
      <c r="L940" s="25">
        <v>1445</v>
      </c>
      <c r="M940" s="25"/>
      <c r="N940" s="25"/>
      <c r="O940" s="33">
        <f t="shared" si="31"/>
        <v>1445</v>
      </c>
      <c r="P940" s="25"/>
      <c r="Q940" s="25">
        <f t="shared" si="33"/>
        <v>0</v>
      </c>
      <c r="R940" s="39"/>
      <c r="S940" s="39"/>
      <c r="T940" s="39"/>
      <c r="U940" s="39"/>
      <c r="V940" s="39"/>
      <c r="W940" s="25"/>
      <c r="X940" s="33">
        <f>SUM(R940:W940)</f>
        <v>0</v>
      </c>
      <c r="Y940" s="39"/>
      <c r="Z940" s="25">
        <f t="shared" si="32"/>
        <v>0</v>
      </c>
      <c r="AA940" s="45"/>
      <c r="AB940" s="45"/>
      <c r="AC940" s="45"/>
      <c r="AD940" s="45"/>
      <c r="AE940" s="45"/>
    </row>
    <row r="941" spans="1:31" s="12" customFormat="1" ht="12">
      <c r="A941" s="27">
        <v>45624</v>
      </c>
      <c r="B941" s="53" t="s">
        <v>38</v>
      </c>
      <c r="C941" s="37">
        <v>0</v>
      </c>
      <c r="D941" s="34" t="s">
        <v>180</v>
      </c>
      <c r="E941" s="34" t="e">
        <f>IF(B941="","",VLOOKUP($B941,#REF!,4,FALSE))</f>
        <v>#REF!</v>
      </c>
      <c r="F941" s="34" t="e">
        <f>IF(E941="","",VLOOKUP($B941,#REF!,5,FALSE))</f>
        <v>#REF!</v>
      </c>
      <c r="G941" s="34" t="e">
        <f>IF(F941="","",VLOOKUP($B941,#REF!,6,FALSE))</f>
        <v>#REF!</v>
      </c>
      <c r="H941" s="34" t="e">
        <f>IF(G941="","",VLOOKUP($B941,#REF!,7,FALSE))</f>
        <v>#REF!</v>
      </c>
      <c r="I941" s="25"/>
      <c r="J941" s="25"/>
      <c r="K941" s="25">
        <v>158</v>
      </c>
      <c r="L941" s="25"/>
      <c r="M941" s="25"/>
      <c r="N941" s="25"/>
      <c r="O941" s="33">
        <f t="shared" si="31"/>
        <v>158</v>
      </c>
      <c r="P941" s="25"/>
      <c r="Q941" s="25">
        <f t="shared" si="33"/>
        <v>0</v>
      </c>
      <c r="R941" s="39"/>
      <c r="S941" s="39"/>
      <c r="T941" s="39"/>
      <c r="U941" s="39"/>
      <c r="V941" s="39"/>
      <c r="W941" s="25"/>
      <c r="X941" s="33">
        <f>SUM(R941:W941)</f>
        <v>0</v>
      </c>
      <c r="Y941" s="39"/>
      <c r="Z941" s="25">
        <f t="shared" si="32"/>
        <v>0</v>
      </c>
      <c r="AA941" s="45"/>
      <c r="AB941" s="45"/>
      <c r="AC941" s="45"/>
      <c r="AD941" s="45"/>
      <c r="AE941" s="45"/>
    </row>
    <row r="942" spans="1:31" s="12" customFormat="1" ht="12">
      <c r="A942" s="27">
        <v>45625</v>
      </c>
      <c r="B942" s="53" t="s">
        <v>167</v>
      </c>
      <c r="C942" s="37" t="e">
        <f>IF(B942="","",VLOOKUP($B942,#REF!,2,FALSE))</f>
        <v>#REF!</v>
      </c>
      <c r="D942" s="34" t="e">
        <f>IF(B942="","",VLOOKUP($B942,#REF!,3,FALSE))</f>
        <v>#REF!</v>
      </c>
      <c r="E942" s="34" t="e">
        <f>IF(B942="","",VLOOKUP($B942,#REF!,4,FALSE))</f>
        <v>#REF!</v>
      </c>
      <c r="F942" s="34" t="e">
        <f>IF(E942="","",VLOOKUP($B942,#REF!,5,FALSE))</f>
        <v>#REF!</v>
      </c>
      <c r="G942" s="34" t="e">
        <f>IF(F942="","",VLOOKUP($B942,#REF!,6,FALSE))</f>
        <v>#REF!</v>
      </c>
      <c r="H942" s="34" t="e">
        <f>IF(G942="","",VLOOKUP($B942,#REF!,7,FALSE))</f>
        <v>#REF!</v>
      </c>
      <c r="I942" s="25"/>
      <c r="J942" s="25"/>
      <c r="K942" s="25"/>
      <c r="L942" s="25"/>
      <c r="M942" s="25"/>
      <c r="N942" s="25"/>
      <c r="O942" s="33">
        <f t="shared" si="31"/>
        <v>0</v>
      </c>
      <c r="P942" s="25"/>
      <c r="Q942" s="25">
        <f t="shared" si="33"/>
        <v>0</v>
      </c>
      <c r="R942" s="39"/>
      <c r="S942" s="39"/>
      <c r="T942" s="39">
        <v>12</v>
      </c>
      <c r="U942" s="39"/>
      <c r="V942" s="39"/>
      <c r="W942" s="25"/>
      <c r="X942" s="33">
        <f>SUM(R942:W942)</f>
        <v>12</v>
      </c>
      <c r="Y942" s="39">
        <v>51200</v>
      </c>
      <c r="Z942" s="25">
        <v>614400</v>
      </c>
      <c r="AA942" s="80" t="s">
        <v>282</v>
      </c>
      <c r="AB942" s="45"/>
      <c r="AC942" s="45"/>
      <c r="AD942" s="45"/>
      <c r="AE942" s="45"/>
    </row>
    <row r="943" spans="1:31" s="12" customFormat="1" ht="12">
      <c r="A943" s="27">
        <v>45625</v>
      </c>
      <c r="B943" s="53" t="s">
        <v>12</v>
      </c>
      <c r="C943" s="37" t="e">
        <f>IF(B943="","",VLOOKUP($B943,#REF!,2,FALSE))</f>
        <v>#REF!</v>
      </c>
      <c r="D943" s="34" t="e">
        <f>IF(B943="","",VLOOKUP($B943,#REF!,3,FALSE))</f>
        <v>#REF!</v>
      </c>
      <c r="E943" s="34" t="e">
        <f>IF(B943="","",VLOOKUP($B943,#REF!,4,FALSE))</f>
        <v>#REF!</v>
      </c>
      <c r="F943" s="34" t="e">
        <f>IF(E943="","",VLOOKUP($B943,#REF!,5,FALSE))</f>
        <v>#REF!</v>
      </c>
      <c r="G943" s="34" t="e">
        <f>IF(F943="","",VLOOKUP($B943,#REF!,6,FALSE))</f>
        <v>#REF!</v>
      </c>
      <c r="H943" s="34" t="e">
        <f>IF(G943="","",VLOOKUP($B943,#REF!,7,FALSE))</f>
        <v>#REF!</v>
      </c>
      <c r="I943" s="25"/>
      <c r="J943" s="25"/>
      <c r="K943" s="25"/>
      <c r="L943" s="25"/>
      <c r="M943" s="25"/>
      <c r="N943" s="25"/>
      <c r="O943" s="33">
        <f t="shared" si="31"/>
        <v>0</v>
      </c>
      <c r="P943" s="25"/>
      <c r="Q943" s="25">
        <f t="shared" si="33"/>
        <v>0</v>
      </c>
      <c r="R943" s="39"/>
      <c r="S943" s="39"/>
      <c r="T943" s="39">
        <v>1</v>
      </c>
      <c r="U943" s="39"/>
      <c r="V943" s="39"/>
      <c r="W943" s="25"/>
      <c r="X943" s="33">
        <f t="shared" si="34"/>
        <v>1</v>
      </c>
      <c r="Y943" s="39">
        <v>41820</v>
      </c>
      <c r="Z943" s="25">
        <v>41818</v>
      </c>
      <c r="AA943" s="80" t="s">
        <v>282</v>
      </c>
      <c r="AB943" s="45"/>
      <c r="AC943" s="45"/>
      <c r="AD943" s="45"/>
      <c r="AE943" s="45"/>
    </row>
    <row r="944" spans="1:31" s="12" customFormat="1" ht="12">
      <c r="A944" s="27">
        <v>45625</v>
      </c>
      <c r="B944" s="53" t="s">
        <v>32</v>
      </c>
      <c r="C944" s="37" t="e">
        <f>IF(B944="","",VLOOKUP($B944,#REF!,2,FALSE))</f>
        <v>#REF!</v>
      </c>
      <c r="D944" s="34" t="e">
        <f>IF(B944="","",VLOOKUP($B944,#REF!,3,FALSE))</f>
        <v>#REF!</v>
      </c>
      <c r="E944" s="34" t="e">
        <f>IF(B944="","",VLOOKUP($B944,#REF!,4,FALSE))</f>
        <v>#REF!</v>
      </c>
      <c r="F944" s="34" t="e">
        <f>IF(E944="","",VLOOKUP($B944,#REF!,5,FALSE))</f>
        <v>#REF!</v>
      </c>
      <c r="G944" s="34" t="e">
        <f>IF(F944="","",VLOOKUP($B944,#REF!,6,FALSE))</f>
        <v>#REF!</v>
      </c>
      <c r="H944" s="34" t="e">
        <f>IF(G944="","",VLOOKUP($B944,#REF!,7,FALSE))</f>
        <v>#REF!</v>
      </c>
      <c r="I944" s="25"/>
      <c r="J944" s="25"/>
      <c r="K944" s="25"/>
      <c r="L944" s="25"/>
      <c r="M944" s="25"/>
      <c r="N944" s="25"/>
      <c r="O944" s="33">
        <f t="shared" si="31"/>
        <v>0</v>
      </c>
      <c r="P944" s="25"/>
      <c r="Q944" s="25">
        <f t="shared" si="33"/>
        <v>0</v>
      </c>
      <c r="R944" s="39"/>
      <c r="S944" s="39"/>
      <c r="T944" s="39">
        <v>15</v>
      </c>
      <c r="U944" s="39"/>
      <c r="V944" s="39"/>
      <c r="W944" s="25"/>
      <c r="X944" s="33">
        <f t="shared" si="34"/>
        <v>15</v>
      </c>
      <c r="Y944" s="39">
        <v>81816</v>
      </c>
      <c r="Z944" s="25">
        <v>1227273</v>
      </c>
      <c r="AA944" s="80" t="s">
        <v>282</v>
      </c>
      <c r="AB944" s="45"/>
      <c r="AC944" s="45"/>
      <c r="AD944" s="45"/>
      <c r="AE944" s="45"/>
    </row>
    <row r="945" spans="1:31" s="12" customFormat="1" ht="12">
      <c r="A945" s="27">
        <v>45625</v>
      </c>
      <c r="B945" s="53" t="s">
        <v>198</v>
      </c>
      <c r="C945" s="37" t="e">
        <f>IF(B945="","",VLOOKUP($B945,#REF!,2,FALSE))</f>
        <v>#REF!</v>
      </c>
      <c r="D945" s="34" t="e">
        <f>IF(B945="","",VLOOKUP($B945,#REF!,3,FALSE))</f>
        <v>#REF!</v>
      </c>
      <c r="E945" s="34" t="e">
        <f>IF(B945="","",VLOOKUP($B945,#REF!,4,FALSE))</f>
        <v>#REF!</v>
      </c>
      <c r="F945" s="34" t="e">
        <f>IF(E945="","",VLOOKUP($B945,#REF!,5,FALSE))</f>
        <v>#REF!</v>
      </c>
      <c r="G945" s="34" t="e">
        <f>IF(F945="","",VLOOKUP($B945,#REF!,6,FALSE))</f>
        <v>#REF!</v>
      </c>
      <c r="H945" s="34" t="e">
        <f>IF(G945="","",VLOOKUP($B945,#REF!,7,FALSE))</f>
        <v>#REF!</v>
      </c>
      <c r="I945" s="25"/>
      <c r="J945" s="25"/>
      <c r="K945" s="25"/>
      <c r="L945" s="25"/>
      <c r="M945" s="25"/>
      <c r="N945" s="25"/>
      <c r="O945" s="33">
        <f t="shared" si="31"/>
        <v>0</v>
      </c>
      <c r="P945" s="25"/>
      <c r="Q945" s="25">
        <f t="shared" si="33"/>
        <v>0</v>
      </c>
      <c r="R945" s="39"/>
      <c r="S945" s="39"/>
      <c r="T945" s="39">
        <v>8</v>
      </c>
      <c r="U945" s="39"/>
      <c r="V945" s="39"/>
      <c r="W945" s="25"/>
      <c r="X945" s="33">
        <f t="shared" si="34"/>
        <v>8</v>
      </c>
      <c r="Y945" s="39">
        <v>76360</v>
      </c>
      <c r="Z945" s="25">
        <v>610909</v>
      </c>
      <c r="AA945" s="80" t="s">
        <v>282</v>
      </c>
      <c r="AB945" s="45"/>
      <c r="AC945" s="45"/>
      <c r="AD945" s="45"/>
      <c r="AE945" s="45"/>
    </row>
    <row r="946" spans="1:31" s="12" customFormat="1" ht="12">
      <c r="A946" s="27">
        <v>45625</v>
      </c>
      <c r="B946" s="53" t="s">
        <v>239</v>
      </c>
      <c r="C946" s="37" t="e">
        <f>IF(B946="","",VLOOKUP($B946,#REF!,2,FALSE))</f>
        <v>#REF!</v>
      </c>
      <c r="D946" s="34" t="e">
        <f>IF(B946="","",VLOOKUP($B946,#REF!,3,FALSE))</f>
        <v>#REF!</v>
      </c>
      <c r="E946" s="34" t="e">
        <f>IF(B946="","",VLOOKUP($B946,#REF!,4,FALSE))</f>
        <v>#REF!</v>
      </c>
      <c r="F946" s="34" t="e">
        <f>IF(E946="","",VLOOKUP($B946,#REF!,5,FALSE))</f>
        <v>#REF!</v>
      </c>
      <c r="G946" s="34" t="e">
        <f>IF(F946="","",VLOOKUP($B946,#REF!,6,FALSE))</f>
        <v>#REF!</v>
      </c>
      <c r="H946" s="34" t="e">
        <f>IF(G946="","",VLOOKUP($B946,#REF!,7,FALSE))</f>
        <v>#REF!</v>
      </c>
      <c r="I946" s="25"/>
      <c r="J946" s="25"/>
      <c r="K946" s="25"/>
      <c r="L946" s="25"/>
      <c r="M946" s="25"/>
      <c r="N946" s="25"/>
      <c r="O946" s="33">
        <f t="shared" si="31"/>
        <v>0</v>
      </c>
      <c r="P946" s="25"/>
      <c r="Q946" s="25">
        <f t="shared" si="33"/>
        <v>0</v>
      </c>
      <c r="R946" s="39"/>
      <c r="S946" s="39"/>
      <c r="T946" s="39">
        <v>8</v>
      </c>
      <c r="U946" s="39"/>
      <c r="V946" s="39"/>
      <c r="W946" s="25"/>
      <c r="X946" s="33">
        <f t="shared" si="34"/>
        <v>8</v>
      </c>
      <c r="Y946" s="39">
        <v>130000</v>
      </c>
      <c r="Z946" s="25">
        <v>1040000</v>
      </c>
      <c r="AA946" s="80" t="s">
        <v>282</v>
      </c>
      <c r="AB946" s="45"/>
      <c r="AC946" s="45"/>
      <c r="AD946" s="45"/>
      <c r="AE946" s="45"/>
    </row>
    <row r="947" spans="1:31" s="12" customFormat="1" ht="12">
      <c r="A947" s="27">
        <v>45625</v>
      </c>
      <c r="B947" s="53" t="s">
        <v>166</v>
      </c>
      <c r="C947" s="37" t="e">
        <f>IF(B947="","",VLOOKUP($B947,#REF!,2,FALSE))</f>
        <v>#REF!</v>
      </c>
      <c r="D947" s="34" t="e">
        <f>IF(B947="","",VLOOKUP($B947,#REF!,3,FALSE))</f>
        <v>#REF!</v>
      </c>
      <c r="E947" s="34" t="e">
        <f>IF(B947="","",VLOOKUP($B947,#REF!,4,FALSE))</f>
        <v>#REF!</v>
      </c>
      <c r="F947" s="34" t="e">
        <f>IF(E947="","",VLOOKUP($B947,#REF!,5,FALSE))</f>
        <v>#REF!</v>
      </c>
      <c r="G947" s="34" t="e">
        <f>IF(F947="","",VLOOKUP($B947,#REF!,6,FALSE))</f>
        <v>#REF!</v>
      </c>
      <c r="H947" s="34" t="e">
        <f>IF(G947="","",VLOOKUP($B947,#REF!,7,FALSE))</f>
        <v>#REF!</v>
      </c>
      <c r="I947" s="25"/>
      <c r="J947" s="25"/>
      <c r="K947" s="25"/>
      <c r="L947" s="25"/>
      <c r="M947" s="25"/>
      <c r="N947" s="25"/>
      <c r="O947" s="33">
        <f t="shared" si="31"/>
        <v>0</v>
      </c>
      <c r="P947" s="25"/>
      <c r="Q947" s="25">
        <f t="shared" si="33"/>
        <v>0</v>
      </c>
      <c r="R947" s="39"/>
      <c r="S947" s="39"/>
      <c r="T947" s="39">
        <v>46</v>
      </c>
      <c r="U947" s="39"/>
      <c r="V947" s="39"/>
      <c r="W947" s="25"/>
      <c r="X947" s="33">
        <f t="shared" si="34"/>
        <v>46</v>
      </c>
      <c r="Y947" s="39">
        <v>94550</v>
      </c>
      <c r="Z947" s="25">
        <v>4349091</v>
      </c>
      <c r="AA947" s="80" t="s">
        <v>282</v>
      </c>
      <c r="AB947" s="45"/>
      <c r="AC947" s="45"/>
      <c r="AD947" s="45"/>
      <c r="AE947" s="45"/>
    </row>
    <row r="948" spans="1:31" s="12" customFormat="1" ht="12">
      <c r="A948" s="27">
        <v>45625</v>
      </c>
      <c r="B948" s="53" t="s">
        <v>168</v>
      </c>
      <c r="C948" s="37" t="s">
        <v>117</v>
      </c>
      <c r="D948" s="34" t="s">
        <v>225</v>
      </c>
      <c r="E948" s="34" t="e">
        <f>IF(B948="","",VLOOKUP($B948,#REF!,4,FALSE))</f>
        <v>#REF!</v>
      </c>
      <c r="F948" s="34" t="e">
        <f>IF(E948="","",VLOOKUP($B948,#REF!,5,FALSE))</f>
        <v>#REF!</v>
      </c>
      <c r="G948" s="34" t="e">
        <f>IF(F948="","",VLOOKUP($B948,#REF!,6,FALSE))</f>
        <v>#REF!</v>
      </c>
      <c r="H948" s="34" t="e">
        <f>IF(G948="","",VLOOKUP($B948,#REF!,7,FALSE))</f>
        <v>#REF!</v>
      </c>
      <c r="I948" s="25"/>
      <c r="J948" s="25">
        <v>320</v>
      </c>
      <c r="K948" s="25"/>
      <c r="L948" s="25"/>
      <c r="M948" s="25"/>
      <c r="N948" s="25"/>
      <c r="O948" s="33">
        <f t="shared" si="31"/>
        <v>320</v>
      </c>
      <c r="P948" s="25">
        <v>74400</v>
      </c>
      <c r="Q948" s="25">
        <f t="shared" si="33"/>
        <v>23808000</v>
      </c>
      <c r="R948" s="39"/>
      <c r="S948" s="39"/>
      <c r="T948" s="39"/>
      <c r="U948" s="39"/>
      <c r="V948" s="39"/>
      <c r="W948" s="25"/>
      <c r="X948" s="33">
        <f t="shared" ref="X948:X956" si="35">SUM(R948:W948)</f>
        <v>0</v>
      </c>
      <c r="Y948" s="39"/>
      <c r="Z948" s="25">
        <f t="shared" si="32"/>
        <v>0</v>
      </c>
      <c r="AA948" s="45"/>
      <c r="AB948" s="45"/>
      <c r="AC948" s="45"/>
      <c r="AD948" s="45"/>
      <c r="AE948" s="45"/>
    </row>
    <row r="949" spans="1:31" s="12" customFormat="1" ht="12">
      <c r="A949" s="27">
        <v>45625</v>
      </c>
      <c r="B949" s="73" t="s">
        <v>15</v>
      </c>
      <c r="C949" s="37" t="e">
        <f>IF(B949="","",VLOOKUP($B949,#REF!,2,FALSE))</f>
        <v>#REF!</v>
      </c>
      <c r="D949" s="34" t="e">
        <f>IF(B949="","",VLOOKUP($B949,#REF!,3,FALSE))</f>
        <v>#REF!</v>
      </c>
      <c r="E949" s="34" t="e">
        <f>IF(B949="","",VLOOKUP($B949,#REF!,4,FALSE))</f>
        <v>#REF!</v>
      </c>
      <c r="F949" s="34" t="e">
        <f>IF(E949="","",VLOOKUP($B949,#REF!,5,FALSE))</f>
        <v>#REF!</v>
      </c>
      <c r="G949" s="34" t="e">
        <f>IF(F949="","",VLOOKUP($B949,#REF!,6,FALSE))</f>
        <v>#REF!</v>
      </c>
      <c r="H949" s="34" t="e">
        <f>IF(G949="","",VLOOKUP($B949,#REF!,7,FALSE))</f>
        <v>#REF!</v>
      </c>
      <c r="I949" s="25"/>
      <c r="J949" s="25"/>
      <c r="K949" s="25">
        <v>1</v>
      </c>
      <c r="L949" s="25"/>
      <c r="M949" s="25"/>
      <c r="N949" s="25"/>
      <c r="O949" s="33">
        <f t="shared" si="31"/>
        <v>1</v>
      </c>
      <c r="P949" s="25"/>
      <c r="Q949" s="25">
        <f t="shared" si="33"/>
        <v>0</v>
      </c>
      <c r="R949" s="39"/>
      <c r="S949" s="39"/>
      <c r="T949" s="39"/>
      <c r="U949" s="39"/>
      <c r="V949" s="39"/>
      <c r="W949" s="25"/>
      <c r="X949" s="33">
        <f t="shared" si="35"/>
        <v>0</v>
      </c>
      <c r="Y949" s="39"/>
      <c r="Z949" s="25">
        <f t="shared" si="32"/>
        <v>0</v>
      </c>
      <c r="AA949" s="45" t="s">
        <v>251</v>
      </c>
      <c r="AB949" s="45"/>
      <c r="AC949" s="45"/>
      <c r="AD949" s="45"/>
      <c r="AE949" s="45"/>
    </row>
    <row r="950" spans="1:31" s="12" customFormat="1" ht="12">
      <c r="A950" s="27">
        <v>45625</v>
      </c>
      <c r="B950" s="28" t="s">
        <v>15</v>
      </c>
      <c r="C950" s="37" t="e">
        <f>IF(B950="","",VLOOKUP($B950,#REF!,2,FALSE))</f>
        <v>#REF!</v>
      </c>
      <c r="D950" s="34" t="e">
        <f>IF(B950="","",VLOOKUP($B950,#REF!,3,FALSE))</f>
        <v>#REF!</v>
      </c>
      <c r="E950" s="34" t="e">
        <f>IF(B950="","",VLOOKUP($B950,#REF!,4,FALSE))</f>
        <v>#REF!</v>
      </c>
      <c r="F950" s="34" t="e">
        <f>IF(E950="","",VLOOKUP($B950,#REF!,5,FALSE))</f>
        <v>#REF!</v>
      </c>
      <c r="G950" s="34" t="e">
        <f>IF(F950="","",VLOOKUP($B950,#REF!,6,FALSE))</f>
        <v>#REF!</v>
      </c>
      <c r="H950" s="34" t="e">
        <f>IF(G950="","",VLOOKUP($B950,#REF!,7,FALSE))</f>
        <v>#REF!</v>
      </c>
      <c r="I950" s="25"/>
      <c r="J950" s="25"/>
      <c r="K950" s="25"/>
      <c r="L950" s="25"/>
      <c r="M950" s="25"/>
      <c r="N950" s="25"/>
      <c r="O950" s="33">
        <f t="shared" si="31"/>
        <v>0</v>
      </c>
      <c r="P950" s="25"/>
      <c r="Q950" s="25">
        <f t="shared" si="33"/>
        <v>0</v>
      </c>
      <c r="R950" s="39"/>
      <c r="S950" s="39"/>
      <c r="T950" s="39">
        <v>14</v>
      </c>
      <c r="U950" s="39"/>
      <c r="V950" s="39"/>
      <c r="W950" s="25"/>
      <c r="X950" s="33">
        <f t="shared" si="35"/>
        <v>14</v>
      </c>
      <c r="Y950" s="39">
        <v>69600</v>
      </c>
      <c r="Z950" s="25">
        <f t="shared" si="32"/>
        <v>974400</v>
      </c>
      <c r="AA950" s="45"/>
      <c r="AB950" s="45"/>
      <c r="AC950" s="45"/>
      <c r="AD950" s="45"/>
      <c r="AE950" s="45"/>
    </row>
    <row r="951" spans="1:31" s="12" customFormat="1" ht="12">
      <c r="A951" s="27">
        <v>45625</v>
      </c>
      <c r="B951" s="30" t="s">
        <v>10</v>
      </c>
      <c r="C951" s="37" t="e">
        <f>IF(B951="","",VLOOKUP($B951,#REF!,2,FALSE))</f>
        <v>#REF!</v>
      </c>
      <c r="D951" s="34" t="e">
        <f>IF(B951="","",VLOOKUP($B951,#REF!,3,FALSE))</f>
        <v>#REF!</v>
      </c>
      <c r="E951" s="34" t="e">
        <f>IF(B951="","",VLOOKUP($B951,#REF!,4,FALSE))</f>
        <v>#REF!</v>
      </c>
      <c r="F951" s="34" t="e">
        <f>IF(E951="","",VLOOKUP($B951,#REF!,5,FALSE))</f>
        <v>#REF!</v>
      </c>
      <c r="G951" s="34" t="e">
        <f>IF(F951="","",VLOOKUP($B951,#REF!,6,FALSE))</f>
        <v>#REF!</v>
      </c>
      <c r="H951" s="34" t="e">
        <f>IF(G951="","",VLOOKUP($B951,#REF!,7,FALSE))</f>
        <v>#REF!</v>
      </c>
      <c r="I951" s="25"/>
      <c r="J951" s="25"/>
      <c r="K951" s="25"/>
      <c r="L951" s="25"/>
      <c r="M951" s="25"/>
      <c r="N951" s="25"/>
      <c r="O951" s="33">
        <f t="shared" si="31"/>
        <v>0</v>
      </c>
      <c r="P951" s="25"/>
      <c r="Q951" s="25">
        <f t="shared" si="33"/>
        <v>0</v>
      </c>
      <c r="R951" s="39"/>
      <c r="S951" s="39"/>
      <c r="T951" s="39">
        <v>7</v>
      </c>
      <c r="U951" s="39"/>
      <c r="V951" s="39"/>
      <c r="W951" s="25"/>
      <c r="X951" s="33">
        <f t="shared" si="35"/>
        <v>7</v>
      </c>
      <c r="Y951" s="39">
        <v>57000</v>
      </c>
      <c r="Z951" s="25">
        <f t="shared" si="32"/>
        <v>399000</v>
      </c>
      <c r="AA951" s="45"/>
      <c r="AB951" s="45"/>
      <c r="AC951" s="45"/>
      <c r="AD951" s="45"/>
      <c r="AE951" s="45"/>
    </row>
    <row r="952" spans="1:31" s="12" customFormat="1" ht="12">
      <c r="A952" s="27">
        <v>45625</v>
      </c>
      <c r="B952" s="53" t="s">
        <v>25</v>
      </c>
      <c r="C952" s="37" t="e">
        <f>IF(B952="","",VLOOKUP($B952,#REF!,2,FALSE))</f>
        <v>#REF!</v>
      </c>
      <c r="D952" s="34" t="e">
        <f>IF(B952="","",VLOOKUP($B952,#REF!,3,FALSE))</f>
        <v>#REF!</v>
      </c>
      <c r="E952" s="34" t="e">
        <f>IF(B952="","",VLOOKUP($B952,#REF!,4,FALSE))</f>
        <v>#REF!</v>
      </c>
      <c r="F952" s="34" t="e">
        <f>IF(E952="","",VLOOKUP($B952,#REF!,5,FALSE))</f>
        <v>#REF!</v>
      </c>
      <c r="G952" s="34" t="e">
        <f>IF(F952="","",VLOOKUP($B952,#REF!,6,FALSE))</f>
        <v>#REF!</v>
      </c>
      <c r="H952" s="34" t="e">
        <f>IF(G952="","",VLOOKUP($B952,#REF!,7,FALSE))</f>
        <v>#REF!</v>
      </c>
      <c r="I952" s="25"/>
      <c r="J952" s="25"/>
      <c r="K952" s="25"/>
      <c r="L952" s="25"/>
      <c r="M952" s="25"/>
      <c r="N952" s="25"/>
      <c r="O952" s="33">
        <f t="shared" si="31"/>
        <v>0</v>
      </c>
      <c r="P952" s="25"/>
      <c r="Q952" s="25">
        <f t="shared" si="33"/>
        <v>0</v>
      </c>
      <c r="R952" s="39"/>
      <c r="S952" s="39"/>
      <c r="T952" s="39">
        <v>2</v>
      </c>
      <c r="U952" s="39"/>
      <c r="V952" s="39"/>
      <c r="W952" s="25"/>
      <c r="X952" s="33">
        <f t="shared" si="35"/>
        <v>2</v>
      </c>
      <c r="Y952" s="39">
        <v>57000</v>
      </c>
      <c r="Z952" s="25">
        <f t="shared" si="32"/>
        <v>114000</v>
      </c>
      <c r="AA952" s="45"/>
      <c r="AB952" s="45"/>
      <c r="AC952" s="45"/>
      <c r="AD952" s="45"/>
      <c r="AE952" s="45"/>
    </row>
    <row r="953" spans="1:31" s="12" customFormat="1" ht="12">
      <c r="A953" s="27">
        <v>45625</v>
      </c>
      <c r="B953" s="53" t="s">
        <v>38</v>
      </c>
      <c r="C953" s="37" t="e">
        <f>IF(B953="","",VLOOKUP($B953,#REF!,2,FALSE))</f>
        <v>#REF!</v>
      </c>
      <c r="D953" s="34" t="e">
        <f>IF(B953="","",VLOOKUP($B953,#REF!,3,FALSE))</f>
        <v>#REF!</v>
      </c>
      <c r="E953" s="34" t="e">
        <f>IF(B953="","",VLOOKUP($B953,#REF!,4,FALSE))</f>
        <v>#REF!</v>
      </c>
      <c r="F953" s="34" t="e">
        <f>IF(E953="","",VLOOKUP($B953,#REF!,5,FALSE))</f>
        <v>#REF!</v>
      </c>
      <c r="G953" s="34" t="e">
        <f>IF(F953="","",VLOOKUP($B953,#REF!,6,FALSE))</f>
        <v>#REF!</v>
      </c>
      <c r="H953" s="34" t="e">
        <f>IF(G953="","",VLOOKUP($B953,#REF!,7,FALSE))</f>
        <v>#REF!</v>
      </c>
      <c r="I953" s="25"/>
      <c r="J953" s="25"/>
      <c r="K953" s="25"/>
      <c r="L953" s="25"/>
      <c r="M953" s="25"/>
      <c r="N953" s="25"/>
      <c r="O953" s="33">
        <f t="shared" si="31"/>
        <v>0</v>
      </c>
      <c r="P953" s="25"/>
      <c r="Q953" s="25">
        <f t="shared" si="33"/>
        <v>0</v>
      </c>
      <c r="R953" s="39"/>
      <c r="S953" s="39"/>
      <c r="T953" s="39">
        <v>160</v>
      </c>
      <c r="U953" s="39"/>
      <c r="V953" s="39"/>
      <c r="W953" s="25"/>
      <c r="X953" s="33">
        <f t="shared" si="35"/>
        <v>160</v>
      </c>
      <c r="Y953" s="39">
        <v>54600</v>
      </c>
      <c r="Z953" s="25">
        <f t="shared" si="32"/>
        <v>8736000</v>
      </c>
      <c r="AA953" s="45"/>
      <c r="AB953" s="45"/>
      <c r="AC953" s="45"/>
      <c r="AD953" s="45"/>
      <c r="AE953" s="45"/>
    </row>
    <row r="954" spans="1:31" s="12" customFormat="1" ht="12">
      <c r="A954" s="27">
        <v>45625</v>
      </c>
      <c r="B954" s="73" t="s">
        <v>61</v>
      </c>
      <c r="C954" s="37" t="e">
        <f>IF(B954="","",VLOOKUP($B954,#REF!,2,FALSE))</f>
        <v>#REF!</v>
      </c>
      <c r="D954" s="34" t="e">
        <f>IF(B954="","",VLOOKUP($B954,#REF!,3,FALSE))</f>
        <v>#REF!</v>
      </c>
      <c r="E954" s="34" t="e">
        <f>IF(B954="","",VLOOKUP($B954,#REF!,4,FALSE))</f>
        <v>#REF!</v>
      </c>
      <c r="F954" s="34" t="e">
        <f>IF(E954="","",VLOOKUP($B954,#REF!,5,FALSE))</f>
        <v>#REF!</v>
      </c>
      <c r="G954" s="34" t="e">
        <f>IF(F954="","",VLOOKUP($B954,#REF!,6,FALSE))</f>
        <v>#REF!</v>
      </c>
      <c r="H954" s="34" t="e">
        <f>IF(G954="","",VLOOKUP($B954,#REF!,7,FALSE))</f>
        <v>#REF!</v>
      </c>
      <c r="I954" s="25"/>
      <c r="J954" s="25"/>
      <c r="K954" s="25"/>
      <c r="L954" s="25"/>
      <c r="M954" s="25"/>
      <c r="N954" s="25"/>
      <c r="O954" s="33">
        <f t="shared" si="31"/>
        <v>0</v>
      </c>
      <c r="P954" s="25"/>
      <c r="Q954" s="25">
        <f t="shared" si="33"/>
        <v>0</v>
      </c>
      <c r="R954" s="39"/>
      <c r="S954" s="39"/>
      <c r="T954" s="39">
        <v>46</v>
      </c>
      <c r="U954" s="39"/>
      <c r="V954" s="39"/>
      <c r="W954" s="25"/>
      <c r="X954" s="33">
        <f t="shared" si="35"/>
        <v>46</v>
      </c>
      <c r="Y954" s="39">
        <v>67500</v>
      </c>
      <c r="Z954" s="25">
        <f t="shared" si="32"/>
        <v>3105000</v>
      </c>
      <c r="AA954" s="55" t="s">
        <v>252</v>
      </c>
      <c r="AB954" s="55"/>
      <c r="AC954" s="45"/>
      <c r="AD954" s="45"/>
      <c r="AE954" s="45"/>
    </row>
    <row r="955" spans="1:31" s="12" customFormat="1" ht="12">
      <c r="A955" s="27">
        <v>45625</v>
      </c>
      <c r="B955" s="53" t="s">
        <v>26</v>
      </c>
      <c r="C955" s="37" t="e">
        <f>IF(B955="","",VLOOKUP($B955,#REF!,2,FALSE))</f>
        <v>#REF!</v>
      </c>
      <c r="D955" s="34" t="e">
        <f>IF(B955="","",VLOOKUP($B955,#REF!,3,FALSE))</f>
        <v>#REF!</v>
      </c>
      <c r="E955" s="34" t="e">
        <f>IF(B955="","",VLOOKUP($B955,#REF!,4,FALSE))</f>
        <v>#REF!</v>
      </c>
      <c r="F955" s="34" t="e">
        <f>IF(E955="","",VLOOKUP($B955,#REF!,5,FALSE))</f>
        <v>#REF!</v>
      </c>
      <c r="G955" s="34" t="e">
        <f>IF(F955="","",VLOOKUP($B955,#REF!,6,FALSE))</f>
        <v>#REF!</v>
      </c>
      <c r="H955" s="34" t="e">
        <f>IF(G955="","",VLOOKUP($B955,#REF!,7,FALSE))</f>
        <v>#REF!</v>
      </c>
      <c r="I955" s="25"/>
      <c r="J955" s="25"/>
      <c r="K955" s="25"/>
      <c r="L955" s="25"/>
      <c r="M955" s="25"/>
      <c r="N955" s="25"/>
      <c r="O955" s="33">
        <f t="shared" si="31"/>
        <v>0</v>
      </c>
      <c r="P955" s="25"/>
      <c r="Q955" s="25">
        <f t="shared" si="33"/>
        <v>0</v>
      </c>
      <c r="R955" s="39"/>
      <c r="S955" s="39"/>
      <c r="T955" s="39">
        <v>23</v>
      </c>
      <c r="U955" s="39"/>
      <c r="V955" s="39"/>
      <c r="W955" s="25"/>
      <c r="X955" s="33">
        <f t="shared" si="35"/>
        <v>23</v>
      </c>
      <c r="Y955" s="39">
        <v>23200</v>
      </c>
      <c r="Z955" s="25">
        <f t="shared" si="32"/>
        <v>533600</v>
      </c>
      <c r="AA955" s="45"/>
      <c r="AB955" s="45"/>
      <c r="AC955" s="45"/>
      <c r="AD955" s="45"/>
      <c r="AE955" s="45"/>
    </row>
    <row r="956" spans="1:31" s="12" customFormat="1" ht="12">
      <c r="A956" s="27">
        <v>45625</v>
      </c>
      <c r="B956" s="53" t="s">
        <v>8</v>
      </c>
      <c r="C956" s="37" t="e">
        <f>IF(B956="","",VLOOKUP($B956,#REF!,2,FALSE))</f>
        <v>#REF!</v>
      </c>
      <c r="D956" s="34" t="e">
        <f>IF(B956="","",VLOOKUP($B956,#REF!,3,FALSE))</f>
        <v>#REF!</v>
      </c>
      <c r="E956" s="34" t="e">
        <f>IF(B956="","",VLOOKUP($B956,#REF!,4,FALSE))</f>
        <v>#REF!</v>
      </c>
      <c r="F956" s="34" t="e">
        <f>IF(E956="","",VLOOKUP($B956,#REF!,5,FALSE))</f>
        <v>#REF!</v>
      </c>
      <c r="G956" s="34" t="e">
        <f>IF(F956="","",VLOOKUP($B956,#REF!,6,FALSE))</f>
        <v>#REF!</v>
      </c>
      <c r="H956" s="34" t="e">
        <f>IF(G956="","",VLOOKUP($B956,#REF!,7,FALSE))</f>
        <v>#REF!</v>
      </c>
      <c r="I956" s="25"/>
      <c r="J956" s="25"/>
      <c r="K956" s="25"/>
      <c r="L956" s="25"/>
      <c r="M956" s="25"/>
      <c r="N956" s="25"/>
      <c r="O956" s="33">
        <f t="shared" si="31"/>
        <v>0</v>
      </c>
      <c r="P956" s="25"/>
      <c r="Q956" s="25">
        <f t="shared" si="33"/>
        <v>0</v>
      </c>
      <c r="R956" s="39"/>
      <c r="S956" s="39"/>
      <c r="T956" s="39">
        <v>31</v>
      </c>
      <c r="U956" s="39"/>
      <c r="V956" s="39"/>
      <c r="W956" s="25"/>
      <c r="X956" s="33">
        <f t="shared" si="35"/>
        <v>31</v>
      </c>
      <c r="Y956" s="39">
        <v>36300</v>
      </c>
      <c r="Z956" s="25">
        <f t="shared" si="32"/>
        <v>1125300</v>
      </c>
      <c r="AA956" s="45"/>
      <c r="AB956" s="45"/>
      <c r="AC956" s="45"/>
      <c r="AD956" s="45"/>
      <c r="AE956" s="45"/>
    </row>
    <row r="957" spans="1:31" s="12" customFormat="1" ht="12">
      <c r="A957" s="27">
        <v>45625</v>
      </c>
      <c r="B957" s="53" t="s">
        <v>10</v>
      </c>
      <c r="C957" s="37" t="e">
        <f>IF(B957="","",VLOOKUP($B957,#REF!,2,FALSE))</f>
        <v>#REF!</v>
      </c>
      <c r="D957" s="34" t="e">
        <f>IF(B957="","",VLOOKUP($B957,#REF!,3,FALSE))</f>
        <v>#REF!</v>
      </c>
      <c r="E957" s="34" t="e">
        <f>IF(B957="","",VLOOKUP($B957,#REF!,4,FALSE))</f>
        <v>#REF!</v>
      </c>
      <c r="F957" s="34" t="e">
        <f>IF(E957="","",VLOOKUP($B957,#REF!,5,FALSE))</f>
        <v>#REF!</v>
      </c>
      <c r="G957" s="34" t="e">
        <f>IF(F957="","",VLOOKUP($B957,#REF!,6,FALSE))</f>
        <v>#REF!</v>
      </c>
      <c r="H957" s="34" t="e">
        <f>IF(G957="","",VLOOKUP($B957,#REF!,7,FALSE))</f>
        <v>#REF!</v>
      </c>
      <c r="I957" s="25"/>
      <c r="J957" s="25"/>
      <c r="K957" s="25"/>
      <c r="L957" s="25"/>
      <c r="M957" s="25"/>
      <c r="N957" s="25"/>
      <c r="O957" s="33">
        <f t="shared" si="31"/>
        <v>0</v>
      </c>
      <c r="P957" s="25"/>
      <c r="Q957" s="25">
        <f t="shared" si="33"/>
        <v>0</v>
      </c>
      <c r="R957" s="39"/>
      <c r="S957" s="39"/>
      <c r="T957" s="39">
        <v>4</v>
      </c>
      <c r="U957" s="39"/>
      <c r="V957" s="39"/>
      <c r="W957" s="25"/>
      <c r="X957" s="33">
        <f t="shared" si="34"/>
        <v>4</v>
      </c>
      <c r="Y957" s="39"/>
      <c r="Z957" s="25">
        <f t="shared" si="32"/>
        <v>0</v>
      </c>
      <c r="AA957" s="45"/>
      <c r="AB957" s="45"/>
      <c r="AC957" s="45"/>
      <c r="AD957" s="45"/>
      <c r="AE957" s="45"/>
    </row>
    <row r="958" spans="1:31" s="12" customFormat="1" ht="12">
      <c r="A958" s="27">
        <v>45625</v>
      </c>
      <c r="B958" s="53" t="s">
        <v>161</v>
      </c>
      <c r="C958" s="37" t="e">
        <f>IF(B958="","",VLOOKUP($B958,#REF!,2,FALSE))</f>
        <v>#REF!</v>
      </c>
      <c r="D958" s="34" t="e">
        <f>IF(B958="","",VLOOKUP($B958,#REF!,3,FALSE))</f>
        <v>#REF!</v>
      </c>
      <c r="E958" s="34" t="e">
        <f>IF(B958="","",VLOOKUP($B958,#REF!,4,FALSE))</f>
        <v>#REF!</v>
      </c>
      <c r="F958" s="34" t="e">
        <f>IF(E958="","",VLOOKUP($B958,#REF!,5,FALSE))</f>
        <v>#REF!</v>
      </c>
      <c r="G958" s="34" t="e">
        <f>IF(F958="","",VLOOKUP($B958,#REF!,6,FALSE))</f>
        <v>#REF!</v>
      </c>
      <c r="H958" s="34" t="e">
        <f>IF(G958="","",VLOOKUP($B958,#REF!,7,FALSE))</f>
        <v>#REF!</v>
      </c>
      <c r="I958" s="25"/>
      <c r="J958" s="25"/>
      <c r="K958" s="25">
        <v>4</v>
      </c>
      <c r="L958" s="25"/>
      <c r="M958" s="25"/>
      <c r="N958" s="25"/>
      <c r="O958" s="33">
        <f t="shared" si="31"/>
        <v>4</v>
      </c>
      <c r="P958" s="25"/>
      <c r="Q958" s="25">
        <f t="shared" si="33"/>
        <v>0</v>
      </c>
      <c r="R958" s="39"/>
      <c r="S958" s="39"/>
      <c r="T958" s="39">
        <v>4</v>
      </c>
      <c r="U958" s="39"/>
      <c r="V958" s="39"/>
      <c r="W958" s="25"/>
      <c r="X958" s="33">
        <f t="shared" si="34"/>
        <v>4</v>
      </c>
      <c r="Y958" s="39">
        <v>44280</v>
      </c>
      <c r="Z958" s="25">
        <f t="shared" si="32"/>
        <v>177120</v>
      </c>
      <c r="AA958" s="45"/>
      <c r="AB958" s="45"/>
      <c r="AC958" s="45"/>
      <c r="AD958" s="45"/>
      <c r="AE958" s="45"/>
    </row>
    <row r="959" spans="1:31" s="12" customFormat="1" ht="12">
      <c r="A959" s="27">
        <v>45625</v>
      </c>
      <c r="B959" s="54" t="s">
        <v>152</v>
      </c>
      <c r="C959" s="37">
        <v>0</v>
      </c>
      <c r="D959" s="34" t="s">
        <v>180</v>
      </c>
      <c r="E959" s="34" t="e">
        <f>IF(B959="","",VLOOKUP($B959,#REF!,4,FALSE))</f>
        <v>#REF!</v>
      </c>
      <c r="F959" s="34" t="e">
        <f>IF(E959="","",VLOOKUP($B959,#REF!,5,FALSE))</f>
        <v>#REF!</v>
      </c>
      <c r="G959" s="34" t="e">
        <f>IF(F959="","",VLOOKUP($B959,#REF!,6,FALSE))</f>
        <v>#REF!</v>
      </c>
      <c r="H959" s="34" t="e">
        <f>IF(G959="","",VLOOKUP($B959,#REF!,7,FALSE))</f>
        <v>#REF!</v>
      </c>
      <c r="I959" s="25"/>
      <c r="J959" s="25"/>
      <c r="K959" s="25"/>
      <c r="L959" s="25"/>
      <c r="M959" s="25"/>
      <c r="N959" s="25"/>
      <c r="O959" s="33">
        <f t="shared" ref="O959:O1026" si="36">SUM(I959:N959)</f>
        <v>0</v>
      </c>
      <c r="P959" s="25"/>
      <c r="Q959" s="25">
        <f t="shared" si="33"/>
        <v>0</v>
      </c>
      <c r="R959" s="39"/>
      <c r="S959" s="39">
        <v>3</v>
      </c>
      <c r="T959" s="39"/>
      <c r="U959" s="39"/>
      <c r="V959" s="39"/>
      <c r="W959" s="25"/>
      <c r="X959" s="33">
        <f t="shared" si="34"/>
        <v>3</v>
      </c>
      <c r="Y959" s="39"/>
      <c r="Z959" s="25">
        <f t="shared" ref="Z959:Z1020" si="37">X959*Y959</f>
        <v>0</v>
      </c>
      <c r="AA959" s="45" t="s">
        <v>250</v>
      </c>
      <c r="AB959" s="45"/>
      <c r="AC959" s="45"/>
      <c r="AD959" s="45"/>
      <c r="AE959" s="45"/>
    </row>
    <row r="960" spans="1:31" s="12" customFormat="1" ht="12">
      <c r="A960" s="27">
        <v>45625</v>
      </c>
      <c r="B960" s="54" t="s">
        <v>153</v>
      </c>
      <c r="C960" s="37">
        <v>0</v>
      </c>
      <c r="D960" s="34" t="s">
        <v>180</v>
      </c>
      <c r="E960" s="34" t="e">
        <f>IF(B960="","",VLOOKUP($B960,#REF!,4,FALSE))</f>
        <v>#REF!</v>
      </c>
      <c r="F960" s="34" t="e">
        <f>IF(E960="","",VLOOKUP($B960,#REF!,5,FALSE))</f>
        <v>#REF!</v>
      </c>
      <c r="G960" s="34" t="e">
        <f>IF(F960="","",VLOOKUP($B960,#REF!,6,FALSE))</f>
        <v>#REF!</v>
      </c>
      <c r="H960" s="34" t="e">
        <f>IF(G960="","",VLOOKUP($B960,#REF!,7,FALSE))</f>
        <v>#REF!</v>
      </c>
      <c r="I960" s="25"/>
      <c r="J960" s="25"/>
      <c r="K960" s="25"/>
      <c r="L960" s="25"/>
      <c r="M960" s="25"/>
      <c r="N960" s="25"/>
      <c r="O960" s="33">
        <f t="shared" si="36"/>
        <v>0</v>
      </c>
      <c r="P960" s="25"/>
      <c r="Q960" s="25">
        <f t="shared" ref="Q960:Q1021" si="38">O960*P960</f>
        <v>0</v>
      </c>
      <c r="R960" s="39"/>
      <c r="S960" s="39">
        <v>3</v>
      </c>
      <c r="T960" s="39"/>
      <c r="U960" s="39"/>
      <c r="V960" s="39"/>
      <c r="W960" s="25"/>
      <c r="X960" s="33">
        <f t="shared" si="34"/>
        <v>3</v>
      </c>
      <c r="Y960" s="39"/>
      <c r="Z960" s="25">
        <f t="shared" si="37"/>
        <v>0</v>
      </c>
      <c r="AA960" s="45" t="s">
        <v>250</v>
      </c>
      <c r="AB960" s="45"/>
      <c r="AC960" s="45"/>
      <c r="AD960" s="45"/>
      <c r="AE960" s="45"/>
    </row>
    <row r="961" spans="1:31" s="12" customFormat="1" ht="12">
      <c r="A961" s="27">
        <v>45625</v>
      </c>
      <c r="B961" s="28" t="s">
        <v>77</v>
      </c>
      <c r="C961" s="37">
        <v>0</v>
      </c>
      <c r="D961" s="34" t="s">
        <v>180</v>
      </c>
      <c r="E961" s="34" t="e">
        <f>IF(B961="","",VLOOKUP($B961,#REF!,4,FALSE))</f>
        <v>#REF!</v>
      </c>
      <c r="F961" s="34" t="e">
        <f>IF(E961="","",VLOOKUP($B961,#REF!,5,FALSE))</f>
        <v>#REF!</v>
      </c>
      <c r="G961" s="34" t="e">
        <f>IF(F961="","",VLOOKUP($B961,#REF!,6,FALSE))</f>
        <v>#REF!</v>
      </c>
      <c r="H961" s="34" t="e">
        <f>IF(G961="","",VLOOKUP($B961,#REF!,7,FALSE))</f>
        <v>#REF!</v>
      </c>
      <c r="I961" s="25"/>
      <c r="J961" s="25"/>
      <c r="K961" s="25"/>
      <c r="L961" s="25"/>
      <c r="M961" s="25"/>
      <c r="N961" s="25"/>
      <c r="O961" s="33">
        <f t="shared" si="36"/>
        <v>0</v>
      </c>
      <c r="P961" s="25"/>
      <c r="Q961" s="25">
        <f t="shared" si="38"/>
        <v>0</v>
      </c>
      <c r="R961" s="39"/>
      <c r="S961" s="39"/>
      <c r="T961" s="39">
        <v>5</v>
      </c>
      <c r="U961" s="39"/>
      <c r="V961" s="39"/>
      <c r="W961" s="25"/>
      <c r="X961" s="33">
        <f t="shared" si="34"/>
        <v>5</v>
      </c>
      <c r="Y961" s="39"/>
      <c r="Z961" s="25">
        <f t="shared" si="37"/>
        <v>0</v>
      </c>
      <c r="AA961" s="45" t="s">
        <v>215</v>
      </c>
      <c r="AB961" s="45"/>
      <c r="AC961" s="45"/>
      <c r="AD961" s="45"/>
      <c r="AE961" s="45"/>
    </row>
    <row r="962" spans="1:31" s="12" customFormat="1" ht="12">
      <c r="A962" s="27">
        <v>45625</v>
      </c>
      <c r="B962" s="20" t="s">
        <v>81</v>
      </c>
      <c r="C962" s="37">
        <v>0</v>
      </c>
      <c r="D962" s="34" t="s">
        <v>180</v>
      </c>
      <c r="E962" s="34" t="e">
        <f>IF(B962="","",VLOOKUP($B962,#REF!,4,FALSE))</f>
        <v>#REF!</v>
      </c>
      <c r="F962" s="34" t="e">
        <f>IF(E962="","",VLOOKUP($B962,#REF!,5,FALSE))</f>
        <v>#REF!</v>
      </c>
      <c r="G962" s="34" t="e">
        <f>IF(F962="","",VLOOKUP($B962,#REF!,6,FALSE))</f>
        <v>#REF!</v>
      </c>
      <c r="H962" s="34" t="e">
        <f>IF(G962="","",VLOOKUP($B962,#REF!,7,FALSE))</f>
        <v>#REF!</v>
      </c>
      <c r="I962" s="25"/>
      <c r="J962" s="25"/>
      <c r="K962" s="25"/>
      <c r="L962" s="25"/>
      <c r="M962" s="25"/>
      <c r="N962" s="25"/>
      <c r="O962" s="33">
        <f t="shared" si="36"/>
        <v>0</v>
      </c>
      <c r="P962" s="25"/>
      <c r="Q962" s="25">
        <f t="shared" si="38"/>
        <v>0</v>
      </c>
      <c r="R962" s="39"/>
      <c r="S962" s="39"/>
      <c r="T962" s="39">
        <v>3</v>
      </c>
      <c r="U962" s="39"/>
      <c r="V962" s="39"/>
      <c r="W962" s="25"/>
      <c r="X962" s="33">
        <f t="shared" si="34"/>
        <v>3</v>
      </c>
      <c r="Y962" s="39"/>
      <c r="Z962" s="25">
        <f t="shared" si="37"/>
        <v>0</v>
      </c>
      <c r="AA962" s="45" t="s">
        <v>215</v>
      </c>
      <c r="AB962" s="45"/>
      <c r="AC962" s="45"/>
      <c r="AD962" s="45"/>
      <c r="AE962" s="45"/>
    </row>
    <row r="963" spans="1:31" s="12" customFormat="1" ht="12">
      <c r="A963" s="27">
        <v>45625</v>
      </c>
      <c r="B963" s="53" t="s">
        <v>241</v>
      </c>
      <c r="C963" s="37" t="s">
        <v>137</v>
      </c>
      <c r="D963" s="34" t="s">
        <v>182</v>
      </c>
      <c r="E963" s="34" t="e">
        <f>IF(B963="","",VLOOKUP($B963,#REF!,4,FALSE))</f>
        <v>#REF!</v>
      </c>
      <c r="F963" s="34" t="e">
        <f>IF(E963="","",VLOOKUP($B963,#REF!,5,FALSE))</f>
        <v>#REF!</v>
      </c>
      <c r="G963" s="34" t="e">
        <f>IF(F963="","",VLOOKUP($B963,#REF!,6,FALSE))</f>
        <v>#REF!</v>
      </c>
      <c r="H963" s="34" t="e">
        <f>IF(G963="","",VLOOKUP($B963,#REF!,7,FALSE))</f>
        <v>#REF!</v>
      </c>
      <c r="I963" s="25"/>
      <c r="J963" s="25"/>
      <c r="K963" s="25"/>
      <c r="L963" s="25"/>
      <c r="M963" s="25">
        <v>336</v>
      </c>
      <c r="N963" s="25"/>
      <c r="O963" s="33">
        <f t="shared" si="36"/>
        <v>336</v>
      </c>
      <c r="P963" s="25">
        <v>137250</v>
      </c>
      <c r="Q963" s="25">
        <f t="shared" si="38"/>
        <v>46116000</v>
      </c>
      <c r="R963" s="39"/>
      <c r="S963" s="39"/>
      <c r="T963" s="39"/>
      <c r="U963" s="39"/>
      <c r="V963" s="39"/>
      <c r="W963" s="25"/>
      <c r="X963" s="33">
        <f t="shared" si="34"/>
        <v>0</v>
      </c>
      <c r="Y963" s="39"/>
      <c r="Z963" s="25">
        <f t="shared" si="37"/>
        <v>0</v>
      </c>
      <c r="AA963" s="35" t="s">
        <v>137</v>
      </c>
      <c r="AB963" s="35" t="s">
        <v>138</v>
      </c>
      <c r="AC963" s="45"/>
      <c r="AD963" s="45"/>
      <c r="AE963" s="45"/>
    </row>
    <row r="964" spans="1:31" s="12" customFormat="1" ht="12">
      <c r="A964" s="68">
        <v>45625</v>
      </c>
      <c r="B964" s="77" t="s">
        <v>163</v>
      </c>
      <c r="C964" s="37" t="s">
        <v>136</v>
      </c>
      <c r="D964" s="34" t="s">
        <v>177</v>
      </c>
      <c r="E964" s="34" t="e">
        <f>IF(B964="","",VLOOKUP($B964,#REF!,4,FALSE))</f>
        <v>#REF!</v>
      </c>
      <c r="F964" s="34" t="e">
        <f>IF(E964="","",VLOOKUP($B964,#REF!,5,FALSE))</f>
        <v>#REF!</v>
      </c>
      <c r="G964" s="34" t="e">
        <f>IF(F964="","",VLOOKUP($B964,#REF!,6,FALSE))</f>
        <v>#REF!</v>
      </c>
      <c r="H964" s="34" t="e">
        <f>IF(G964="","",VLOOKUP($B964,#REF!,7,FALSE))</f>
        <v>#REF!</v>
      </c>
      <c r="I964" s="25"/>
      <c r="J964" s="25"/>
      <c r="K964" s="25"/>
      <c r="L964" s="25"/>
      <c r="M964" s="25"/>
      <c r="N964" s="25"/>
      <c r="O964" s="33">
        <f t="shared" si="36"/>
        <v>0</v>
      </c>
      <c r="P964" s="25"/>
      <c r="Q964" s="25">
        <f t="shared" si="38"/>
        <v>0</v>
      </c>
      <c r="R964" s="39"/>
      <c r="S964" s="39"/>
      <c r="T964" s="39">
        <v>1</v>
      </c>
      <c r="U964" s="39"/>
      <c r="V964" s="39"/>
      <c r="W964" s="25"/>
      <c r="X964" s="33">
        <f t="shared" si="34"/>
        <v>1</v>
      </c>
      <c r="Y964" s="39">
        <v>46400</v>
      </c>
      <c r="Z964" s="25">
        <f t="shared" si="37"/>
        <v>46400</v>
      </c>
      <c r="AA964" s="45" t="s">
        <v>136</v>
      </c>
      <c r="AB964" s="45" t="s">
        <v>177</v>
      </c>
      <c r="AC964" s="45"/>
      <c r="AD964" s="45"/>
      <c r="AE964" s="45"/>
    </row>
    <row r="965" spans="1:31" s="12" customFormat="1" ht="12">
      <c r="A965" s="27">
        <v>45625</v>
      </c>
      <c r="B965" s="75" t="s">
        <v>11</v>
      </c>
      <c r="C965" s="37" t="s">
        <v>136</v>
      </c>
      <c r="D965" s="34" t="s">
        <v>177</v>
      </c>
      <c r="E965" s="34" t="e">
        <f>IF(B965="","",VLOOKUP($B965,#REF!,4,FALSE))</f>
        <v>#REF!</v>
      </c>
      <c r="F965" s="34" t="e">
        <f>IF(E965="","",VLOOKUP($B965,#REF!,5,FALSE))</f>
        <v>#REF!</v>
      </c>
      <c r="G965" s="34" t="e">
        <f>IF(F965="","",VLOOKUP($B965,#REF!,6,FALSE))</f>
        <v>#REF!</v>
      </c>
      <c r="H965" s="34" t="e">
        <f>IF(G965="","",VLOOKUP($B965,#REF!,7,FALSE))</f>
        <v>#REF!</v>
      </c>
      <c r="I965" s="25"/>
      <c r="J965" s="25"/>
      <c r="K965" s="25"/>
      <c r="L965" s="25"/>
      <c r="M965" s="25"/>
      <c r="N965" s="25"/>
      <c r="O965" s="33">
        <f t="shared" si="36"/>
        <v>0</v>
      </c>
      <c r="P965" s="25"/>
      <c r="Q965" s="25">
        <f t="shared" si="38"/>
        <v>0</v>
      </c>
      <c r="R965" s="39"/>
      <c r="S965" s="39"/>
      <c r="T965" s="39">
        <v>2</v>
      </c>
      <c r="U965" s="39"/>
      <c r="V965" s="39"/>
      <c r="W965" s="25"/>
      <c r="X965" s="33">
        <f t="shared" si="34"/>
        <v>2</v>
      </c>
      <c r="Y965" s="39">
        <v>44000</v>
      </c>
      <c r="Z965" s="25">
        <f t="shared" si="37"/>
        <v>88000</v>
      </c>
      <c r="AA965" s="45" t="s">
        <v>136</v>
      </c>
      <c r="AB965" s="45" t="s">
        <v>177</v>
      </c>
      <c r="AC965" s="45"/>
      <c r="AD965" s="45"/>
      <c r="AE965" s="45"/>
    </row>
    <row r="966" spans="1:31" s="12" customFormat="1" ht="12">
      <c r="A966" s="27">
        <v>45625</v>
      </c>
      <c r="B966" s="53" t="s">
        <v>163</v>
      </c>
      <c r="C966" s="37" t="s">
        <v>135</v>
      </c>
      <c r="D966" s="34" t="s">
        <v>179</v>
      </c>
      <c r="E966" s="34" t="e">
        <f>IF(B966="","",VLOOKUP($B966,#REF!,4,FALSE))</f>
        <v>#REF!</v>
      </c>
      <c r="F966" s="34" t="e">
        <f>IF(E966="","",VLOOKUP($B966,#REF!,5,FALSE))</f>
        <v>#REF!</v>
      </c>
      <c r="G966" s="34" t="e">
        <f>IF(F966="","",VLOOKUP($B966,#REF!,6,FALSE))</f>
        <v>#REF!</v>
      </c>
      <c r="H966" s="34" t="e">
        <f>IF(G966="","",VLOOKUP($B966,#REF!,7,FALSE))</f>
        <v>#REF!</v>
      </c>
      <c r="I966" s="25"/>
      <c r="J966" s="25"/>
      <c r="K966" s="25"/>
      <c r="L966" s="25"/>
      <c r="M966" s="25"/>
      <c r="N966" s="25"/>
      <c r="O966" s="33">
        <f t="shared" si="36"/>
        <v>0</v>
      </c>
      <c r="P966" s="25"/>
      <c r="Q966" s="25">
        <f t="shared" si="38"/>
        <v>0</v>
      </c>
      <c r="R966" s="39"/>
      <c r="S966" s="39"/>
      <c r="T966" s="39">
        <v>1</v>
      </c>
      <c r="U966" s="39"/>
      <c r="V966" s="39"/>
      <c r="W966" s="25"/>
      <c r="X966" s="33">
        <f t="shared" si="34"/>
        <v>1</v>
      </c>
      <c r="Y966" s="39">
        <v>46400</v>
      </c>
      <c r="Z966" s="25">
        <f t="shared" si="37"/>
        <v>46400</v>
      </c>
      <c r="AA966" s="45" t="s">
        <v>135</v>
      </c>
      <c r="AB966" s="45" t="s">
        <v>179</v>
      </c>
      <c r="AC966" s="45"/>
      <c r="AD966" s="45"/>
      <c r="AE966" s="45"/>
    </row>
    <row r="967" spans="1:31" s="12" customFormat="1" ht="12">
      <c r="A967" s="27">
        <v>45625</v>
      </c>
      <c r="B967" s="53" t="s">
        <v>16</v>
      </c>
      <c r="C967" s="37">
        <v>0</v>
      </c>
      <c r="D967" s="34" t="s">
        <v>180</v>
      </c>
      <c r="E967" s="34" t="e">
        <f>IF(B967="","",VLOOKUP($B967,#REF!,4,FALSE))</f>
        <v>#REF!</v>
      </c>
      <c r="F967" s="34" t="e">
        <f>IF(E967="","",VLOOKUP($B967,#REF!,5,FALSE))</f>
        <v>#REF!</v>
      </c>
      <c r="G967" s="34" t="e">
        <f>IF(F967="","",VLOOKUP($B967,#REF!,6,FALSE))</f>
        <v>#REF!</v>
      </c>
      <c r="H967" s="34" t="e">
        <f>IF(G967="","",VLOOKUP($B967,#REF!,7,FALSE))</f>
        <v>#REF!</v>
      </c>
      <c r="I967" s="25"/>
      <c r="J967" s="25">
        <v>388</v>
      </c>
      <c r="K967" s="25"/>
      <c r="L967" s="25"/>
      <c r="M967" s="25"/>
      <c r="N967" s="25"/>
      <c r="O967" s="33">
        <f t="shared" si="36"/>
        <v>388</v>
      </c>
      <c r="P967" s="25"/>
      <c r="Q967" s="25">
        <f t="shared" si="38"/>
        <v>0</v>
      </c>
      <c r="R967" s="39"/>
      <c r="S967" s="39"/>
      <c r="T967" s="39"/>
      <c r="U967" s="39"/>
      <c r="V967" s="39"/>
      <c r="W967" s="25"/>
      <c r="X967" s="33">
        <f t="shared" si="34"/>
        <v>0</v>
      </c>
      <c r="Y967" s="39"/>
      <c r="Z967" s="25">
        <f t="shared" si="37"/>
        <v>0</v>
      </c>
      <c r="AA967" s="45"/>
      <c r="AB967" s="45"/>
      <c r="AC967" s="45"/>
      <c r="AD967" s="45"/>
      <c r="AE967" s="45"/>
    </row>
    <row r="968" spans="1:31" s="12" customFormat="1" ht="12">
      <c r="A968" s="27">
        <v>45625</v>
      </c>
      <c r="B968" s="28" t="s">
        <v>160</v>
      </c>
      <c r="C968" s="37">
        <v>0</v>
      </c>
      <c r="D968" s="34" t="s">
        <v>180</v>
      </c>
      <c r="E968" s="34" t="e">
        <f>IF(B968="","",VLOOKUP($B968,#REF!,4,FALSE))</f>
        <v>#REF!</v>
      </c>
      <c r="F968" s="34" t="e">
        <f>IF(E968="","",VLOOKUP($B968,#REF!,5,FALSE))</f>
        <v>#REF!</v>
      </c>
      <c r="G968" s="34" t="e">
        <f>IF(F968="","",VLOOKUP($B968,#REF!,6,FALSE))</f>
        <v>#REF!</v>
      </c>
      <c r="H968" s="34" t="e">
        <f>IF(G968="","",VLOOKUP($B968,#REF!,7,FALSE))</f>
        <v>#REF!</v>
      </c>
      <c r="I968" s="25"/>
      <c r="J968" s="25">
        <v>77</v>
      </c>
      <c r="K968" s="25"/>
      <c r="L968" s="25"/>
      <c r="M968" s="25"/>
      <c r="N968" s="25"/>
      <c r="O968" s="33">
        <f t="shared" si="36"/>
        <v>77</v>
      </c>
      <c r="P968" s="25"/>
      <c r="Q968" s="25">
        <f t="shared" si="38"/>
        <v>0</v>
      </c>
      <c r="R968" s="39"/>
      <c r="S968" s="39"/>
      <c r="T968" s="39"/>
      <c r="U968" s="39"/>
      <c r="V968" s="39"/>
      <c r="W968" s="25"/>
      <c r="X968" s="33">
        <f t="shared" si="34"/>
        <v>0</v>
      </c>
      <c r="Y968" s="39"/>
      <c r="Z968" s="25">
        <f t="shared" si="37"/>
        <v>0</v>
      </c>
      <c r="AA968" s="45"/>
      <c r="AB968" s="45"/>
      <c r="AC968" s="45"/>
      <c r="AD968" s="45"/>
      <c r="AE968" s="45"/>
    </row>
    <row r="969" spans="1:31" s="12" customFormat="1" ht="12">
      <c r="A969" s="27">
        <v>45625</v>
      </c>
      <c r="B969" s="53" t="s">
        <v>97</v>
      </c>
      <c r="C969" s="37">
        <v>0</v>
      </c>
      <c r="D969" s="34" t="s">
        <v>180</v>
      </c>
      <c r="E969" s="34" t="e">
        <f>IF(B969="","",VLOOKUP($B969,#REF!,4,FALSE))</f>
        <v>#REF!</v>
      </c>
      <c r="F969" s="34" t="e">
        <f>IF(E969="","",VLOOKUP($B969,#REF!,5,FALSE))</f>
        <v>#REF!</v>
      </c>
      <c r="G969" s="34" t="e">
        <f>IF(F969="","",VLOOKUP($B969,#REF!,6,FALSE))</f>
        <v>#REF!</v>
      </c>
      <c r="H969" s="34" t="e">
        <f>IF(G969="","",VLOOKUP($B969,#REF!,7,FALSE))</f>
        <v>#REF!</v>
      </c>
      <c r="I969" s="25">
        <v>326</v>
      </c>
      <c r="J969" s="25"/>
      <c r="K969" s="25"/>
      <c r="L969" s="25"/>
      <c r="M969" s="25"/>
      <c r="N969" s="25"/>
      <c r="O969" s="33">
        <f t="shared" si="36"/>
        <v>326</v>
      </c>
      <c r="P969" s="25"/>
      <c r="Q969" s="25">
        <f t="shared" si="38"/>
        <v>0</v>
      </c>
      <c r="R969" s="39"/>
      <c r="S969" s="39"/>
      <c r="T969" s="39"/>
      <c r="U969" s="39"/>
      <c r="V969" s="39"/>
      <c r="W969" s="25"/>
      <c r="X969" s="33">
        <f t="shared" si="34"/>
        <v>0</v>
      </c>
      <c r="Y969" s="39"/>
      <c r="Z969" s="25">
        <f t="shared" si="37"/>
        <v>0</v>
      </c>
      <c r="AA969" s="45"/>
      <c r="AB969" s="45"/>
      <c r="AC969" s="45"/>
      <c r="AD969" s="45"/>
      <c r="AE969" s="45"/>
    </row>
    <row r="970" spans="1:31" s="12" customFormat="1" ht="12">
      <c r="A970" s="27">
        <v>45625</v>
      </c>
      <c r="B970" s="53" t="s">
        <v>43</v>
      </c>
      <c r="C970" s="37">
        <v>0</v>
      </c>
      <c r="D970" s="34" t="s">
        <v>180</v>
      </c>
      <c r="E970" s="34" t="e">
        <f>IF(B970="","",VLOOKUP($B970,#REF!,4,FALSE))</f>
        <v>#REF!</v>
      </c>
      <c r="F970" s="34" t="e">
        <f>IF(E970="","",VLOOKUP($B970,#REF!,5,FALSE))</f>
        <v>#REF!</v>
      </c>
      <c r="G970" s="34" t="e">
        <f>IF(F970="","",VLOOKUP($B970,#REF!,6,FALSE))</f>
        <v>#REF!</v>
      </c>
      <c r="H970" s="34" t="e">
        <f>IF(G970="","",VLOOKUP($B970,#REF!,7,FALSE))</f>
        <v>#REF!</v>
      </c>
      <c r="I970" s="25"/>
      <c r="J970" s="25"/>
      <c r="K970" s="25"/>
      <c r="L970" s="25">
        <v>213</v>
      </c>
      <c r="M970" s="25"/>
      <c r="N970" s="25"/>
      <c r="O970" s="33">
        <f t="shared" si="36"/>
        <v>213</v>
      </c>
      <c r="P970" s="25"/>
      <c r="Q970" s="25">
        <f t="shared" si="38"/>
        <v>0</v>
      </c>
      <c r="R970" s="39"/>
      <c r="S970" s="39"/>
      <c r="T970" s="39"/>
      <c r="U970" s="39"/>
      <c r="V970" s="39"/>
      <c r="W970" s="25"/>
      <c r="X970" s="33">
        <f t="shared" si="34"/>
        <v>0</v>
      </c>
      <c r="Y970" s="39"/>
      <c r="Z970" s="25">
        <f t="shared" si="37"/>
        <v>0</v>
      </c>
      <c r="AA970" s="45"/>
      <c r="AB970" s="45"/>
      <c r="AC970" s="45"/>
      <c r="AD970" s="45"/>
      <c r="AE970" s="45"/>
    </row>
    <row r="971" spans="1:31" s="12" customFormat="1" ht="12">
      <c r="A971" s="27">
        <v>45625</v>
      </c>
      <c r="B971" s="75" t="s">
        <v>40</v>
      </c>
      <c r="C971" s="37">
        <v>0</v>
      </c>
      <c r="D971" s="34" t="s">
        <v>180</v>
      </c>
      <c r="E971" s="34" t="e">
        <f>IF(B971="","",VLOOKUP($B971,#REF!,4,FALSE))</f>
        <v>#REF!</v>
      </c>
      <c r="F971" s="34" t="e">
        <f>IF(E971="","",VLOOKUP($B971,#REF!,5,FALSE))</f>
        <v>#REF!</v>
      </c>
      <c r="G971" s="34" t="e">
        <f>IF(F971="","",VLOOKUP($B971,#REF!,6,FALSE))</f>
        <v>#REF!</v>
      </c>
      <c r="H971" s="34" t="e">
        <f>IF(G971="","",VLOOKUP($B971,#REF!,7,FALSE))</f>
        <v>#REF!</v>
      </c>
      <c r="I971" s="25"/>
      <c r="J971" s="25"/>
      <c r="K971" s="25"/>
      <c r="L971" s="25">
        <v>100</v>
      </c>
      <c r="M971" s="25"/>
      <c r="N971" s="25"/>
      <c r="O971" s="33">
        <f t="shared" si="36"/>
        <v>100</v>
      </c>
      <c r="P971" s="25"/>
      <c r="Q971" s="25">
        <f t="shared" si="38"/>
        <v>0</v>
      </c>
      <c r="R971" s="39"/>
      <c r="S971" s="39"/>
      <c r="T971" s="39"/>
      <c r="U971" s="39"/>
      <c r="V971" s="39"/>
      <c r="W971" s="25"/>
      <c r="X971" s="33">
        <f t="shared" si="34"/>
        <v>0</v>
      </c>
      <c r="Y971" s="39"/>
      <c r="Z971" s="25">
        <f t="shared" si="37"/>
        <v>0</v>
      </c>
      <c r="AA971" s="45"/>
      <c r="AB971" s="45"/>
      <c r="AC971" s="45"/>
      <c r="AD971" s="45"/>
      <c r="AE971" s="45"/>
    </row>
    <row r="972" spans="1:31" s="12" customFormat="1" ht="12">
      <c r="A972" s="27">
        <v>45625</v>
      </c>
      <c r="B972" s="53" t="s">
        <v>17</v>
      </c>
      <c r="C972" s="37">
        <v>0</v>
      </c>
      <c r="D972" s="34" t="s">
        <v>180</v>
      </c>
      <c r="E972" s="34" t="e">
        <f>IF(B972="","",VLOOKUP($B972,#REF!,4,FALSE))</f>
        <v>#REF!</v>
      </c>
      <c r="F972" s="34" t="e">
        <f>IF(E972="","",VLOOKUP($B972,#REF!,5,FALSE))</f>
        <v>#REF!</v>
      </c>
      <c r="G972" s="34" t="e">
        <f>IF(F972="","",VLOOKUP($B972,#REF!,6,FALSE))</f>
        <v>#REF!</v>
      </c>
      <c r="H972" s="34" t="e">
        <f>IF(G972="","",VLOOKUP($B972,#REF!,7,FALSE))</f>
        <v>#REF!</v>
      </c>
      <c r="I972" s="25"/>
      <c r="J972" s="25"/>
      <c r="K972" s="25"/>
      <c r="L972" s="25">
        <v>641</v>
      </c>
      <c r="M972" s="25"/>
      <c r="N972" s="25"/>
      <c r="O972" s="33">
        <f t="shared" si="36"/>
        <v>641</v>
      </c>
      <c r="P972" s="25"/>
      <c r="Q972" s="25">
        <f t="shared" si="38"/>
        <v>0</v>
      </c>
      <c r="R972" s="39"/>
      <c r="S972" s="39"/>
      <c r="T972" s="39"/>
      <c r="U972" s="39"/>
      <c r="V972" s="39"/>
      <c r="W972" s="25"/>
      <c r="X972" s="33">
        <f t="shared" si="34"/>
        <v>0</v>
      </c>
      <c r="Y972" s="39"/>
      <c r="Z972" s="25">
        <f t="shared" si="37"/>
        <v>0</v>
      </c>
      <c r="AA972" s="45"/>
      <c r="AB972" s="45"/>
      <c r="AC972" s="45"/>
      <c r="AD972" s="45"/>
      <c r="AE972" s="45"/>
    </row>
    <row r="973" spans="1:31" s="12" customFormat="1" ht="12">
      <c r="A973" s="27">
        <v>45625</v>
      </c>
      <c r="B973" s="53" t="s">
        <v>229</v>
      </c>
      <c r="C973" s="37">
        <v>0</v>
      </c>
      <c r="D973" s="34" t="s">
        <v>180</v>
      </c>
      <c r="E973" s="34" t="e">
        <f>IF(B973="","",VLOOKUP($B973,#REF!,4,FALSE))</f>
        <v>#REF!</v>
      </c>
      <c r="F973" s="34" t="e">
        <f>IF(E973="","",VLOOKUP($B973,#REF!,5,FALSE))</f>
        <v>#REF!</v>
      </c>
      <c r="G973" s="34" t="e">
        <f>IF(F973="","",VLOOKUP($B973,#REF!,6,FALSE))</f>
        <v>#REF!</v>
      </c>
      <c r="H973" s="34" t="e">
        <f>IF(G973="","",VLOOKUP($B973,#REF!,7,FALSE))</f>
        <v>#REF!</v>
      </c>
      <c r="I973" s="25"/>
      <c r="J973" s="25"/>
      <c r="K973" s="25"/>
      <c r="L973" s="25">
        <v>2247</v>
      </c>
      <c r="M973" s="25"/>
      <c r="N973" s="25"/>
      <c r="O973" s="33">
        <f t="shared" si="36"/>
        <v>2247</v>
      </c>
      <c r="P973" s="25"/>
      <c r="Q973" s="25">
        <f t="shared" si="38"/>
        <v>0</v>
      </c>
      <c r="R973" s="39"/>
      <c r="S973" s="39"/>
      <c r="T973" s="39"/>
      <c r="U973" s="39"/>
      <c r="V973" s="39"/>
      <c r="W973" s="25"/>
      <c r="X973" s="33">
        <f t="shared" si="34"/>
        <v>0</v>
      </c>
      <c r="Y973" s="39"/>
      <c r="Z973" s="25">
        <f t="shared" si="37"/>
        <v>0</v>
      </c>
      <c r="AA973" s="45"/>
      <c r="AB973" s="45"/>
      <c r="AC973" s="45"/>
      <c r="AD973" s="45"/>
      <c r="AE973" s="45"/>
    </row>
    <row r="974" spans="1:31" s="12" customFormat="1" ht="12">
      <c r="A974" s="27">
        <v>45625</v>
      </c>
      <c r="B974" s="53" t="s">
        <v>57</v>
      </c>
      <c r="C974" s="37">
        <v>0</v>
      </c>
      <c r="D974" s="34" t="s">
        <v>180</v>
      </c>
      <c r="E974" s="34" t="e">
        <f>IF(B974="","",VLOOKUP($B974,#REF!,4,FALSE))</f>
        <v>#REF!</v>
      </c>
      <c r="F974" s="34" t="e">
        <f>IF(E974="","",VLOOKUP($B974,#REF!,5,FALSE))</f>
        <v>#REF!</v>
      </c>
      <c r="G974" s="34" t="e">
        <f>IF(F974="","",VLOOKUP($B974,#REF!,6,FALSE))</f>
        <v>#REF!</v>
      </c>
      <c r="H974" s="34" t="e">
        <f>IF(G974="","",VLOOKUP($B974,#REF!,7,FALSE))</f>
        <v>#REF!</v>
      </c>
      <c r="I974" s="25"/>
      <c r="J974" s="25"/>
      <c r="K974" s="25"/>
      <c r="L974" s="25">
        <v>56</v>
      </c>
      <c r="M974" s="25"/>
      <c r="N974" s="25"/>
      <c r="O974" s="33">
        <f t="shared" si="36"/>
        <v>56</v>
      </c>
      <c r="P974" s="25"/>
      <c r="Q974" s="25">
        <f t="shared" si="38"/>
        <v>0</v>
      </c>
      <c r="R974" s="39"/>
      <c r="S974" s="39"/>
      <c r="T974" s="39"/>
      <c r="U974" s="39"/>
      <c r="V974" s="39"/>
      <c r="W974" s="25"/>
      <c r="X974" s="33">
        <f t="shared" si="34"/>
        <v>0</v>
      </c>
      <c r="Y974" s="39"/>
      <c r="Z974" s="25">
        <f t="shared" si="37"/>
        <v>0</v>
      </c>
      <c r="AA974" s="45"/>
      <c r="AB974" s="45"/>
      <c r="AC974" s="45"/>
      <c r="AD974" s="45"/>
      <c r="AE974" s="45"/>
    </row>
    <row r="975" spans="1:31" s="12" customFormat="1" ht="12">
      <c r="A975" s="27">
        <v>45625</v>
      </c>
      <c r="B975" s="53" t="s">
        <v>38</v>
      </c>
      <c r="C975" s="37">
        <v>0</v>
      </c>
      <c r="D975" s="34" t="s">
        <v>180</v>
      </c>
      <c r="E975" s="34" t="e">
        <f>IF(B975="","",VLOOKUP($B975,#REF!,4,FALSE))</f>
        <v>#REF!</v>
      </c>
      <c r="F975" s="34" t="e">
        <f>IF(E975="","",VLOOKUP($B975,#REF!,5,FALSE))</f>
        <v>#REF!</v>
      </c>
      <c r="G975" s="34" t="e">
        <f>IF(F975="","",VLOOKUP($B975,#REF!,6,FALSE))</f>
        <v>#REF!</v>
      </c>
      <c r="H975" s="34" t="e">
        <f>IF(G975="","",VLOOKUP($B975,#REF!,7,FALSE))</f>
        <v>#REF!</v>
      </c>
      <c r="I975" s="25"/>
      <c r="J975" s="25"/>
      <c r="K975" s="25">
        <v>20</v>
      </c>
      <c r="L975" s="25"/>
      <c r="M975" s="25"/>
      <c r="N975" s="25"/>
      <c r="O975" s="33">
        <f t="shared" si="36"/>
        <v>20</v>
      </c>
      <c r="P975" s="25"/>
      <c r="Q975" s="25">
        <f t="shared" si="38"/>
        <v>0</v>
      </c>
      <c r="R975" s="39"/>
      <c r="S975" s="39"/>
      <c r="T975" s="39"/>
      <c r="U975" s="39"/>
      <c r="V975" s="39"/>
      <c r="W975" s="25"/>
      <c r="X975" s="33">
        <f t="shared" si="34"/>
        <v>0</v>
      </c>
      <c r="Y975" s="39"/>
      <c r="Z975" s="25">
        <f t="shared" si="37"/>
        <v>0</v>
      </c>
      <c r="AA975" s="45"/>
      <c r="AB975" s="45"/>
      <c r="AC975" s="45"/>
      <c r="AD975" s="45"/>
      <c r="AE975" s="45"/>
    </row>
    <row r="976" spans="1:31" s="12" customFormat="1" ht="12">
      <c r="A976" s="27">
        <v>45626</v>
      </c>
      <c r="B976" s="28" t="s">
        <v>24</v>
      </c>
      <c r="C976" s="37" t="e">
        <f>IF(B976="","",VLOOKUP($B976,#REF!,2,FALSE))</f>
        <v>#REF!</v>
      </c>
      <c r="D976" s="34" t="e">
        <f>IF(B976="","",VLOOKUP($B976,#REF!,3,FALSE))</f>
        <v>#REF!</v>
      </c>
      <c r="E976" s="34" t="e">
        <f>IF(B976="","",VLOOKUP($B976,#REF!,4,FALSE))</f>
        <v>#REF!</v>
      </c>
      <c r="F976" s="34" t="e">
        <f>IF(E976="","",VLOOKUP($B976,#REF!,5,FALSE))</f>
        <v>#REF!</v>
      </c>
      <c r="G976" s="34" t="e">
        <f>IF(F976="","",VLOOKUP($B976,#REF!,6,FALSE))</f>
        <v>#REF!</v>
      </c>
      <c r="H976" s="34" t="e">
        <f>IF(G976="","",VLOOKUP($B976,#REF!,7,FALSE))</f>
        <v>#REF!</v>
      </c>
      <c r="I976" s="25"/>
      <c r="J976" s="25"/>
      <c r="K976" s="25"/>
      <c r="L976" s="25"/>
      <c r="M976" s="25"/>
      <c r="N976" s="25"/>
      <c r="O976" s="33">
        <f>SUM(I976:N976)</f>
        <v>0</v>
      </c>
      <c r="P976" s="25"/>
      <c r="Q976" s="25">
        <f t="shared" si="38"/>
        <v>0</v>
      </c>
      <c r="R976" s="39"/>
      <c r="S976" s="39"/>
      <c r="T976" s="39"/>
      <c r="U976" s="39"/>
      <c r="V976" s="39">
        <v>120</v>
      </c>
      <c r="W976" s="25"/>
      <c r="X976" s="33">
        <f>SUM(R976:W976)</f>
        <v>120</v>
      </c>
      <c r="Y976" s="39">
        <v>124920</v>
      </c>
      <c r="Z976" s="25">
        <f t="shared" si="37"/>
        <v>14990400</v>
      </c>
      <c r="AA976" s="45"/>
      <c r="AB976" s="45"/>
      <c r="AC976" s="45"/>
      <c r="AD976" s="45"/>
      <c r="AE976" s="45"/>
    </row>
    <row r="977" spans="1:31" s="12" customFormat="1" ht="12">
      <c r="A977" s="27">
        <v>45626</v>
      </c>
      <c r="B977" s="28" t="s">
        <v>160</v>
      </c>
      <c r="C977" s="37" t="e">
        <f>IF(B977="","",VLOOKUP($B977,#REF!,2,FALSE))</f>
        <v>#REF!</v>
      </c>
      <c r="D977" s="34" t="e">
        <f>IF(B977="","",VLOOKUP($B977,#REF!,3,FALSE))</f>
        <v>#REF!</v>
      </c>
      <c r="E977" s="34" t="e">
        <f>IF(B977="","",VLOOKUP($B977,#REF!,4,FALSE))</f>
        <v>#REF!</v>
      </c>
      <c r="F977" s="34" t="e">
        <f>IF(E977="","",VLOOKUP($B977,#REF!,5,FALSE))</f>
        <v>#REF!</v>
      </c>
      <c r="G977" s="34" t="e">
        <f>IF(F977="","",VLOOKUP($B977,#REF!,6,FALSE))</f>
        <v>#REF!</v>
      </c>
      <c r="H977" s="34" t="e">
        <f>IF(G977="","",VLOOKUP($B977,#REF!,7,FALSE))</f>
        <v>#REF!</v>
      </c>
      <c r="I977" s="25"/>
      <c r="J977" s="25"/>
      <c r="K977" s="25"/>
      <c r="L977" s="25"/>
      <c r="M977" s="25"/>
      <c r="N977" s="25"/>
      <c r="O977" s="33">
        <f>SUM(I977:N977)</f>
        <v>0</v>
      </c>
      <c r="P977" s="25"/>
      <c r="Q977" s="25">
        <f t="shared" si="38"/>
        <v>0</v>
      </c>
      <c r="R977" s="39"/>
      <c r="S977" s="39"/>
      <c r="T977" s="39"/>
      <c r="U977" s="39"/>
      <c r="V977" s="39">
        <v>120</v>
      </c>
      <c r="W977" s="25"/>
      <c r="X977" s="33">
        <f>SUM(R977:W977)</f>
        <v>120</v>
      </c>
      <c r="Y977" s="39">
        <v>100300</v>
      </c>
      <c r="Z977" s="25">
        <f t="shared" si="37"/>
        <v>12036000</v>
      </c>
      <c r="AA977" s="45"/>
      <c r="AB977" s="45"/>
      <c r="AC977" s="45"/>
      <c r="AD977" s="45"/>
      <c r="AE977" s="45"/>
    </row>
    <row r="978" spans="1:31" s="12" customFormat="1" ht="12">
      <c r="A978" s="27">
        <v>45626</v>
      </c>
      <c r="B978" s="53" t="s">
        <v>211</v>
      </c>
      <c r="C978" s="37" t="e">
        <f>IF(B978="","",VLOOKUP($B978,#REF!,2,FALSE))</f>
        <v>#REF!</v>
      </c>
      <c r="D978" s="34" t="e">
        <f>IF(B978="","",VLOOKUP($B978,#REF!,3,FALSE))</f>
        <v>#REF!</v>
      </c>
      <c r="E978" s="34" t="e">
        <f>IF(B978="","",VLOOKUP($B978,#REF!,4,FALSE))</f>
        <v>#REF!</v>
      </c>
      <c r="F978" s="34" t="e">
        <f>IF(E978="","",VLOOKUP($B978,#REF!,5,FALSE))</f>
        <v>#REF!</v>
      </c>
      <c r="G978" s="34" t="e">
        <f>IF(F978="","",VLOOKUP($B978,#REF!,6,FALSE))</f>
        <v>#REF!</v>
      </c>
      <c r="H978" s="34" t="e">
        <f>IF(G978="","",VLOOKUP($B978,#REF!,7,FALSE))</f>
        <v>#REF!</v>
      </c>
      <c r="I978" s="25"/>
      <c r="J978" s="25"/>
      <c r="K978" s="25"/>
      <c r="L978" s="25"/>
      <c r="M978" s="25"/>
      <c r="N978" s="25"/>
      <c r="O978" s="33">
        <f t="shared" si="36"/>
        <v>0</v>
      </c>
      <c r="P978" s="25"/>
      <c r="Q978" s="25">
        <f t="shared" si="38"/>
        <v>0</v>
      </c>
      <c r="R978" s="39"/>
      <c r="S978" s="39"/>
      <c r="T978" s="39"/>
      <c r="U978" s="39"/>
      <c r="V978" s="39">
        <v>156</v>
      </c>
      <c r="W978" s="25"/>
      <c r="X978" s="33">
        <f t="shared" si="34"/>
        <v>156</v>
      </c>
      <c r="Y978" s="39">
        <v>46020</v>
      </c>
      <c r="Z978" s="25">
        <f t="shared" si="37"/>
        <v>7179120</v>
      </c>
      <c r="AA978" s="45"/>
      <c r="AB978" s="45"/>
      <c r="AC978" s="45"/>
      <c r="AD978" s="45"/>
      <c r="AE978" s="45"/>
    </row>
    <row r="979" spans="1:31" s="12" customFormat="1" ht="12">
      <c r="A979" s="27">
        <v>45626</v>
      </c>
      <c r="B979" s="53" t="s">
        <v>160</v>
      </c>
      <c r="C979" s="37" t="e">
        <f>IF(B979="","",VLOOKUP($B979,#REF!,2,FALSE))</f>
        <v>#REF!</v>
      </c>
      <c r="D979" s="34" t="e">
        <f>IF(B979="","",VLOOKUP($B979,#REF!,3,FALSE))</f>
        <v>#REF!</v>
      </c>
      <c r="E979" s="34" t="e">
        <f>IF(B979="","",VLOOKUP($B979,#REF!,4,FALSE))</f>
        <v>#REF!</v>
      </c>
      <c r="F979" s="34" t="e">
        <f>IF(E979="","",VLOOKUP($B979,#REF!,5,FALSE))</f>
        <v>#REF!</v>
      </c>
      <c r="G979" s="34" t="e">
        <f>IF(F979="","",VLOOKUP($B979,#REF!,6,FALSE))</f>
        <v>#REF!</v>
      </c>
      <c r="H979" s="34" t="e">
        <f>IF(G979="","",VLOOKUP($B979,#REF!,7,FALSE))</f>
        <v>#REF!</v>
      </c>
      <c r="I979" s="25"/>
      <c r="J979" s="25"/>
      <c r="K979" s="25"/>
      <c r="L979" s="25"/>
      <c r="M979" s="25"/>
      <c r="N979" s="25"/>
      <c r="O979" s="33">
        <f t="shared" si="36"/>
        <v>0</v>
      </c>
      <c r="P979" s="25"/>
      <c r="Q979" s="25">
        <f t="shared" si="38"/>
        <v>0</v>
      </c>
      <c r="R979" s="39"/>
      <c r="S979" s="39"/>
      <c r="T979" s="39"/>
      <c r="U979" s="39"/>
      <c r="V979" s="39">
        <v>60</v>
      </c>
      <c r="W979" s="25"/>
      <c r="X979" s="33">
        <f t="shared" si="34"/>
        <v>60</v>
      </c>
      <c r="Y979" s="39">
        <v>100300</v>
      </c>
      <c r="Z979" s="25">
        <f t="shared" si="37"/>
        <v>6018000</v>
      </c>
      <c r="AA979" s="45"/>
      <c r="AB979" s="45"/>
      <c r="AC979" s="45"/>
      <c r="AD979" s="45"/>
      <c r="AE979" s="45"/>
    </row>
    <row r="980" spans="1:31" s="12" customFormat="1" ht="12">
      <c r="A980" s="27">
        <v>45626</v>
      </c>
      <c r="B980" s="28" t="s">
        <v>24</v>
      </c>
      <c r="C980" s="37" t="e">
        <f>IF(B980="","",VLOOKUP($B980,#REF!,2,FALSE))</f>
        <v>#REF!</v>
      </c>
      <c r="D980" s="34" t="e">
        <f>IF(B980="","",VLOOKUP($B980,#REF!,3,FALSE))</f>
        <v>#REF!</v>
      </c>
      <c r="E980" s="34" t="e">
        <f>IF(B980="","",VLOOKUP($B980,#REF!,4,FALSE))</f>
        <v>#REF!</v>
      </c>
      <c r="F980" s="34" t="e">
        <f>IF(E980="","",VLOOKUP($B980,#REF!,5,FALSE))</f>
        <v>#REF!</v>
      </c>
      <c r="G980" s="34" t="e">
        <f>IF(F980="","",VLOOKUP($B980,#REF!,6,FALSE))</f>
        <v>#REF!</v>
      </c>
      <c r="H980" s="34" t="e">
        <f>IF(G980="","",VLOOKUP($B980,#REF!,7,FALSE))</f>
        <v>#REF!</v>
      </c>
      <c r="I980" s="25"/>
      <c r="J980" s="25"/>
      <c r="K980" s="25"/>
      <c r="L980" s="25"/>
      <c r="M980" s="25"/>
      <c r="N980" s="25"/>
      <c r="O980" s="33">
        <f t="shared" si="36"/>
        <v>0</v>
      </c>
      <c r="P980" s="25"/>
      <c r="Q980" s="25">
        <f t="shared" si="38"/>
        <v>0</v>
      </c>
      <c r="R980" s="39"/>
      <c r="S980" s="39"/>
      <c r="T980" s="39"/>
      <c r="U980" s="39"/>
      <c r="V980" s="39">
        <v>144</v>
      </c>
      <c r="W980" s="25"/>
      <c r="X980" s="33">
        <f t="shared" si="34"/>
        <v>144</v>
      </c>
      <c r="Y980" s="39">
        <v>124920</v>
      </c>
      <c r="Z980" s="25">
        <f t="shared" si="37"/>
        <v>17988480</v>
      </c>
      <c r="AA980" s="45"/>
      <c r="AB980" s="45"/>
      <c r="AC980" s="45"/>
      <c r="AD980" s="45"/>
      <c r="AE980" s="45"/>
    </row>
    <row r="981" spans="1:31" s="12" customFormat="1" ht="12">
      <c r="A981" s="27">
        <v>45626</v>
      </c>
      <c r="B981" s="28" t="s">
        <v>211</v>
      </c>
      <c r="C981" s="37" t="e">
        <f>IF(B981="","",VLOOKUP($B981,#REF!,2,FALSE))</f>
        <v>#REF!</v>
      </c>
      <c r="D981" s="34" t="e">
        <f>IF(B981="","",VLOOKUP($B981,#REF!,3,FALSE))</f>
        <v>#REF!</v>
      </c>
      <c r="E981" s="34" t="e">
        <f>IF(B981="","",VLOOKUP($B981,#REF!,4,FALSE))</f>
        <v>#REF!</v>
      </c>
      <c r="F981" s="34" t="e">
        <f>IF(E981="","",VLOOKUP($B981,#REF!,5,FALSE))</f>
        <v>#REF!</v>
      </c>
      <c r="G981" s="34" t="e">
        <f>IF(F981="","",VLOOKUP($B981,#REF!,6,FALSE))</f>
        <v>#REF!</v>
      </c>
      <c r="H981" s="34" t="e">
        <f>IF(G981="","",VLOOKUP($B981,#REF!,7,FALSE))</f>
        <v>#REF!</v>
      </c>
      <c r="I981" s="25"/>
      <c r="J981" s="25"/>
      <c r="K981" s="25"/>
      <c r="L981" s="25"/>
      <c r="M981" s="25"/>
      <c r="N981" s="25"/>
      <c r="O981" s="33">
        <f t="shared" si="36"/>
        <v>0</v>
      </c>
      <c r="P981" s="25"/>
      <c r="Q981" s="25">
        <f t="shared" si="38"/>
        <v>0</v>
      </c>
      <c r="R981" s="39"/>
      <c r="S981" s="39"/>
      <c r="T981" s="39"/>
      <c r="U981" s="39"/>
      <c r="V981" s="39">
        <v>192</v>
      </c>
      <c r="W981" s="25"/>
      <c r="X981" s="33">
        <f t="shared" si="34"/>
        <v>192</v>
      </c>
      <c r="Y981" s="39">
        <v>46020</v>
      </c>
      <c r="Z981" s="25">
        <f t="shared" si="37"/>
        <v>8835840</v>
      </c>
      <c r="AA981" s="45"/>
      <c r="AB981" s="45"/>
      <c r="AC981" s="45"/>
      <c r="AD981" s="45"/>
      <c r="AE981" s="45"/>
    </row>
    <row r="982" spans="1:31" s="12" customFormat="1" ht="12">
      <c r="A982" s="27">
        <v>45626</v>
      </c>
      <c r="B982" s="53" t="s">
        <v>47</v>
      </c>
      <c r="C982" s="37" t="e">
        <f>IF(B982="","",VLOOKUP($B982,#REF!,2,FALSE))</f>
        <v>#REF!</v>
      </c>
      <c r="D982" s="34" t="e">
        <f>IF(B982="","",VLOOKUP($B982,#REF!,3,FALSE))</f>
        <v>#REF!</v>
      </c>
      <c r="E982" s="34" t="e">
        <f>IF(B982="","",VLOOKUP($B982,#REF!,4,FALSE))</f>
        <v>#REF!</v>
      </c>
      <c r="F982" s="34" t="e">
        <f>IF(E982="","",VLOOKUP($B982,#REF!,5,FALSE))</f>
        <v>#REF!</v>
      </c>
      <c r="G982" s="34" t="e">
        <f>IF(F982="","",VLOOKUP($B982,#REF!,6,FALSE))</f>
        <v>#REF!</v>
      </c>
      <c r="H982" s="34" t="e">
        <f>IF(G982="","",VLOOKUP($B982,#REF!,7,FALSE))</f>
        <v>#REF!</v>
      </c>
      <c r="I982" s="25"/>
      <c r="J982" s="25"/>
      <c r="K982" s="25"/>
      <c r="L982" s="25"/>
      <c r="M982" s="25"/>
      <c r="N982" s="25"/>
      <c r="O982" s="33">
        <f t="shared" si="36"/>
        <v>0</v>
      </c>
      <c r="P982" s="25"/>
      <c r="Q982" s="25">
        <f t="shared" si="38"/>
        <v>0</v>
      </c>
      <c r="R982" s="39"/>
      <c r="S982" s="39"/>
      <c r="T982" s="39"/>
      <c r="U982" s="39"/>
      <c r="V982" s="39">
        <v>56</v>
      </c>
      <c r="W982" s="25"/>
      <c r="X982" s="33">
        <f t="shared" si="34"/>
        <v>56</v>
      </c>
      <c r="Y982" s="39">
        <v>18860</v>
      </c>
      <c r="Z982" s="25">
        <f t="shared" si="37"/>
        <v>1056160</v>
      </c>
      <c r="AA982" s="45"/>
      <c r="AB982" s="45"/>
      <c r="AC982" s="45"/>
      <c r="AD982" s="45"/>
      <c r="AE982" s="45"/>
    </row>
    <row r="983" spans="1:31" s="12" customFormat="1" ht="12">
      <c r="A983" s="27">
        <v>45626</v>
      </c>
      <c r="B983" s="53" t="s">
        <v>21</v>
      </c>
      <c r="C983" s="37" t="e">
        <f>IF(B983="","",VLOOKUP($B983,#REF!,2,FALSE))</f>
        <v>#REF!</v>
      </c>
      <c r="D983" s="34" t="e">
        <f>IF(B983="","",VLOOKUP($B983,#REF!,3,FALSE))</f>
        <v>#REF!</v>
      </c>
      <c r="E983" s="34" t="e">
        <f>IF(B983="","",VLOOKUP($B983,#REF!,4,FALSE))</f>
        <v>#REF!</v>
      </c>
      <c r="F983" s="34" t="e">
        <f>IF(E983="","",VLOOKUP($B983,#REF!,5,FALSE))</f>
        <v>#REF!</v>
      </c>
      <c r="G983" s="34" t="e">
        <f>IF(F983="","",VLOOKUP($B983,#REF!,6,FALSE))</f>
        <v>#REF!</v>
      </c>
      <c r="H983" s="34" t="e">
        <f>IF(G983="","",VLOOKUP($B983,#REF!,7,FALSE))</f>
        <v>#REF!</v>
      </c>
      <c r="I983" s="25"/>
      <c r="J983" s="25"/>
      <c r="K983" s="25"/>
      <c r="L983" s="25"/>
      <c r="M983" s="25"/>
      <c r="N983" s="25"/>
      <c r="O983" s="33">
        <f t="shared" si="36"/>
        <v>0</v>
      </c>
      <c r="P983" s="25"/>
      <c r="Q983" s="25">
        <f t="shared" si="38"/>
        <v>0</v>
      </c>
      <c r="R983" s="39"/>
      <c r="S983" s="39"/>
      <c r="T983" s="39"/>
      <c r="U983" s="39"/>
      <c r="V983" s="39">
        <v>12</v>
      </c>
      <c r="W983" s="25"/>
      <c r="X983" s="33">
        <f t="shared" si="34"/>
        <v>12</v>
      </c>
      <c r="Y983" s="39">
        <v>80400</v>
      </c>
      <c r="Z983" s="25">
        <f t="shared" si="37"/>
        <v>964800</v>
      </c>
      <c r="AA983" s="45"/>
      <c r="AB983" s="45"/>
      <c r="AC983" s="45"/>
      <c r="AD983" s="45"/>
      <c r="AE983" s="45"/>
    </row>
    <row r="984" spans="1:31" s="12" customFormat="1" ht="12">
      <c r="A984" s="27">
        <v>45626</v>
      </c>
      <c r="B984" s="73" t="s">
        <v>160</v>
      </c>
      <c r="C984" s="37" t="e">
        <f>IF(B984="","",VLOOKUP($B984,#REF!,2,FALSE))</f>
        <v>#REF!</v>
      </c>
      <c r="D984" s="34" t="e">
        <f>IF(B984="","",VLOOKUP($B984,#REF!,3,FALSE))</f>
        <v>#REF!</v>
      </c>
      <c r="E984" s="34" t="e">
        <f>IF(B984="","",VLOOKUP($B984,#REF!,4,FALSE))</f>
        <v>#REF!</v>
      </c>
      <c r="F984" s="34" t="e">
        <f>IF(E984="","",VLOOKUP($B984,#REF!,5,FALSE))</f>
        <v>#REF!</v>
      </c>
      <c r="G984" s="34" t="e">
        <f>IF(F984="","",VLOOKUP($B984,#REF!,6,FALSE))</f>
        <v>#REF!</v>
      </c>
      <c r="H984" s="34" t="e">
        <f>IF(G984="","",VLOOKUP($B984,#REF!,7,FALSE))</f>
        <v>#REF!</v>
      </c>
      <c r="I984" s="25"/>
      <c r="J984" s="25"/>
      <c r="K984" s="25"/>
      <c r="L984" s="25"/>
      <c r="M984" s="25"/>
      <c r="N984" s="25"/>
      <c r="O984" s="33">
        <f>SUM(I984:N984)</f>
        <v>0</v>
      </c>
      <c r="P984" s="25"/>
      <c r="Q984" s="25">
        <f t="shared" si="38"/>
        <v>0</v>
      </c>
      <c r="R984" s="39"/>
      <c r="S984" s="39"/>
      <c r="T984" s="39"/>
      <c r="U984" s="39"/>
      <c r="V984" s="39">
        <v>12</v>
      </c>
      <c r="W984" s="25"/>
      <c r="X984" s="33">
        <f t="shared" si="34"/>
        <v>12</v>
      </c>
      <c r="Y984" s="39">
        <v>97900</v>
      </c>
      <c r="Z984" s="25">
        <f t="shared" si="37"/>
        <v>1174800</v>
      </c>
      <c r="AA984" s="45"/>
      <c r="AB984" s="45"/>
      <c r="AC984" s="45"/>
      <c r="AD984" s="45"/>
      <c r="AE984" s="45"/>
    </row>
    <row r="985" spans="1:31" s="12" customFormat="1" ht="12">
      <c r="A985" s="27">
        <v>45626</v>
      </c>
      <c r="B985" s="53" t="s">
        <v>47</v>
      </c>
      <c r="C985" s="37" t="e">
        <f>IF(B985="","",VLOOKUP($B985,#REF!,2,FALSE))</f>
        <v>#REF!</v>
      </c>
      <c r="D985" s="34" t="e">
        <f>IF(B985="","",VLOOKUP($B985,#REF!,3,FALSE))</f>
        <v>#REF!</v>
      </c>
      <c r="E985" s="34" t="e">
        <f>IF(B985="","",VLOOKUP($B985,#REF!,4,FALSE))</f>
        <v>#REF!</v>
      </c>
      <c r="F985" s="34" t="e">
        <f>IF(E985="","",VLOOKUP($B985,#REF!,5,FALSE))</f>
        <v>#REF!</v>
      </c>
      <c r="G985" s="34" t="e">
        <f>IF(F985="","",VLOOKUP($B985,#REF!,6,FALSE))</f>
        <v>#REF!</v>
      </c>
      <c r="H985" s="34" t="e">
        <f>IF(G985="","",VLOOKUP($B985,#REF!,7,FALSE))</f>
        <v>#REF!</v>
      </c>
      <c r="I985" s="25"/>
      <c r="J985" s="25"/>
      <c r="K985" s="25"/>
      <c r="L985" s="25"/>
      <c r="M985" s="25"/>
      <c r="N985" s="25"/>
      <c r="O985" s="33">
        <f>SUM(I985:N985)</f>
        <v>0</v>
      </c>
      <c r="P985" s="25"/>
      <c r="Q985" s="25">
        <f t="shared" si="38"/>
        <v>0</v>
      </c>
      <c r="R985" s="39"/>
      <c r="S985" s="39"/>
      <c r="T985" s="39"/>
      <c r="U985" s="39"/>
      <c r="V985" s="39">
        <v>56</v>
      </c>
      <c r="W985" s="25"/>
      <c r="X985" s="33">
        <f t="shared" si="34"/>
        <v>56</v>
      </c>
      <c r="Y985" s="39">
        <v>18860</v>
      </c>
      <c r="Z985" s="25">
        <f t="shared" si="37"/>
        <v>1056160</v>
      </c>
      <c r="AA985" s="45"/>
      <c r="AB985" s="45"/>
      <c r="AC985" s="45"/>
      <c r="AD985" s="45"/>
      <c r="AE985" s="45"/>
    </row>
    <row r="986" spans="1:31" s="12" customFormat="1" ht="12">
      <c r="A986" s="69">
        <v>45626</v>
      </c>
      <c r="B986" s="70"/>
      <c r="C986" s="48" t="s">
        <v>84</v>
      </c>
      <c r="D986" s="48" t="s">
        <v>184</v>
      </c>
      <c r="E986" s="48" t="s">
        <v>235</v>
      </c>
      <c r="F986" s="71"/>
      <c r="G986" s="71"/>
      <c r="H986" s="71" t="str">
        <f>IF(G986="","",VLOOKUP($B986,'[2]품번코드 마스터'!$A$3:$G$1048576,7,FALSE))</f>
        <v/>
      </c>
      <c r="I986" s="72"/>
      <c r="J986" s="72"/>
      <c r="K986" s="72"/>
      <c r="L986" s="72"/>
      <c r="M986" s="72"/>
      <c r="N986" s="72"/>
      <c r="O986" s="72">
        <f>SUM(I986:N986)</f>
        <v>0</v>
      </c>
      <c r="P986" s="72"/>
      <c r="Q986" s="72">
        <f>(J986*P986)+(M986*P986)</f>
        <v>0</v>
      </c>
      <c r="R986" s="72"/>
      <c r="S986" s="72"/>
      <c r="T986" s="72"/>
      <c r="U986" s="72"/>
      <c r="V986" s="72"/>
      <c r="W986" s="72"/>
      <c r="X986" s="72">
        <f>SUM(R986:W986)</f>
        <v>0</v>
      </c>
      <c r="Y986" s="72"/>
      <c r="Z986" s="72">
        <v>-374850</v>
      </c>
      <c r="AA986" s="45"/>
      <c r="AB986" s="45"/>
      <c r="AC986" s="45"/>
      <c r="AD986" s="45"/>
      <c r="AE986" s="45"/>
    </row>
    <row r="987" spans="1:31" s="12" customFormat="1" ht="12" customHeight="1">
      <c r="A987" s="78"/>
      <c r="B987" s="53"/>
      <c r="C987" s="37" t="str">
        <f>IF(B987="","",VLOOKUP($B987,#REF!,2,FALSE))</f>
        <v/>
      </c>
      <c r="D987" s="34" t="str">
        <f>IF(B987="","",VLOOKUP($B987,#REF!,3,FALSE))</f>
        <v/>
      </c>
      <c r="E987" s="34" t="str">
        <f>IF(B987="","",VLOOKUP($B987,#REF!,4,FALSE))</f>
        <v/>
      </c>
      <c r="F987" s="34" t="str">
        <f>IF(E987="","",VLOOKUP($B987,#REF!,5,FALSE))</f>
        <v/>
      </c>
      <c r="G987" s="34" t="str">
        <f>IF(F987="","",VLOOKUP($B987,#REF!,6,FALSE))</f>
        <v/>
      </c>
      <c r="H987" s="34" t="str">
        <f>IF(G987="","",VLOOKUP($B987,#REF!,7,FALSE))</f>
        <v/>
      </c>
      <c r="I987" s="25"/>
      <c r="J987" s="25"/>
      <c r="K987" s="25"/>
      <c r="L987" s="25"/>
      <c r="M987" s="25"/>
      <c r="N987" s="25"/>
      <c r="O987" s="33">
        <f>SUM(I987:N987)</f>
        <v>0</v>
      </c>
      <c r="P987" s="25"/>
      <c r="Q987" s="25">
        <f t="shared" si="38"/>
        <v>0</v>
      </c>
      <c r="R987" s="39"/>
      <c r="S987" s="39"/>
      <c r="T987" s="39"/>
      <c r="U987" s="39"/>
      <c r="V987" s="39"/>
      <c r="W987" s="25"/>
      <c r="X987" s="33">
        <f t="shared" si="34"/>
        <v>0</v>
      </c>
      <c r="Y987" s="39"/>
      <c r="Z987" s="25">
        <f t="shared" si="37"/>
        <v>0</v>
      </c>
    </row>
    <row r="988" spans="1:31" s="12" customFormat="1" ht="12">
      <c r="A988" s="27"/>
      <c r="B988" s="53"/>
      <c r="C988" s="37" t="str">
        <f>IF(B988="","",VLOOKUP($B988,#REF!,2,FALSE))</f>
        <v/>
      </c>
      <c r="D988" s="34" t="str">
        <f>IF(B988="","",VLOOKUP($B988,#REF!,3,FALSE))</f>
        <v/>
      </c>
      <c r="E988" s="34" t="str">
        <f>IF(B988="","",VLOOKUP($B988,#REF!,4,FALSE))</f>
        <v/>
      </c>
      <c r="F988" s="34" t="str">
        <f>IF(E988="","",VLOOKUP($B988,#REF!,5,FALSE))</f>
        <v/>
      </c>
      <c r="G988" s="34" t="str">
        <f>IF(F988="","",VLOOKUP($B988,#REF!,6,FALSE))</f>
        <v/>
      </c>
      <c r="H988" s="34" t="str">
        <f>IF(G988="","",VLOOKUP($B988,#REF!,7,FALSE))</f>
        <v/>
      </c>
      <c r="I988" s="25"/>
      <c r="J988" s="25"/>
      <c r="K988" s="25"/>
      <c r="L988" s="25"/>
      <c r="M988" s="25"/>
      <c r="N988" s="25"/>
      <c r="O988" s="33">
        <f>SUM(I988:N988)</f>
        <v>0</v>
      </c>
      <c r="P988" s="25"/>
      <c r="Q988" s="25">
        <f t="shared" si="38"/>
        <v>0</v>
      </c>
      <c r="R988" s="39"/>
      <c r="S988" s="39"/>
      <c r="T988" s="39"/>
      <c r="U988" s="39"/>
      <c r="V988" s="39"/>
      <c r="W988" s="25"/>
      <c r="X988" s="33">
        <f t="shared" si="34"/>
        <v>0</v>
      </c>
      <c r="Y988" s="39"/>
      <c r="Z988" s="25">
        <f t="shared" si="37"/>
        <v>0</v>
      </c>
    </row>
    <row r="989" spans="1:31" s="12" customFormat="1" ht="12">
      <c r="A989" s="27"/>
      <c r="B989" s="53"/>
      <c r="C989" s="37" t="str">
        <f>IF(B989="","",VLOOKUP($B989,#REF!,2,FALSE))</f>
        <v/>
      </c>
      <c r="D989" s="34" t="str">
        <f>IF(B989="","",VLOOKUP($B989,#REF!,3,FALSE))</f>
        <v/>
      </c>
      <c r="E989" s="34" t="str">
        <f>IF(B989="","",VLOOKUP($B989,#REF!,4,FALSE))</f>
        <v/>
      </c>
      <c r="F989" s="34" t="str">
        <f>IF(E989="","",VLOOKUP($B989,#REF!,5,FALSE))</f>
        <v/>
      </c>
      <c r="G989" s="34" t="str">
        <f>IF(F989="","",VLOOKUP($B989,#REF!,6,FALSE))</f>
        <v/>
      </c>
      <c r="H989" s="34" t="str">
        <f>IF(G989="","",VLOOKUP($B989,#REF!,7,FALSE))</f>
        <v/>
      </c>
      <c r="I989" s="25"/>
      <c r="J989" s="25"/>
      <c r="K989" s="25"/>
      <c r="L989" s="25"/>
      <c r="M989" s="25"/>
      <c r="N989" s="25"/>
      <c r="O989" s="33">
        <f t="shared" si="36"/>
        <v>0</v>
      </c>
      <c r="P989" s="25"/>
      <c r="Q989" s="25">
        <f t="shared" si="38"/>
        <v>0</v>
      </c>
      <c r="R989" s="39"/>
      <c r="S989" s="39"/>
      <c r="T989" s="39"/>
      <c r="U989" s="39"/>
      <c r="V989" s="39"/>
      <c r="W989" s="25"/>
      <c r="X989" s="33">
        <f t="shared" si="34"/>
        <v>0</v>
      </c>
      <c r="Y989" s="39"/>
      <c r="Z989" s="25">
        <f t="shared" si="37"/>
        <v>0</v>
      </c>
    </row>
    <row r="990" spans="1:31" s="12" customFormat="1" ht="12">
      <c r="A990" s="27"/>
      <c r="B990" s="53"/>
      <c r="C990" s="37" t="str">
        <f>IF(B990="","",VLOOKUP($B990,#REF!,2,FALSE))</f>
        <v/>
      </c>
      <c r="D990" s="34" t="str">
        <f>IF(B990="","",VLOOKUP($B990,#REF!,3,FALSE))</f>
        <v/>
      </c>
      <c r="E990" s="34" t="str">
        <f>IF(B990="","",VLOOKUP($B990,#REF!,4,FALSE))</f>
        <v/>
      </c>
      <c r="F990" s="34" t="str">
        <f>IF(E990="","",VLOOKUP($B990,#REF!,5,FALSE))</f>
        <v/>
      </c>
      <c r="G990" s="34" t="str">
        <f>IF(F990="","",VLOOKUP($B990,#REF!,6,FALSE))</f>
        <v/>
      </c>
      <c r="H990" s="34" t="str">
        <f>IF(G990="","",VLOOKUP($B990,#REF!,7,FALSE))</f>
        <v/>
      </c>
      <c r="I990" s="25"/>
      <c r="J990" s="25"/>
      <c r="K990" s="25"/>
      <c r="L990" s="25"/>
      <c r="M990" s="25"/>
      <c r="N990" s="25"/>
      <c r="O990" s="33">
        <f t="shared" si="36"/>
        <v>0</v>
      </c>
      <c r="P990" s="25"/>
      <c r="Q990" s="25">
        <f t="shared" si="38"/>
        <v>0</v>
      </c>
      <c r="R990" s="39"/>
      <c r="S990" s="39"/>
      <c r="T990" s="39"/>
      <c r="U990" s="39"/>
      <c r="V990" s="39"/>
      <c r="W990" s="25"/>
      <c r="X990" s="33">
        <f t="shared" ref="X990:X1040" si="39">SUM(R990:W990)</f>
        <v>0</v>
      </c>
      <c r="Y990" s="39"/>
      <c r="Z990" s="25">
        <f t="shared" si="37"/>
        <v>0</v>
      </c>
    </row>
    <row r="991" spans="1:31" s="12" customFormat="1" ht="12">
      <c r="A991" s="27"/>
      <c r="B991" s="53"/>
      <c r="C991" s="37" t="str">
        <f>IF(B991="","",VLOOKUP($B991,#REF!,2,FALSE))</f>
        <v/>
      </c>
      <c r="D991" s="34" t="str">
        <f>IF(B991="","",VLOOKUP($B991,#REF!,3,FALSE))</f>
        <v/>
      </c>
      <c r="E991" s="34" t="str">
        <f>IF(B991="","",VLOOKUP($B991,#REF!,4,FALSE))</f>
        <v/>
      </c>
      <c r="F991" s="34" t="str">
        <f>IF(E991="","",VLOOKUP($B991,#REF!,5,FALSE))</f>
        <v/>
      </c>
      <c r="G991" s="34" t="str">
        <f>IF(F991="","",VLOOKUP($B991,#REF!,6,FALSE))</f>
        <v/>
      </c>
      <c r="H991" s="34" t="str">
        <f>IF(G991="","",VLOOKUP($B991,#REF!,7,FALSE))</f>
        <v/>
      </c>
      <c r="I991" s="25"/>
      <c r="J991" s="25"/>
      <c r="K991" s="25"/>
      <c r="L991" s="25"/>
      <c r="M991" s="25"/>
      <c r="N991" s="25"/>
      <c r="O991" s="33">
        <f t="shared" si="36"/>
        <v>0</v>
      </c>
      <c r="P991" s="25"/>
      <c r="Q991" s="25">
        <f t="shared" si="38"/>
        <v>0</v>
      </c>
      <c r="R991" s="39"/>
      <c r="S991" s="39"/>
      <c r="T991" s="39"/>
      <c r="U991" s="39"/>
      <c r="V991" s="39"/>
      <c r="W991" s="25"/>
      <c r="X991" s="33">
        <f t="shared" si="39"/>
        <v>0</v>
      </c>
      <c r="Y991" s="39"/>
      <c r="Z991" s="25">
        <f t="shared" si="37"/>
        <v>0</v>
      </c>
    </row>
    <row r="992" spans="1:31" s="12" customFormat="1" ht="12">
      <c r="A992" s="27"/>
      <c r="B992" s="53"/>
      <c r="C992" s="37" t="str">
        <f>IF(B992="","",VLOOKUP($B992,#REF!,2,FALSE))</f>
        <v/>
      </c>
      <c r="D992" s="34" t="str">
        <f>IF(B992="","",VLOOKUP($B992,#REF!,3,FALSE))</f>
        <v/>
      </c>
      <c r="E992" s="34" t="str">
        <f>IF(B992="","",VLOOKUP($B992,#REF!,4,FALSE))</f>
        <v/>
      </c>
      <c r="F992" s="34" t="str">
        <f>IF(E992="","",VLOOKUP($B992,#REF!,5,FALSE))</f>
        <v/>
      </c>
      <c r="G992" s="34" t="str">
        <f>IF(F992="","",VLOOKUP($B992,#REF!,6,FALSE))</f>
        <v/>
      </c>
      <c r="H992" s="34" t="str">
        <f>IF(G992="","",VLOOKUP($B992,#REF!,7,FALSE))</f>
        <v/>
      </c>
      <c r="I992" s="25"/>
      <c r="J992" s="25"/>
      <c r="K992" s="25"/>
      <c r="L992" s="25"/>
      <c r="M992" s="25"/>
      <c r="N992" s="25"/>
      <c r="O992" s="33">
        <f t="shared" si="36"/>
        <v>0</v>
      </c>
      <c r="P992" s="25"/>
      <c r="Q992" s="25">
        <f t="shared" si="38"/>
        <v>0</v>
      </c>
      <c r="R992" s="39"/>
      <c r="S992" s="39"/>
      <c r="T992" s="39"/>
      <c r="U992" s="39"/>
      <c r="V992" s="39"/>
      <c r="W992" s="25"/>
      <c r="X992" s="33">
        <f t="shared" si="39"/>
        <v>0</v>
      </c>
      <c r="Y992" s="39"/>
      <c r="Z992" s="25">
        <f t="shared" si="37"/>
        <v>0</v>
      </c>
    </row>
    <row r="993" spans="1:26" s="12" customFormat="1" ht="12">
      <c r="A993" s="27"/>
      <c r="B993" s="53"/>
      <c r="C993" s="37" t="str">
        <f>IF(B993="","",VLOOKUP($B993,#REF!,2,FALSE))</f>
        <v/>
      </c>
      <c r="D993" s="34" t="str">
        <f>IF(B993="","",VLOOKUP($B993,#REF!,3,FALSE))</f>
        <v/>
      </c>
      <c r="E993" s="34" t="str">
        <f>IF(B993="","",VLOOKUP($B993,#REF!,4,FALSE))</f>
        <v/>
      </c>
      <c r="F993" s="34" t="str">
        <f>IF(E993="","",VLOOKUP($B993,#REF!,5,FALSE))</f>
        <v/>
      </c>
      <c r="G993" s="34" t="str">
        <f>IF(F993="","",VLOOKUP($B993,#REF!,6,FALSE))</f>
        <v/>
      </c>
      <c r="H993" s="34" t="str">
        <f>IF(G993="","",VLOOKUP($B993,#REF!,7,FALSE))</f>
        <v/>
      </c>
      <c r="I993" s="25"/>
      <c r="J993" s="25"/>
      <c r="K993" s="25"/>
      <c r="L993" s="25"/>
      <c r="M993" s="25"/>
      <c r="N993" s="25"/>
      <c r="O993" s="33">
        <f t="shared" si="36"/>
        <v>0</v>
      </c>
      <c r="P993" s="25"/>
      <c r="Q993" s="25">
        <f t="shared" si="38"/>
        <v>0</v>
      </c>
      <c r="R993" s="39"/>
      <c r="S993" s="39"/>
      <c r="T993" s="39"/>
      <c r="U993" s="39"/>
      <c r="V993" s="39"/>
      <c r="W993" s="25"/>
      <c r="X993" s="33">
        <f t="shared" si="39"/>
        <v>0</v>
      </c>
      <c r="Y993" s="39"/>
      <c r="Z993" s="25">
        <f t="shared" si="37"/>
        <v>0</v>
      </c>
    </row>
    <row r="994" spans="1:26" s="12" customFormat="1" ht="12">
      <c r="A994" s="27"/>
      <c r="B994" s="53"/>
      <c r="C994" s="37" t="str">
        <f>IF(B994="","",VLOOKUP($B994,#REF!,2,FALSE))</f>
        <v/>
      </c>
      <c r="D994" s="34" t="str">
        <f>IF(B994="","",VLOOKUP($B994,#REF!,3,FALSE))</f>
        <v/>
      </c>
      <c r="E994" s="34" t="str">
        <f>IF(B994="","",VLOOKUP($B994,#REF!,4,FALSE))</f>
        <v/>
      </c>
      <c r="F994" s="34" t="str">
        <f>IF(E994="","",VLOOKUP($B994,#REF!,5,FALSE))</f>
        <v/>
      </c>
      <c r="G994" s="34" t="str">
        <f>IF(F994="","",VLOOKUP($B994,#REF!,6,FALSE))</f>
        <v/>
      </c>
      <c r="H994" s="34" t="str">
        <f>IF(G994="","",VLOOKUP($B994,#REF!,7,FALSE))</f>
        <v/>
      </c>
      <c r="I994" s="25"/>
      <c r="J994" s="25"/>
      <c r="K994" s="25"/>
      <c r="L994" s="25"/>
      <c r="M994" s="25"/>
      <c r="N994" s="25"/>
      <c r="O994" s="33">
        <f t="shared" si="36"/>
        <v>0</v>
      </c>
      <c r="P994" s="25"/>
      <c r="Q994" s="25">
        <f t="shared" si="38"/>
        <v>0</v>
      </c>
      <c r="R994" s="39"/>
      <c r="S994" s="39"/>
      <c r="T994" s="39"/>
      <c r="U994" s="39"/>
      <c r="V994" s="39"/>
      <c r="W994" s="25"/>
      <c r="X994" s="33">
        <f t="shared" si="39"/>
        <v>0</v>
      </c>
      <c r="Y994" s="39"/>
      <c r="Z994" s="25">
        <f t="shared" si="37"/>
        <v>0</v>
      </c>
    </row>
    <row r="995" spans="1:26" s="12" customFormat="1" ht="12">
      <c r="A995" s="27"/>
      <c r="B995" s="53"/>
      <c r="C995" s="37" t="str">
        <f>IF(B995="","",VLOOKUP($B995,#REF!,2,FALSE))</f>
        <v/>
      </c>
      <c r="D995" s="34" t="str">
        <f>IF(B995="","",VLOOKUP($B995,#REF!,3,FALSE))</f>
        <v/>
      </c>
      <c r="E995" s="34" t="str">
        <f>IF(B995="","",VLOOKUP($B995,#REF!,4,FALSE))</f>
        <v/>
      </c>
      <c r="F995" s="34" t="str">
        <f>IF(E995="","",VLOOKUP($B995,#REF!,5,FALSE))</f>
        <v/>
      </c>
      <c r="G995" s="34" t="str">
        <f>IF(F995="","",VLOOKUP($B995,#REF!,6,FALSE))</f>
        <v/>
      </c>
      <c r="H995" s="34" t="str">
        <f>IF(G995="","",VLOOKUP($B995,#REF!,7,FALSE))</f>
        <v/>
      </c>
      <c r="I995" s="25"/>
      <c r="J995" s="25"/>
      <c r="K995" s="25"/>
      <c r="L995" s="25"/>
      <c r="M995" s="25"/>
      <c r="N995" s="25"/>
      <c r="O995" s="33">
        <f t="shared" si="36"/>
        <v>0</v>
      </c>
      <c r="P995" s="25"/>
      <c r="Q995" s="25">
        <f t="shared" si="38"/>
        <v>0</v>
      </c>
      <c r="R995" s="39"/>
      <c r="S995" s="39"/>
      <c r="T995" s="39"/>
      <c r="U995" s="39"/>
      <c r="V995" s="39"/>
      <c r="W995" s="25"/>
      <c r="X995" s="33">
        <f t="shared" si="39"/>
        <v>0</v>
      </c>
      <c r="Y995" s="39"/>
      <c r="Z995" s="25">
        <f t="shared" si="37"/>
        <v>0</v>
      </c>
    </row>
    <row r="996" spans="1:26" s="12" customFormat="1" ht="12">
      <c r="A996" s="27"/>
      <c r="B996" s="53"/>
      <c r="C996" s="37" t="str">
        <f>IF(B996="","",VLOOKUP($B996,#REF!,2,FALSE))</f>
        <v/>
      </c>
      <c r="D996" s="34" t="str">
        <f>IF(B996="","",VLOOKUP($B996,#REF!,3,FALSE))</f>
        <v/>
      </c>
      <c r="E996" s="34" t="str">
        <f>IF(B996="","",VLOOKUP($B996,#REF!,4,FALSE))</f>
        <v/>
      </c>
      <c r="F996" s="34" t="str">
        <f>IF(E996="","",VLOOKUP($B996,#REF!,5,FALSE))</f>
        <v/>
      </c>
      <c r="G996" s="34" t="str">
        <f>IF(F996="","",VLOOKUP($B996,#REF!,6,FALSE))</f>
        <v/>
      </c>
      <c r="H996" s="34" t="str">
        <f>IF(G996="","",VLOOKUP($B996,#REF!,7,FALSE))</f>
        <v/>
      </c>
      <c r="I996" s="25"/>
      <c r="J996" s="25"/>
      <c r="K996" s="25"/>
      <c r="L996" s="25"/>
      <c r="M996" s="25"/>
      <c r="N996" s="25"/>
      <c r="O996" s="33">
        <f t="shared" si="36"/>
        <v>0</v>
      </c>
      <c r="P996" s="25"/>
      <c r="Q996" s="25">
        <f t="shared" si="38"/>
        <v>0</v>
      </c>
      <c r="R996" s="39"/>
      <c r="S996" s="39"/>
      <c r="T996" s="39"/>
      <c r="U996" s="39"/>
      <c r="V996" s="39"/>
      <c r="W996" s="25"/>
      <c r="X996" s="33">
        <f t="shared" si="39"/>
        <v>0</v>
      </c>
      <c r="Y996" s="39"/>
      <c r="Z996" s="25">
        <f t="shared" si="37"/>
        <v>0</v>
      </c>
    </row>
    <row r="997" spans="1:26" s="12" customFormat="1" ht="12">
      <c r="A997" s="27"/>
      <c r="B997" s="53"/>
      <c r="C997" s="37" t="str">
        <f>IF(B997="","",VLOOKUP($B997,#REF!,2,FALSE))</f>
        <v/>
      </c>
      <c r="D997" s="34" t="str">
        <f>IF(B997="","",VLOOKUP($B997,#REF!,3,FALSE))</f>
        <v/>
      </c>
      <c r="E997" s="34" t="str">
        <f>IF(B997="","",VLOOKUP($B997,#REF!,4,FALSE))</f>
        <v/>
      </c>
      <c r="F997" s="34" t="str">
        <f>IF(E997="","",VLOOKUP($B997,#REF!,5,FALSE))</f>
        <v/>
      </c>
      <c r="G997" s="34" t="str">
        <f>IF(F997="","",VLOOKUP($B997,#REF!,6,FALSE))</f>
        <v/>
      </c>
      <c r="H997" s="34" t="str">
        <f>IF(G997="","",VLOOKUP($B997,#REF!,7,FALSE))</f>
        <v/>
      </c>
      <c r="I997" s="25"/>
      <c r="J997" s="25"/>
      <c r="K997" s="25"/>
      <c r="L997" s="25"/>
      <c r="M997" s="25"/>
      <c r="N997" s="25"/>
      <c r="O997" s="33">
        <f t="shared" si="36"/>
        <v>0</v>
      </c>
      <c r="P997" s="25"/>
      <c r="Q997" s="25">
        <f t="shared" si="38"/>
        <v>0</v>
      </c>
      <c r="R997" s="39"/>
      <c r="S997" s="39"/>
      <c r="T997" s="39"/>
      <c r="U997" s="39"/>
      <c r="V997" s="39"/>
      <c r="W997" s="25"/>
      <c r="X997" s="33">
        <f t="shared" si="39"/>
        <v>0</v>
      </c>
      <c r="Y997" s="39"/>
      <c r="Z997" s="25">
        <f t="shared" si="37"/>
        <v>0</v>
      </c>
    </row>
    <row r="998" spans="1:26" s="12" customFormat="1" ht="12">
      <c r="A998" s="27"/>
      <c r="B998" s="73"/>
      <c r="C998" s="37" t="str">
        <f>IF(B998="","",VLOOKUP($B998,#REF!,2,FALSE))</f>
        <v/>
      </c>
      <c r="D998" s="34" t="str">
        <f>IF(B998="","",VLOOKUP($B998,#REF!,3,FALSE))</f>
        <v/>
      </c>
      <c r="E998" s="34" t="str">
        <f>IF(B998="","",VLOOKUP($B998,#REF!,4,FALSE))</f>
        <v/>
      </c>
      <c r="F998" s="34" t="str">
        <f>IF(E998="","",VLOOKUP($B998,#REF!,5,FALSE))</f>
        <v/>
      </c>
      <c r="G998" s="34" t="str">
        <f>IF(F998="","",VLOOKUP($B998,#REF!,6,FALSE))</f>
        <v/>
      </c>
      <c r="H998" s="34" t="str">
        <f>IF(G998="","",VLOOKUP($B998,#REF!,7,FALSE))</f>
        <v/>
      </c>
      <c r="I998" s="25"/>
      <c r="J998" s="25"/>
      <c r="K998" s="25"/>
      <c r="L998" s="25"/>
      <c r="M998" s="25"/>
      <c r="N998" s="25"/>
      <c r="O998" s="33">
        <f t="shared" si="36"/>
        <v>0</v>
      </c>
      <c r="P998" s="25"/>
      <c r="Q998" s="25">
        <f t="shared" si="38"/>
        <v>0</v>
      </c>
      <c r="R998" s="39"/>
      <c r="S998" s="39"/>
      <c r="T998" s="39"/>
      <c r="U998" s="39"/>
      <c r="V998" s="39"/>
      <c r="W998" s="25"/>
      <c r="X998" s="33">
        <f t="shared" si="39"/>
        <v>0</v>
      </c>
      <c r="Y998" s="39"/>
      <c r="Z998" s="25">
        <f t="shared" si="37"/>
        <v>0</v>
      </c>
    </row>
    <row r="999" spans="1:26" s="12" customFormat="1" ht="12">
      <c r="A999" s="27"/>
      <c r="B999" s="53"/>
      <c r="C999" s="37" t="str">
        <f>IF(B999="","",VLOOKUP($B999,#REF!,2,FALSE))</f>
        <v/>
      </c>
      <c r="D999" s="34" t="str">
        <f>IF(B999="","",VLOOKUP($B999,#REF!,3,FALSE))</f>
        <v/>
      </c>
      <c r="E999" s="34" t="str">
        <f>IF(B999="","",VLOOKUP($B999,#REF!,4,FALSE))</f>
        <v/>
      </c>
      <c r="F999" s="34" t="str">
        <f>IF(E999="","",VLOOKUP($B999,#REF!,5,FALSE))</f>
        <v/>
      </c>
      <c r="G999" s="34" t="str">
        <f>IF(F999="","",VLOOKUP($B999,#REF!,6,FALSE))</f>
        <v/>
      </c>
      <c r="H999" s="34" t="str">
        <f>IF(G999="","",VLOOKUP($B999,#REF!,7,FALSE))</f>
        <v/>
      </c>
      <c r="I999" s="25"/>
      <c r="J999" s="25"/>
      <c r="K999" s="25"/>
      <c r="L999" s="25"/>
      <c r="M999" s="25"/>
      <c r="N999" s="25"/>
      <c r="O999" s="33">
        <f t="shared" si="36"/>
        <v>0</v>
      </c>
      <c r="P999" s="25"/>
      <c r="Q999" s="25">
        <f t="shared" si="38"/>
        <v>0</v>
      </c>
      <c r="R999" s="39"/>
      <c r="S999" s="39"/>
      <c r="T999" s="39"/>
      <c r="U999" s="39"/>
      <c r="V999" s="39"/>
      <c r="W999" s="25"/>
      <c r="X999" s="33">
        <f t="shared" si="39"/>
        <v>0</v>
      </c>
      <c r="Y999" s="39"/>
      <c r="Z999" s="25">
        <f t="shared" si="37"/>
        <v>0</v>
      </c>
    </row>
    <row r="1000" spans="1:26" s="12" customFormat="1" ht="12">
      <c r="A1000" s="27"/>
      <c r="B1000" s="28"/>
      <c r="C1000" s="37" t="str">
        <f>IF(B1000="","",VLOOKUP($B1000,#REF!,2,FALSE))</f>
        <v/>
      </c>
      <c r="D1000" s="34" t="str">
        <f>IF(B1000="","",VLOOKUP($B1000,#REF!,3,FALSE))</f>
        <v/>
      </c>
      <c r="E1000" s="34" t="str">
        <f>IF(B1000="","",VLOOKUP($B1000,#REF!,4,FALSE))</f>
        <v/>
      </c>
      <c r="F1000" s="34" t="str">
        <f>IF(E1000="","",VLOOKUP($B1000,#REF!,5,FALSE))</f>
        <v/>
      </c>
      <c r="G1000" s="34" t="str">
        <f>IF(F1000="","",VLOOKUP($B1000,#REF!,6,FALSE))</f>
        <v/>
      </c>
      <c r="H1000" s="34" t="str">
        <f>IF(G1000="","",VLOOKUP($B1000,#REF!,7,FALSE))</f>
        <v/>
      </c>
      <c r="I1000" s="25"/>
      <c r="J1000" s="25"/>
      <c r="K1000" s="25"/>
      <c r="L1000" s="25"/>
      <c r="M1000" s="25"/>
      <c r="N1000" s="25"/>
      <c r="O1000" s="33">
        <f t="shared" si="36"/>
        <v>0</v>
      </c>
      <c r="P1000" s="25"/>
      <c r="Q1000" s="25">
        <f t="shared" si="38"/>
        <v>0</v>
      </c>
      <c r="R1000" s="39"/>
      <c r="S1000" s="39"/>
      <c r="T1000" s="39"/>
      <c r="U1000" s="39"/>
      <c r="V1000" s="39"/>
      <c r="W1000" s="25"/>
      <c r="X1000" s="33">
        <f t="shared" si="39"/>
        <v>0</v>
      </c>
      <c r="Y1000" s="39"/>
      <c r="Z1000" s="25">
        <f t="shared" si="37"/>
        <v>0</v>
      </c>
    </row>
    <row r="1001" spans="1:26" s="12" customFormat="1" ht="12">
      <c r="A1001" s="27"/>
      <c r="B1001" s="73"/>
      <c r="C1001" s="37" t="str">
        <f>IF(B1001="","",VLOOKUP($B1001,#REF!,2,FALSE))</f>
        <v/>
      </c>
      <c r="D1001" s="34" t="str">
        <f>IF(B1001="","",VLOOKUP($B1001,#REF!,3,FALSE))</f>
        <v/>
      </c>
      <c r="E1001" s="34" t="str">
        <f>IF(B1001="","",VLOOKUP($B1001,#REF!,4,FALSE))</f>
        <v/>
      </c>
      <c r="F1001" s="34" t="str">
        <f>IF(E1001="","",VLOOKUP($B1001,#REF!,5,FALSE))</f>
        <v/>
      </c>
      <c r="G1001" s="34" t="str">
        <f>IF(F1001="","",VLOOKUP($B1001,#REF!,6,FALSE))</f>
        <v/>
      </c>
      <c r="H1001" s="34" t="str">
        <f>IF(G1001="","",VLOOKUP($B1001,#REF!,7,FALSE))</f>
        <v/>
      </c>
      <c r="I1001" s="25"/>
      <c r="J1001" s="25"/>
      <c r="K1001" s="25"/>
      <c r="L1001" s="25"/>
      <c r="M1001" s="25"/>
      <c r="N1001" s="25"/>
      <c r="O1001" s="33">
        <f t="shared" si="36"/>
        <v>0</v>
      </c>
      <c r="P1001" s="25"/>
      <c r="Q1001" s="25">
        <f t="shared" si="38"/>
        <v>0</v>
      </c>
      <c r="R1001" s="39"/>
      <c r="S1001" s="39"/>
      <c r="T1001" s="39"/>
      <c r="U1001" s="39"/>
      <c r="V1001" s="39"/>
      <c r="W1001" s="25"/>
      <c r="X1001" s="33">
        <f t="shared" si="39"/>
        <v>0</v>
      </c>
      <c r="Y1001" s="39"/>
      <c r="Z1001" s="25">
        <f t="shared" si="37"/>
        <v>0</v>
      </c>
    </row>
    <row r="1002" spans="1:26" s="12" customFormat="1" ht="12">
      <c r="A1002" s="27"/>
      <c r="B1002" s="28"/>
      <c r="C1002" s="37" t="str">
        <f>IF(B1002="","",VLOOKUP($B1002,#REF!,2,FALSE))</f>
        <v/>
      </c>
      <c r="D1002" s="34" t="str">
        <f>IF(B1002="","",VLOOKUP($B1002,#REF!,3,FALSE))</f>
        <v/>
      </c>
      <c r="E1002" s="34" t="str">
        <f>IF(B1002="","",VLOOKUP($B1002,#REF!,4,FALSE))</f>
        <v/>
      </c>
      <c r="F1002" s="34" t="str">
        <f>IF(E1002="","",VLOOKUP($B1002,#REF!,5,FALSE))</f>
        <v/>
      </c>
      <c r="G1002" s="34" t="str">
        <f>IF(F1002="","",VLOOKUP($B1002,#REF!,6,FALSE))</f>
        <v/>
      </c>
      <c r="H1002" s="34" t="str">
        <f>IF(G1002="","",VLOOKUP($B1002,#REF!,7,FALSE))</f>
        <v/>
      </c>
      <c r="I1002" s="25"/>
      <c r="J1002" s="25"/>
      <c r="K1002" s="25"/>
      <c r="L1002" s="25"/>
      <c r="M1002" s="25"/>
      <c r="N1002" s="25"/>
      <c r="O1002" s="33">
        <f t="shared" si="36"/>
        <v>0</v>
      </c>
      <c r="P1002" s="25"/>
      <c r="Q1002" s="25">
        <f t="shared" si="38"/>
        <v>0</v>
      </c>
      <c r="R1002" s="39"/>
      <c r="S1002" s="39"/>
      <c r="T1002" s="39"/>
      <c r="U1002" s="39"/>
      <c r="V1002" s="39"/>
      <c r="W1002" s="25"/>
      <c r="X1002" s="33">
        <f t="shared" si="39"/>
        <v>0</v>
      </c>
      <c r="Y1002" s="39"/>
      <c r="Z1002" s="25">
        <f t="shared" si="37"/>
        <v>0</v>
      </c>
    </row>
    <row r="1003" spans="1:26" s="12" customFormat="1" ht="12">
      <c r="A1003" s="27"/>
      <c r="B1003" s="28"/>
      <c r="C1003" s="37" t="str">
        <f>IF(B1003="","",VLOOKUP($B1003,#REF!,2,FALSE))</f>
        <v/>
      </c>
      <c r="D1003" s="34" t="str">
        <f>IF(B1003="","",VLOOKUP($B1003,#REF!,3,FALSE))</f>
        <v/>
      </c>
      <c r="E1003" s="34" t="str">
        <f>IF(B1003="","",VLOOKUP($B1003,#REF!,4,FALSE))</f>
        <v/>
      </c>
      <c r="F1003" s="34" t="str">
        <f>IF(E1003="","",VLOOKUP($B1003,#REF!,5,FALSE))</f>
        <v/>
      </c>
      <c r="G1003" s="34" t="str">
        <f>IF(F1003="","",VLOOKUP($B1003,#REF!,6,FALSE))</f>
        <v/>
      </c>
      <c r="H1003" s="34" t="str">
        <f>IF(G1003="","",VLOOKUP($B1003,#REF!,7,FALSE))</f>
        <v/>
      </c>
      <c r="I1003" s="25"/>
      <c r="J1003" s="25"/>
      <c r="K1003" s="25"/>
      <c r="L1003" s="25"/>
      <c r="M1003" s="25"/>
      <c r="N1003" s="25"/>
      <c r="O1003" s="33">
        <f t="shared" si="36"/>
        <v>0</v>
      </c>
      <c r="P1003" s="25"/>
      <c r="Q1003" s="25">
        <f t="shared" si="38"/>
        <v>0</v>
      </c>
      <c r="R1003" s="39"/>
      <c r="S1003" s="39"/>
      <c r="T1003" s="39"/>
      <c r="U1003" s="39"/>
      <c r="V1003" s="39"/>
      <c r="W1003" s="25"/>
      <c r="X1003" s="33">
        <f t="shared" si="39"/>
        <v>0</v>
      </c>
      <c r="Y1003" s="39"/>
      <c r="Z1003" s="25">
        <f t="shared" si="37"/>
        <v>0</v>
      </c>
    </row>
    <row r="1004" spans="1:26" s="12" customFormat="1" ht="12">
      <c r="A1004" s="27"/>
      <c r="B1004" s="28"/>
      <c r="C1004" s="37" t="str">
        <f>IF(B1004="","",VLOOKUP($B1004,#REF!,2,FALSE))</f>
        <v/>
      </c>
      <c r="D1004" s="34" t="str">
        <f>IF(B1004="","",VLOOKUP($B1004,#REF!,3,FALSE))</f>
        <v/>
      </c>
      <c r="E1004" s="34" t="str">
        <f>IF(B1004="","",VLOOKUP($B1004,#REF!,4,FALSE))</f>
        <v/>
      </c>
      <c r="F1004" s="34" t="str">
        <f>IF(E1004="","",VLOOKUP($B1004,#REF!,5,FALSE))</f>
        <v/>
      </c>
      <c r="G1004" s="34" t="str">
        <f>IF(F1004="","",VLOOKUP($B1004,#REF!,6,FALSE))</f>
        <v/>
      </c>
      <c r="H1004" s="34" t="str">
        <f>IF(G1004="","",VLOOKUP($B1004,#REF!,7,FALSE))</f>
        <v/>
      </c>
      <c r="I1004" s="25"/>
      <c r="J1004" s="25"/>
      <c r="K1004" s="25"/>
      <c r="L1004" s="25"/>
      <c r="M1004" s="25"/>
      <c r="N1004" s="25"/>
      <c r="O1004" s="33">
        <f t="shared" si="36"/>
        <v>0</v>
      </c>
      <c r="P1004" s="25"/>
      <c r="Q1004" s="25">
        <f t="shared" si="38"/>
        <v>0</v>
      </c>
      <c r="R1004" s="39"/>
      <c r="S1004" s="39"/>
      <c r="T1004" s="39"/>
      <c r="U1004" s="39"/>
      <c r="V1004" s="39"/>
      <c r="W1004" s="25"/>
      <c r="X1004" s="33">
        <f t="shared" si="39"/>
        <v>0</v>
      </c>
      <c r="Y1004" s="39"/>
      <c r="Z1004" s="25">
        <f t="shared" si="37"/>
        <v>0</v>
      </c>
    </row>
    <row r="1005" spans="1:26" s="12" customFormat="1" ht="12">
      <c r="A1005" s="27"/>
      <c r="B1005" s="29"/>
      <c r="C1005" s="37" t="str">
        <f>IF(B1005="","",VLOOKUP($B1005,#REF!,2,FALSE))</f>
        <v/>
      </c>
      <c r="D1005" s="34" t="str">
        <f>IF(B1005="","",VLOOKUP($B1005,#REF!,3,FALSE))</f>
        <v/>
      </c>
      <c r="E1005" s="34" t="str">
        <f>IF(B1005="","",VLOOKUP($B1005,#REF!,4,FALSE))</f>
        <v/>
      </c>
      <c r="F1005" s="34" t="str">
        <f>IF(E1005="","",VLOOKUP($B1005,#REF!,5,FALSE))</f>
        <v/>
      </c>
      <c r="G1005" s="34" t="str">
        <f>IF(F1005="","",VLOOKUP($B1005,#REF!,6,FALSE))</f>
        <v/>
      </c>
      <c r="H1005" s="34" t="str">
        <f>IF(G1005="","",VLOOKUP($B1005,#REF!,7,FALSE))</f>
        <v/>
      </c>
      <c r="I1005" s="25"/>
      <c r="J1005" s="25"/>
      <c r="K1005" s="25"/>
      <c r="L1005" s="25"/>
      <c r="M1005" s="25"/>
      <c r="N1005" s="25"/>
      <c r="O1005" s="33">
        <f t="shared" si="36"/>
        <v>0</v>
      </c>
      <c r="P1005" s="25"/>
      <c r="Q1005" s="25">
        <f t="shared" si="38"/>
        <v>0</v>
      </c>
      <c r="R1005" s="39"/>
      <c r="S1005" s="39"/>
      <c r="T1005" s="39"/>
      <c r="U1005" s="39"/>
      <c r="V1005" s="39"/>
      <c r="W1005" s="25"/>
      <c r="X1005" s="33">
        <f t="shared" si="39"/>
        <v>0</v>
      </c>
      <c r="Y1005" s="39"/>
      <c r="Z1005" s="25">
        <f t="shared" si="37"/>
        <v>0</v>
      </c>
    </row>
    <row r="1006" spans="1:26" s="12" customFormat="1" ht="12">
      <c r="A1006" s="27"/>
      <c r="B1006" s="28"/>
      <c r="C1006" s="37" t="str">
        <f>IF(B1006="","",VLOOKUP($B1006,#REF!,2,FALSE))</f>
        <v/>
      </c>
      <c r="D1006" s="34" t="str">
        <f>IF(B1006="","",VLOOKUP($B1006,#REF!,3,FALSE))</f>
        <v/>
      </c>
      <c r="E1006" s="34" t="str">
        <f>IF(B1006="","",VLOOKUP($B1006,#REF!,4,FALSE))</f>
        <v/>
      </c>
      <c r="F1006" s="34" t="str">
        <f>IF(E1006="","",VLOOKUP($B1006,#REF!,5,FALSE))</f>
        <v/>
      </c>
      <c r="G1006" s="34" t="str">
        <f>IF(F1006="","",VLOOKUP($B1006,#REF!,6,FALSE))</f>
        <v/>
      </c>
      <c r="H1006" s="34" t="str">
        <f>IF(G1006="","",VLOOKUP($B1006,#REF!,7,FALSE))</f>
        <v/>
      </c>
      <c r="I1006" s="25"/>
      <c r="J1006" s="25"/>
      <c r="K1006" s="25"/>
      <c r="L1006" s="25"/>
      <c r="M1006" s="25"/>
      <c r="N1006" s="25"/>
      <c r="O1006" s="33">
        <f t="shared" si="36"/>
        <v>0</v>
      </c>
      <c r="P1006" s="25"/>
      <c r="Q1006" s="25">
        <f t="shared" si="38"/>
        <v>0</v>
      </c>
      <c r="R1006" s="39"/>
      <c r="S1006" s="39"/>
      <c r="T1006" s="39"/>
      <c r="U1006" s="39"/>
      <c r="V1006" s="39"/>
      <c r="W1006" s="25"/>
      <c r="X1006" s="33">
        <f t="shared" si="39"/>
        <v>0</v>
      </c>
      <c r="Y1006" s="39"/>
      <c r="Z1006" s="25">
        <f t="shared" si="37"/>
        <v>0</v>
      </c>
    </row>
    <row r="1007" spans="1:26" s="12" customFormat="1" ht="12">
      <c r="A1007" s="27"/>
      <c r="B1007" s="30"/>
      <c r="C1007" s="37" t="str">
        <f>IF(B1007="","",VLOOKUP($B1007,#REF!,2,FALSE))</f>
        <v/>
      </c>
      <c r="D1007" s="34" t="str">
        <f>IF(B1007="","",VLOOKUP($B1007,#REF!,3,FALSE))</f>
        <v/>
      </c>
      <c r="E1007" s="34" t="str">
        <f>IF(B1007="","",VLOOKUP($B1007,#REF!,4,FALSE))</f>
        <v/>
      </c>
      <c r="F1007" s="34" t="str">
        <f>IF(E1007="","",VLOOKUP($B1007,#REF!,5,FALSE))</f>
        <v/>
      </c>
      <c r="G1007" s="34" t="str">
        <f>IF(F1007="","",VLOOKUP($B1007,#REF!,6,FALSE))</f>
        <v/>
      </c>
      <c r="H1007" s="34" t="str">
        <f>IF(G1007="","",VLOOKUP($B1007,#REF!,7,FALSE))</f>
        <v/>
      </c>
      <c r="I1007" s="25"/>
      <c r="J1007" s="25"/>
      <c r="K1007" s="25"/>
      <c r="L1007" s="25"/>
      <c r="M1007" s="25"/>
      <c r="N1007" s="25"/>
      <c r="O1007" s="33">
        <f t="shared" si="36"/>
        <v>0</v>
      </c>
      <c r="P1007" s="25"/>
      <c r="Q1007" s="25">
        <f t="shared" si="38"/>
        <v>0</v>
      </c>
      <c r="R1007" s="39"/>
      <c r="S1007" s="39"/>
      <c r="T1007" s="39"/>
      <c r="U1007" s="39"/>
      <c r="V1007" s="39"/>
      <c r="W1007" s="25"/>
      <c r="X1007" s="33">
        <f t="shared" si="39"/>
        <v>0</v>
      </c>
      <c r="Y1007" s="39"/>
      <c r="Z1007" s="25">
        <f t="shared" si="37"/>
        <v>0</v>
      </c>
    </row>
    <row r="1008" spans="1:26" s="12" customFormat="1" ht="12">
      <c r="A1008" s="27"/>
      <c r="B1008" s="73"/>
      <c r="C1008" s="37" t="str">
        <f>IF(B1008="","",VLOOKUP($B1008,#REF!,2,FALSE))</f>
        <v/>
      </c>
      <c r="D1008" s="34" t="str">
        <f>IF(B1008="","",VLOOKUP($B1008,#REF!,3,FALSE))</f>
        <v/>
      </c>
      <c r="E1008" s="34" t="str">
        <f>IF(B1008="","",VLOOKUP($B1008,#REF!,4,FALSE))</f>
        <v/>
      </c>
      <c r="F1008" s="34" t="str">
        <f>IF(E1008="","",VLOOKUP($B1008,#REF!,5,FALSE))</f>
        <v/>
      </c>
      <c r="G1008" s="34" t="str">
        <f>IF(F1008="","",VLOOKUP($B1008,#REF!,6,FALSE))</f>
        <v/>
      </c>
      <c r="H1008" s="34" t="str">
        <f>IF(G1008="","",VLOOKUP($B1008,#REF!,7,FALSE))</f>
        <v/>
      </c>
      <c r="I1008" s="25"/>
      <c r="J1008" s="25"/>
      <c r="K1008" s="25"/>
      <c r="L1008" s="25"/>
      <c r="M1008" s="25"/>
      <c r="N1008" s="25"/>
      <c r="O1008" s="33">
        <f t="shared" si="36"/>
        <v>0</v>
      </c>
      <c r="P1008" s="25"/>
      <c r="Q1008" s="25">
        <f t="shared" si="38"/>
        <v>0</v>
      </c>
      <c r="R1008" s="39"/>
      <c r="S1008" s="39"/>
      <c r="T1008" s="39"/>
      <c r="U1008" s="39"/>
      <c r="V1008" s="39"/>
      <c r="W1008" s="25"/>
      <c r="X1008" s="33">
        <f t="shared" si="39"/>
        <v>0</v>
      </c>
      <c r="Y1008" s="39"/>
      <c r="Z1008" s="25">
        <f t="shared" si="37"/>
        <v>0</v>
      </c>
    </row>
    <row r="1009" spans="1:26" s="12" customFormat="1" ht="12">
      <c r="A1009" s="27"/>
      <c r="B1009" s="53"/>
      <c r="C1009" s="37" t="str">
        <f>IF(B1009="","",VLOOKUP($B1009,#REF!,2,FALSE))</f>
        <v/>
      </c>
      <c r="D1009" s="34" t="str">
        <f>IF(B1009="","",VLOOKUP($B1009,#REF!,3,FALSE))</f>
        <v/>
      </c>
      <c r="E1009" s="34" t="str">
        <f>IF(B1009="","",VLOOKUP($B1009,#REF!,4,FALSE))</f>
        <v/>
      </c>
      <c r="F1009" s="34" t="str">
        <f>IF(E1009="","",VLOOKUP($B1009,#REF!,5,FALSE))</f>
        <v/>
      </c>
      <c r="G1009" s="34" t="str">
        <f>IF(F1009="","",VLOOKUP($B1009,#REF!,6,FALSE))</f>
        <v/>
      </c>
      <c r="H1009" s="34" t="str">
        <f>IF(G1009="","",VLOOKUP($B1009,#REF!,7,FALSE))</f>
        <v/>
      </c>
      <c r="I1009" s="25"/>
      <c r="J1009" s="25"/>
      <c r="K1009" s="25"/>
      <c r="L1009" s="25"/>
      <c r="M1009" s="25"/>
      <c r="N1009" s="25"/>
      <c r="O1009" s="33">
        <f t="shared" si="36"/>
        <v>0</v>
      </c>
      <c r="P1009" s="25"/>
      <c r="Q1009" s="25">
        <f t="shared" si="38"/>
        <v>0</v>
      </c>
      <c r="R1009" s="39"/>
      <c r="S1009" s="39"/>
      <c r="T1009" s="39"/>
      <c r="U1009" s="39"/>
      <c r="V1009" s="39"/>
      <c r="W1009" s="25"/>
      <c r="X1009" s="33">
        <f t="shared" si="39"/>
        <v>0</v>
      </c>
      <c r="Y1009" s="39"/>
      <c r="Z1009" s="25">
        <f t="shared" si="37"/>
        <v>0</v>
      </c>
    </row>
    <row r="1010" spans="1:26" s="12" customFormat="1" ht="12">
      <c r="A1010" s="27"/>
      <c r="B1010" s="53"/>
      <c r="C1010" s="37" t="str">
        <f>IF(B1010="","",VLOOKUP($B1010,#REF!,2,FALSE))</f>
        <v/>
      </c>
      <c r="D1010" s="34" t="str">
        <f>IF(B1010="","",VLOOKUP($B1010,#REF!,3,FALSE))</f>
        <v/>
      </c>
      <c r="E1010" s="34" t="str">
        <f>IF(B1010="","",VLOOKUP($B1010,#REF!,4,FALSE))</f>
        <v/>
      </c>
      <c r="F1010" s="34" t="str">
        <f>IF(E1010="","",VLOOKUP($B1010,#REF!,5,FALSE))</f>
        <v/>
      </c>
      <c r="G1010" s="34" t="str">
        <f>IF(F1010="","",VLOOKUP($B1010,#REF!,6,FALSE))</f>
        <v/>
      </c>
      <c r="H1010" s="34" t="str">
        <f>IF(G1010="","",VLOOKUP($B1010,#REF!,7,FALSE))</f>
        <v/>
      </c>
      <c r="I1010" s="25"/>
      <c r="J1010" s="25"/>
      <c r="K1010" s="25"/>
      <c r="L1010" s="25"/>
      <c r="M1010" s="25"/>
      <c r="N1010" s="25"/>
      <c r="O1010" s="33">
        <f t="shared" si="36"/>
        <v>0</v>
      </c>
      <c r="P1010" s="25"/>
      <c r="Q1010" s="25">
        <f t="shared" si="38"/>
        <v>0</v>
      </c>
      <c r="R1010" s="39"/>
      <c r="S1010" s="39"/>
      <c r="T1010" s="39"/>
      <c r="U1010" s="39"/>
      <c r="V1010" s="39"/>
      <c r="W1010" s="25"/>
      <c r="X1010" s="33">
        <f t="shared" si="39"/>
        <v>0</v>
      </c>
      <c r="Y1010" s="39"/>
      <c r="Z1010" s="25">
        <f t="shared" si="37"/>
        <v>0</v>
      </c>
    </row>
    <row r="1011" spans="1:26" s="12" customFormat="1" ht="12">
      <c r="A1011" s="27"/>
      <c r="B1011" s="53"/>
      <c r="C1011" s="37" t="str">
        <f>IF(B1011="","",VLOOKUP($B1011,#REF!,2,FALSE))</f>
        <v/>
      </c>
      <c r="D1011" s="34" t="str">
        <f>IF(B1011="","",VLOOKUP($B1011,#REF!,3,FALSE))</f>
        <v/>
      </c>
      <c r="E1011" s="34" t="str">
        <f>IF(B1011="","",VLOOKUP($B1011,#REF!,4,FALSE))</f>
        <v/>
      </c>
      <c r="F1011" s="34" t="str">
        <f>IF(E1011="","",VLOOKUP($B1011,#REF!,5,FALSE))</f>
        <v/>
      </c>
      <c r="G1011" s="34" t="str">
        <f>IF(F1011="","",VLOOKUP($B1011,#REF!,6,FALSE))</f>
        <v/>
      </c>
      <c r="H1011" s="34" t="str">
        <f>IF(G1011="","",VLOOKUP($B1011,#REF!,7,FALSE))</f>
        <v/>
      </c>
      <c r="I1011" s="25"/>
      <c r="J1011" s="25"/>
      <c r="K1011" s="25"/>
      <c r="L1011" s="25"/>
      <c r="M1011" s="25"/>
      <c r="N1011" s="25"/>
      <c r="O1011" s="33">
        <f t="shared" si="36"/>
        <v>0</v>
      </c>
      <c r="P1011" s="25"/>
      <c r="Q1011" s="25">
        <f t="shared" si="38"/>
        <v>0</v>
      </c>
      <c r="R1011" s="39"/>
      <c r="S1011" s="39"/>
      <c r="T1011" s="39"/>
      <c r="U1011" s="39"/>
      <c r="V1011" s="39"/>
      <c r="W1011" s="25"/>
      <c r="X1011" s="33">
        <f t="shared" si="39"/>
        <v>0</v>
      </c>
      <c r="Y1011" s="39"/>
      <c r="Z1011" s="25">
        <f t="shared" si="37"/>
        <v>0</v>
      </c>
    </row>
    <row r="1012" spans="1:26" s="12" customFormat="1" ht="12">
      <c r="A1012" s="27"/>
      <c r="B1012" s="53"/>
      <c r="C1012" s="37" t="str">
        <f>IF(B1012="","",VLOOKUP($B1012,#REF!,2,FALSE))</f>
        <v/>
      </c>
      <c r="D1012" s="34" t="str">
        <f>IF(B1012="","",VLOOKUP($B1012,#REF!,3,FALSE))</f>
        <v/>
      </c>
      <c r="E1012" s="34" t="str">
        <f>IF(B1012="","",VLOOKUP($B1012,#REF!,4,FALSE))</f>
        <v/>
      </c>
      <c r="F1012" s="34" t="str">
        <f>IF(E1012="","",VLOOKUP($B1012,#REF!,5,FALSE))</f>
        <v/>
      </c>
      <c r="G1012" s="34" t="str">
        <f>IF(F1012="","",VLOOKUP($B1012,#REF!,6,FALSE))</f>
        <v/>
      </c>
      <c r="H1012" s="34" t="str">
        <f>IF(G1012="","",VLOOKUP($B1012,#REF!,7,FALSE))</f>
        <v/>
      </c>
      <c r="I1012" s="25"/>
      <c r="J1012" s="25"/>
      <c r="K1012" s="25"/>
      <c r="L1012" s="25"/>
      <c r="M1012" s="25"/>
      <c r="N1012" s="25"/>
      <c r="O1012" s="33">
        <f t="shared" si="36"/>
        <v>0</v>
      </c>
      <c r="P1012" s="25"/>
      <c r="Q1012" s="25">
        <f t="shared" si="38"/>
        <v>0</v>
      </c>
      <c r="R1012" s="39"/>
      <c r="S1012" s="39"/>
      <c r="T1012" s="39"/>
      <c r="U1012" s="39"/>
      <c r="V1012" s="39"/>
      <c r="W1012" s="25"/>
      <c r="X1012" s="33">
        <f t="shared" si="39"/>
        <v>0</v>
      </c>
      <c r="Y1012" s="39"/>
      <c r="Z1012" s="25">
        <f t="shared" si="37"/>
        <v>0</v>
      </c>
    </row>
    <row r="1013" spans="1:26" s="12" customFormat="1" ht="12">
      <c r="A1013" s="27"/>
      <c r="B1013" s="53"/>
      <c r="C1013" s="37" t="str">
        <f>IF(B1013="","",VLOOKUP($B1013,#REF!,2,FALSE))</f>
        <v/>
      </c>
      <c r="D1013" s="34" t="str">
        <f>IF(B1013="","",VLOOKUP($B1013,#REF!,3,FALSE))</f>
        <v/>
      </c>
      <c r="E1013" s="34" t="str">
        <f>IF(B1013="","",VLOOKUP($B1013,#REF!,4,FALSE))</f>
        <v/>
      </c>
      <c r="F1013" s="34" t="str">
        <f>IF(E1013="","",VLOOKUP($B1013,#REF!,5,FALSE))</f>
        <v/>
      </c>
      <c r="G1013" s="34" t="str">
        <f>IF(F1013="","",VLOOKUP($B1013,#REF!,6,FALSE))</f>
        <v/>
      </c>
      <c r="H1013" s="34" t="str">
        <f>IF(G1013="","",VLOOKUP($B1013,#REF!,7,FALSE))</f>
        <v/>
      </c>
      <c r="I1013" s="25"/>
      <c r="J1013" s="25"/>
      <c r="K1013" s="25"/>
      <c r="L1013" s="25"/>
      <c r="M1013" s="25"/>
      <c r="N1013" s="25"/>
      <c r="O1013" s="33">
        <f t="shared" si="36"/>
        <v>0</v>
      </c>
      <c r="P1013" s="25"/>
      <c r="Q1013" s="25">
        <f t="shared" si="38"/>
        <v>0</v>
      </c>
      <c r="R1013" s="39"/>
      <c r="S1013" s="39"/>
      <c r="T1013" s="39"/>
      <c r="U1013" s="39"/>
      <c r="V1013" s="39"/>
      <c r="W1013" s="25"/>
      <c r="X1013" s="33">
        <f t="shared" si="39"/>
        <v>0</v>
      </c>
      <c r="Y1013" s="39"/>
      <c r="Z1013" s="25">
        <f t="shared" si="37"/>
        <v>0</v>
      </c>
    </row>
    <row r="1014" spans="1:26" s="12" customFormat="1" ht="12">
      <c r="A1014" s="27"/>
      <c r="B1014" s="53"/>
      <c r="C1014" s="37" t="str">
        <f>IF(B1014="","",VLOOKUP($B1014,#REF!,2,FALSE))</f>
        <v/>
      </c>
      <c r="D1014" s="34" t="str">
        <f>IF(B1014="","",VLOOKUP($B1014,#REF!,3,FALSE))</f>
        <v/>
      </c>
      <c r="E1014" s="34" t="str">
        <f>IF(B1014="","",VLOOKUP($B1014,#REF!,4,FALSE))</f>
        <v/>
      </c>
      <c r="F1014" s="34" t="str">
        <f>IF(E1014="","",VLOOKUP($B1014,#REF!,5,FALSE))</f>
        <v/>
      </c>
      <c r="G1014" s="34" t="str">
        <f>IF(F1014="","",VLOOKUP($B1014,#REF!,6,FALSE))</f>
        <v/>
      </c>
      <c r="H1014" s="34" t="str">
        <f>IF(G1014="","",VLOOKUP($B1014,#REF!,7,FALSE))</f>
        <v/>
      </c>
      <c r="I1014" s="25"/>
      <c r="J1014" s="25"/>
      <c r="K1014" s="25"/>
      <c r="L1014" s="25"/>
      <c r="M1014" s="25"/>
      <c r="N1014" s="25"/>
      <c r="O1014" s="33">
        <f t="shared" si="36"/>
        <v>0</v>
      </c>
      <c r="P1014" s="25"/>
      <c r="Q1014" s="25">
        <f t="shared" si="38"/>
        <v>0</v>
      </c>
      <c r="R1014" s="39"/>
      <c r="S1014" s="39"/>
      <c r="T1014" s="39"/>
      <c r="U1014" s="39"/>
      <c r="V1014" s="39"/>
      <c r="W1014" s="25"/>
      <c r="X1014" s="33">
        <f t="shared" si="39"/>
        <v>0</v>
      </c>
      <c r="Y1014" s="39"/>
      <c r="Z1014" s="25">
        <f t="shared" si="37"/>
        <v>0</v>
      </c>
    </row>
    <row r="1015" spans="1:26" s="12" customFormat="1" ht="12">
      <c r="A1015" s="27"/>
      <c r="B1015" s="28"/>
      <c r="C1015" s="37" t="str">
        <f>IF(B1015="","",VLOOKUP($B1015,#REF!,2,FALSE))</f>
        <v/>
      </c>
      <c r="D1015" s="34" t="str">
        <f>IF(B1015="","",VLOOKUP($B1015,#REF!,3,FALSE))</f>
        <v/>
      </c>
      <c r="E1015" s="34" t="str">
        <f>IF(B1015="","",VLOOKUP($B1015,#REF!,4,FALSE))</f>
        <v/>
      </c>
      <c r="F1015" s="34" t="str">
        <f>IF(E1015="","",VLOOKUP($B1015,#REF!,5,FALSE))</f>
        <v/>
      </c>
      <c r="G1015" s="34" t="str">
        <f>IF(F1015="","",VLOOKUP($B1015,#REF!,6,FALSE))</f>
        <v/>
      </c>
      <c r="H1015" s="34" t="str">
        <f>IF(G1015="","",VLOOKUP($B1015,#REF!,7,FALSE))</f>
        <v/>
      </c>
      <c r="I1015" s="25"/>
      <c r="J1015" s="25"/>
      <c r="K1015" s="25"/>
      <c r="L1015" s="25"/>
      <c r="M1015" s="25"/>
      <c r="N1015" s="25"/>
      <c r="O1015" s="33">
        <f t="shared" si="36"/>
        <v>0</v>
      </c>
      <c r="P1015" s="25"/>
      <c r="Q1015" s="25">
        <f t="shared" si="38"/>
        <v>0</v>
      </c>
      <c r="R1015" s="39"/>
      <c r="S1015" s="39"/>
      <c r="T1015" s="39"/>
      <c r="U1015" s="39"/>
      <c r="V1015" s="39"/>
      <c r="W1015" s="25"/>
      <c r="X1015" s="33">
        <f t="shared" si="39"/>
        <v>0</v>
      </c>
      <c r="Y1015" s="39"/>
      <c r="Z1015" s="25">
        <f t="shared" si="37"/>
        <v>0</v>
      </c>
    </row>
    <row r="1016" spans="1:26" s="12" customFormat="1" ht="12">
      <c r="A1016" s="27"/>
      <c r="B1016" s="53"/>
      <c r="C1016" s="37" t="str">
        <f>IF(B1016="","",VLOOKUP($B1016,#REF!,2,FALSE))</f>
        <v/>
      </c>
      <c r="D1016" s="34" t="str">
        <f>IF(B1016="","",VLOOKUP($B1016,#REF!,3,FALSE))</f>
        <v/>
      </c>
      <c r="E1016" s="34" t="str">
        <f>IF(B1016="","",VLOOKUP($B1016,#REF!,4,FALSE))</f>
        <v/>
      </c>
      <c r="F1016" s="34" t="str">
        <f>IF(E1016="","",VLOOKUP($B1016,#REF!,5,FALSE))</f>
        <v/>
      </c>
      <c r="G1016" s="34" t="str">
        <f>IF(F1016="","",VLOOKUP($B1016,#REF!,6,FALSE))</f>
        <v/>
      </c>
      <c r="H1016" s="34" t="str">
        <f>IF(G1016="","",VLOOKUP($B1016,#REF!,7,FALSE))</f>
        <v/>
      </c>
      <c r="I1016" s="25"/>
      <c r="J1016" s="25"/>
      <c r="K1016" s="25"/>
      <c r="L1016" s="25"/>
      <c r="M1016" s="25"/>
      <c r="N1016" s="25"/>
      <c r="O1016" s="33">
        <f t="shared" si="36"/>
        <v>0</v>
      </c>
      <c r="P1016" s="25"/>
      <c r="Q1016" s="25">
        <f t="shared" si="38"/>
        <v>0</v>
      </c>
      <c r="R1016" s="39"/>
      <c r="S1016" s="39"/>
      <c r="T1016" s="39"/>
      <c r="U1016" s="39"/>
      <c r="V1016" s="39"/>
      <c r="W1016" s="25"/>
      <c r="X1016" s="33">
        <f t="shared" si="39"/>
        <v>0</v>
      </c>
      <c r="Y1016" s="39"/>
      <c r="Z1016" s="25">
        <f t="shared" si="37"/>
        <v>0</v>
      </c>
    </row>
    <row r="1017" spans="1:26" s="12" customFormat="1" ht="12">
      <c r="A1017" s="27"/>
      <c r="B1017" s="28"/>
      <c r="C1017" s="37" t="str">
        <f>IF(B1017="","",VLOOKUP($B1017,#REF!,2,FALSE))</f>
        <v/>
      </c>
      <c r="D1017" s="34" t="str">
        <f>IF(B1017="","",VLOOKUP($B1017,#REF!,3,FALSE))</f>
        <v/>
      </c>
      <c r="E1017" s="34" t="str">
        <f>IF(B1017="","",VLOOKUP($B1017,#REF!,4,FALSE))</f>
        <v/>
      </c>
      <c r="F1017" s="34" t="str">
        <f>IF(E1017="","",VLOOKUP($B1017,#REF!,5,FALSE))</f>
        <v/>
      </c>
      <c r="G1017" s="34" t="str">
        <f>IF(F1017="","",VLOOKUP($B1017,#REF!,6,FALSE))</f>
        <v/>
      </c>
      <c r="H1017" s="34" t="str">
        <f>IF(G1017="","",VLOOKUP($B1017,#REF!,7,FALSE))</f>
        <v/>
      </c>
      <c r="I1017" s="25"/>
      <c r="J1017" s="25"/>
      <c r="K1017" s="25"/>
      <c r="L1017" s="25"/>
      <c r="M1017" s="25"/>
      <c r="N1017" s="25"/>
      <c r="O1017" s="33">
        <f t="shared" si="36"/>
        <v>0</v>
      </c>
      <c r="P1017" s="25"/>
      <c r="Q1017" s="25">
        <f t="shared" si="38"/>
        <v>0</v>
      </c>
      <c r="R1017" s="39"/>
      <c r="S1017" s="39"/>
      <c r="T1017" s="39"/>
      <c r="U1017" s="39"/>
      <c r="V1017" s="39"/>
      <c r="W1017" s="25"/>
      <c r="X1017" s="33">
        <f t="shared" si="39"/>
        <v>0</v>
      </c>
      <c r="Y1017" s="39"/>
      <c r="Z1017" s="25">
        <f t="shared" si="37"/>
        <v>0</v>
      </c>
    </row>
    <row r="1018" spans="1:26" s="12" customFormat="1" ht="12">
      <c r="A1018" s="27"/>
      <c r="B1018" s="54"/>
      <c r="C1018" s="37" t="str">
        <f>IF(B1018="","",VLOOKUP($B1018,#REF!,2,FALSE))</f>
        <v/>
      </c>
      <c r="D1018" s="34" t="str">
        <f>IF(B1018="","",VLOOKUP($B1018,#REF!,3,FALSE))</f>
        <v/>
      </c>
      <c r="E1018" s="34" t="str">
        <f>IF(B1018="","",VLOOKUP($B1018,#REF!,4,FALSE))</f>
        <v/>
      </c>
      <c r="F1018" s="34" t="str">
        <f>IF(E1018="","",VLOOKUP($B1018,#REF!,5,FALSE))</f>
        <v/>
      </c>
      <c r="G1018" s="34" t="str">
        <f>IF(F1018="","",VLOOKUP($B1018,#REF!,6,FALSE))</f>
        <v/>
      </c>
      <c r="H1018" s="34" t="str">
        <f>IF(G1018="","",VLOOKUP($B1018,#REF!,7,FALSE))</f>
        <v/>
      </c>
      <c r="I1018" s="25"/>
      <c r="J1018" s="25"/>
      <c r="K1018" s="25"/>
      <c r="L1018" s="25"/>
      <c r="M1018" s="25"/>
      <c r="N1018" s="25"/>
      <c r="O1018" s="33">
        <f t="shared" si="36"/>
        <v>0</v>
      </c>
      <c r="P1018" s="25"/>
      <c r="Q1018" s="25">
        <f t="shared" si="38"/>
        <v>0</v>
      </c>
      <c r="R1018" s="39"/>
      <c r="S1018" s="39"/>
      <c r="T1018" s="39"/>
      <c r="U1018" s="39"/>
      <c r="V1018" s="39"/>
      <c r="W1018" s="25"/>
      <c r="X1018" s="33">
        <f t="shared" si="39"/>
        <v>0</v>
      </c>
      <c r="Y1018" s="39"/>
      <c r="Z1018" s="25">
        <f t="shared" si="37"/>
        <v>0</v>
      </c>
    </row>
    <row r="1019" spans="1:26" s="12" customFormat="1" ht="12">
      <c r="A1019" s="27"/>
      <c r="B1019" s="47"/>
      <c r="C1019" s="37" t="str">
        <f>IF(B1019="","",VLOOKUP($B1019,#REF!,2,FALSE))</f>
        <v/>
      </c>
      <c r="D1019" s="34" t="str">
        <f>IF(B1019="","",VLOOKUP($B1019,#REF!,3,FALSE))</f>
        <v/>
      </c>
      <c r="E1019" s="34" t="str">
        <f>IF(B1019="","",VLOOKUP($B1019,#REF!,4,FALSE))</f>
        <v/>
      </c>
      <c r="F1019" s="34" t="str">
        <f>IF(E1019="","",VLOOKUP($B1019,#REF!,5,FALSE))</f>
        <v/>
      </c>
      <c r="G1019" s="34" t="str">
        <f>IF(F1019="","",VLOOKUP($B1019,#REF!,6,FALSE))</f>
        <v/>
      </c>
      <c r="H1019" s="34" t="str">
        <f>IF(G1019="","",VLOOKUP($B1019,#REF!,7,FALSE))</f>
        <v/>
      </c>
      <c r="I1019" s="25"/>
      <c r="J1019" s="25"/>
      <c r="K1019" s="25"/>
      <c r="L1019" s="25"/>
      <c r="M1019" s="25"/>
      <c r="N1019" s="25"/>
      <c r="O1019" s="33">
        <f t="shared" si="36"/>
        <v>0</v>
      </c>
      <c r="P1019" s="25"/>
      <c r="Q1019" s="25">
        <f t="shared" si="38"/>
        <v>0</v>
      </c>
      <c r="R1019" s="39"/>
      <c r="S1019" s="39"/>
      <c r="T1019" s="39"/>
      <c r="U1019" s="39"/>
      <c r="V1019" s="39"/>
      <c r="W1019" s="25"/>
      <c r="X1019" s="33">
        <f t="shared" si="39"/>
        <v>0</v>
      </c>
      <c r="Y1019" s="39"/>
      <c r="Z1019" s="25">
        <f t="shared" si="37"/>
        <v>0</v>
      </c>
    </row>
    <row r="1020" spans="1:26" s="12" customFormat="1" ht="12">
      <c r="A1020" s="27"/>
      <c r="B1020" s="53"/>
      <c r="C1020" s="37" t="str">
        <f>IF(B1020="","",VLOOKUP($B1020,#REF!,2,FALSE))</f>
        <v/>
      </c>
      <c r="D1020" s="34" t="str">
        <f>IF(B1020="","",VLOOKUP($B1020,#REF!,3,FALSE))</f>
        <v/>
      </c>
      <c r="E1020" s="34" t="str">
        <f>IF(B1020="","",VLOOKUP($B1020,#REF!,4,FALSE))</f>
        <v/>
      </c>
      <c r="F1020" s="34" t="str">
        <f>IF(E1020="","",VLOOKUP($B1020,#REF!,5,FALSE))</f>
        <v/>
      </c>
      <c r="G1020" s="34" t="str">
        <f>IF(F1020="","",VLOOKUP($B1020,#REF!,6,FALSE))</f>
        <v/>
      </c>
      <c r="H1020" s="34" t="str">
        <f>IF(G1020="","",VLOOKUP($B1020,#REF!,7,FALSE))</f>
        <v/>
      </c>
      <c r="I1020" s="25"/>
      <c r="J1020" s="25"/>
      <c r="K1020" s="25"/>
      <c r="L1020" s="25"/>
      <c r="M1020" s="25"/>
      <c r="N1020" s="25"/>
      <c r="O1020" s="33">
        <f t="shared" si="36"/>
        <v>0</v>
      </c>
      <c r="P1020" s="25"/>
      <c r="Q1020" s="25">
        <f t="shared" si="38"/>
        <v>0</v>
      </c>
      <c r="R1020" s="39"/>
      <c r="S1020" s="39"/>
      <c r="T1020" s="39"/>
      <c r="U1020" s="39"/>
      <c r="V1020" s="39"/>
      <c r="W1020" s="25"/>
      <c r="X1020" s="33">
        <f t="shared" si="39"/>
        <v>0</v>
      </c>
      <c r="Y1020" s="39"/>
      <c r="Z1020" s="25">
        <f t="shared" si="37"/>
        <v>0</v>
      </c>
    </row>
    <row r="1021" spans="1:26" s="12" customFormat="1" ht="12">
      <c r="A1021" s="27"/>
      <c r="B1021" s="56"/>
      <c r="C1021" s="37" t="str">
        <f>IF(B1021="","",VLOOKUP($B1021,#REF!,2,FALSE))</f>
        <v/>
      </c>
      <c r="D1021" s="34" t="str">
        <f>IF(B1021="","",VLOOKUP($B1021,#REF!,3,FALSE))</f>
        <v/>
      </c>
      <c r="E1021" s="34" t="str">
        <f>IF(B1021="","",VLOOKUP($B1021,#REF!,4,FALSE))</f>
        <v/>
      </c>
      <c r="F1021" s="34" t="str">
        <f>IF(E1021="","",VLOOKUP($B1021,#REF!,5,FALSE))</f>
        <v/>
      </c>
      <c r="G1021" s="34" t="str">
        <f>IF(F1021="","",VLOOKUP($B1021,#REF!,6,FALSE))</f>
        <v/>
      </c>
      <c r="H1021" s="34" t="str">
        <f>IF(G1021="","",VLOOKUP($B1021,#REF!,7,FALSE))</f>
        <v/>
      </c>
      <c r="I1021" s="25"/>
      <c r="J1021" s="25"/>
      <c r="K1021" s="25"/>
      <c r="L1021" s="25"/>
      <c r="M1021" s="25"/>
      <c r="N1021" s="25"/>
      <c r="O1021" s="33">
        <f t="shared" si="36"/>
        <v>0</v>
      </c>
      <c r="P1021" s="25"/>
      <c r="Q1021" s="25">
        <f t="shared" si="38"/>
        <v>0</v>
      </c>
      <c r="R1021" s="39"/>
      <c r="S1021" s="39"/>
      <c r="T1021" s="39"/>
      <c r="U1021" s="39"/>
      <c r="V1021" s="39"/>
      <c r="W1021" s="25"/>
      <c r="X1021" s="33">
        <f t="shared" si="39"/>
        <v>0</v>
      </c>
      <c r="Y1021" s="39"/>
      <c r="Z1021" s="25">
        <f t="shared" ref="Z1021:Z1084" si="40">X1021*Y1021</f>
        <v>0</v>
      </c>
    </row>
    <row r="1022" spans="1:26" s="12" customFormat="1" ht="12">
      <c r="A1022" s="27"/>
      <c r="B1022" s="53"/>
      <c r="C1022" s="37" t="str">
        <f>IF(B1022="","",VLOOKUP($B1022,#REF!,2,FALSE))</f>
        <v/>
      </c>
      <c r="D1022" s="34" t="str">
        <f>IF(B1022="","",VLOOKUP($B1022,#REF!,3,FALSE))</f>
        <v/>
      </c>
      <c r="E1022" s="34" t="str">
        <f>IF(B1022="","",VLOOKUP($B1022,#REF!,4,FALSE))</f>
        <v/>
      </c>
      <c r="F1022" s="34" t="str">
        <f>IF(E1022="","",VLOOKUP($B1022,#REF!,5,FALSE))</f>
        <v/>
      </c>
      <c r="G1022" s="34" t="str">
        <f>IF(F1022="","",VLOOKUP($B1022,#REF!,6,FALSE))</f>
        <v/>
      </c>
      <c r="H1022" s="34" t="str">
        <f>IF(G1022="","",VLOOKUP($B1022,#REF!,7,FALSE))</f>
        <v/>
      </c>
      <c r="I1022" s="25"/>
      <c r="J1022" s="25"/>
      <c r="K1022" s="25"/>
      <c r="L1022" s="25"/>
      <c r="M1022" s="25"/>
      <c r="N1022" s="25"/>
      <c r="O1022" s="33">
        <f t="shared" si="36"/>
        <v>0</v>
      </c>
      <c r="P1022" s="25"/>
      <c r="Q1022" s="25">
        <f t="shared" ref="Q1022:Q1085" si="41">O1022*P1022</f>
        <v>0</v>
      </c>
      <c r="R1022" s="39"/>
      <c r="S1022" s="39"/>
      <c r="T1022" s="39"/>
      <c r="U1022" s="39"/>
      <c r="V1022" s="39"/>
      <c r="W1022" s="25"/>
      <c r="X1022" s="33">
        <f t="shared" si="39"/>
        <v>0</v>
      </c>
      <c r="Y1022" s="39"/>
      <c r="Z1022" s="25">
        <f t="shared" si="40"/>
        <v>0</v>
      </c>
    </row>
    <row r="1023" spans="1:26" s="12" customFormat="1" ht="12">
      <c r="A1023" s="27"/>
      <c r="B1023" s="53"/>
      <c r="C1023" s="37" t="str">
        <f>IF(B1023="","",VLOOKUP($B1023,#REF!,2,FALSE))</f>
        <v/>
      </c>
      <c r="D1023" s="34" t="str">
        <f>IF(B1023="","",VLOOKUP($B1023,#REF!,3,FALSE))</f>
        <v/>
      </c>
      <c r="E1023" s="34" t="str">
        <f>IF(B1023="","",VLOOKUP($B1023,#REF!,4,FALSE))</f>
        <v/>
      </c>
      <c r="F1023" s="34" t="str">
        <f>IF(E1023="","",VLOOKUP($B1023,#REF!,5,FALSE))</f>
        <v/>
      </c>
      <c r="G1023" s="34" t="str">
        <f>IF(F1023="","",VLOOKUP($B1023,#REF!,6,FALSE))</f>
        <v/>
      </c>
      <c r="H1023" s="34" t="str">
        <f>IF(G1023="","",VLOOKUP($B1023,#REF!,7,FALSE))</f>
        <v/>
      </c>
      <c r="I1023" s="25"/>
      <c r="J1023" s="25"/>
      <c r="K1023" s="25"/>
      <c r="L1023" s="25"/>
      <c r="M1023" s="25"/>
      <c r="N1023" s="25"/>
      <c r="O1023" s="33">
        <f t="shared" si="36"/>
        <v>0</v>
      </c>
      <c r="P1023" s="25"/>
      <c r="Q1023" s="25">
        <f t="shared" si="41"/>
        <v>0</v>
      </c>
      <c r="R1023" s="39"/>
      <c r="S1023" s="39"/>
      <c r="T1023" s="39"/>
      <c r="U1023" s="39"/>
      <c r="V1023" s="39"/>
      <c r="W1023" s="25"/>
      <c r="X1023" s="33">
        <f t="shared" si="39"/>
        <v>0</v>
      </c>
      <c r="Y1023" s="39"/>
      <c r="Z1023" s="25">
        <f t="shared" si="40"/>
        <v>0</v>
      </c>
    </row>
    <row r="1024" spans="1:26" s="12" customFormat="1" ht="12">
      <c r="A1024" s="27"/>
      <c r="B1024" s="53"/>
      <c r="C1024" s="37" t="str">
        <f>IF(B1024="","",VLOOKUP($B1024,#REF!,2,FALSE))</f>
        <v/>
      </c>
      <c r="D1024" s="34" t="str">
        <f>IF(B1024="","",VLOOKUP($B1024,#REF!,3,FALSE))</f>
        <v/>
      </c>
      <c r="E1024" s="34" t="str">
        <f>IF(B1024="","",VLOOKUP($B1024,#REF!,4,FALSE))</f>
        <v/>
      </c>
      <c r="F1024" s="34" t="str">
        <f>IF(E1024="","",VLOOKUP($B1024,#REF!,5,FALSE))</f>
        <v/>
      </c>
      <c r="G1024" s="34" t="str">
        <f>IF(F1024="","",VLOOKUP($B1024,#REF!,6,FALSE))</f>
        <v/>
      </c>
      <c r="H1024" s="34" t="str">
        <f>IF(G1024="","",VLOOKUP($B1024,#REF!,7,FALSE))</f>
        <v/>
      </c>
      <c r="I1024" s="25"/>
      <c r="J1024" s="25"/>
      <c r="K1024" s="25"/>
      <c r="L1024" s="25"/>
      <c r="M1024" s="25"/>
      <c r="N1024" s="25"/>
      <c r="O1024" s="33">
        <f t="shared" si="36"/>
        <v>0</v>
      </c>
      <c r="P1024" s="25"/>
      <c r="Q1024" s="25">
        <f t="shared" si="41"/>
        <v>0</v>
      </c>
      <c r="R1024" s="39"/>
      <c r="S1024" s="39"/>
      <c r="T1024" s="39"/>
      <c r="U1024" s="39"/>
      <c r="V1024" s="39"/>
      <c r="W1024" s="25"/>
      <c r="X1024" s="33">
        <f t="shared" si="39"/>
        <v>0</v>
      </c>
      <c r="Y1024" s="39"/>
      <c r="Z1024" s="25">
        <f t="shared" si="40"/>
        <v>0</v>
      </c>
    </row>
    <row r="1025" spans="1:26" s="12" customFormat="1" ht="12">
      <c r="A1025" s="27"/>
      <c r="B1025" s="53"/>
      <c r="C1025" s="37" t="str">
        <f>IF(B1025="","",VLOOKUP($B1025,#REF!,2,FALSE))</f>
        <v/>
      </c>
      <c r="D1025" s="34" t="str">
        <f>IF(B1025="","",VLOOKUP($B1025,#REF!,3,FALSE))</f>
        <v/>
      </c>
      <c r="E1025" s="34" t="str">
        <f>IF(B1025="","",VLOOKUP($B1025,#REF!,4,FALSE))</f>
        <v/>
      </c>
      <c r="F1025" s="34" t="str">
        <f>IF(E1025="","",VLOOKUP($B1025,#REF!,5,FALSE))</f>
        <v/>
      </c>
      <c r="G1025" s="34" t="str">
        <f>IF(F1025="","",VLOOKUP($B1025,#REF!,6,FALSE))</f>
        <v/>
      </c>
      <c r="H1025" s="34" t="str">
        <f>IF(G1025="","",VLOOKUP($B1025,#REF!,7,FALSE))</f>
        <v/>
      </c>
      <c r="I1025" s="25"/>
      <c r="J1025" s="25"/>
      <c r="K1025" s="25"/>
      <c r="L1025" s="25"/>
      <c r="M1025" s="25"/>
      <c r="N1025" s="25"/>
      <c r="O1025" s="33">
        <f t="shared" si="36"/>
        <v>0</v>
      </c>
      <c r="P1025" s="25"/>
      <c r="Q1025" s="25">
        <f t="shared" si="41"/>
        <v>0</v>
      </c>
      <c r="R1025" s="39"/>
      <c r="S1025" s="39"/>
      <c r="T1025" s="39"/>
      <c r="U1025" s="39"/>
      <c r="V1025" s="39"/>
      <c r="W1025" s="25"/>
      <c r="X1025" s="33">
        <f t="shared" si="39"/>
        <v>0</v>
      </c>
      <c r="Y1025" s="39"/>
      <c r="Z1025" s="25">
        <f t="shared" si="40"/>
        <v>0</v>
      </c>
    </row>
    <row r="1026" spans="1:26" s="12" customFormat="1" ht="12">
      <c r="A1026" s="27"/>
      <c r="B1026" s="53"/>
      <c r="C1026" s="37" t="str">
        <f>IF(B1026="","",VLOOKUP($B1026,#REF!,2,FALSE))</f>
        <v/>
      </c>
      <c r="D1026" s="34" t="str">
        <f>IF(B1026="","",VLOOKUP($B1026,#REF!,3,FALSE))</f>
        <v/>
      </c>
      <c r="E1026" s="34" t="str">
        <f>IF(B1026="","",VLOOKUP($B1026,#REF!,4,FALSE))</f>
        <v/>
      </c>
      <c r="F1026" s="34" t="str">
        <f>IF(E1026="","",VLOOKUP($B1026,#REF!,5,FALSE))</f>
        <v/>
      </c>
      <c r="G1026" s="34" t="str">
        <f>IF(F1026="","",VLOOKUP($B1026,#REF!,6,FALSE))</f>
        <v/>
      </c>
      <c r="H1026" s="34" t="str">
        <f>IF(G1026="","",VLOOKUP($B1026,#REF!,7,FALSE))</f>
        <v/>
      </c>
      <c r="I1026" s="25"/>
      <c r="J1026" s="25"/>
      <c r="K1026" s="25"/>
      <c r="L1026" s="25"/>
      <c r="M1026" s="25"/>
      <c r="N1026" s="25"/>
      <c r="O1026" s="33">
        <f t="shared" si="36"/>
        <v>0</v>
      </c>
      <c r="P1026" s="25"/>
      <c r="Q1026" s="25">
        <f t="shared" si="41"/>
        <v>0</v>
      </c>
      <c r="R1026" s="39"/>
      <c r="S1026" s="39"/>
      <c r="T1026" s="39"/>
      <c r="U1026" s="39"/>
      <c r="V1026" s="39"/>
      <c r="W1026" s="25"/>
      <c r="X1026" s="33">
        <f t="shared" si="39"/>
        <v>0</v>
      </c>
      <c r="Y1026" s="39"/>
      <c r="Z1026" s="25">
        <f t="shared" si="40"/>
        <v>0</v>
      </c>
    </row>
    <row r="1027" spans="1:26" s="12" customFormat="1" ht="12">
      <c r="A1027" s="27"/>
      <c r="B1027" s="28"/>
      <c r="C1027" s="37" t="str">
        <f>IF(B1027="","",VLOOKUP($B1027,#REF!,2,FALSE))</f>
        <v/>
      </c>
      <c r="D1027" s="34" t="str">
        <f>IF(B1027="","",VLOOKUP($B1027,#REF!,3,FALSE))</f>
        <v/>
      </c>
      <c r="E1027" s="34" t="str">
        <f>IF(B1027="","",VLOOKUP($B1027,#REF!,4,FALSE))</f>
        <v/>
      </c>
      <c r="F1027" s="34" t="str">
        <f>IF(E1027="","",VLOOKUP($B1027,#REF!,5,FALSE))</f>
        <v/>
      </c>
      <c r="G1027" s="34" t="str">
        <f>IF(F1027="","",VLOOKUP($B1027,#REF!,6,FALSE))</f>
        <v/>
      </c>
      <c r="H1027" s="34" t="str">
        <f>IF(G1027="","",VLOOKUP($B1027,#REF!,7,FALSE))</f>
        <v/>
      </c>
      <c r="I1027" s="25"/>
      <c r="J1027" s="25"/>
      <c r="K1027" s="25"/>
      <c r="L1027" s="25"/>
      <c r="M1027" s="25"/>
      <c r="N1027" s="25"/>
      <c r="O1027" s="33">
        <f t="shared" ref="O1027:O1092" si="42">SUM(I1027:N1027)</f>
        <v>0</v>
      </c>
      <c r="P1027" s="25"/>
      <c r="Q1027" s="25">
        <f t="shared" si="41"/>
        <v>0</v>
      </c>
      <c r="R1027" s="39"/>
      <c r="S1027" s="39"/>
      <c r="T1027" s="39"/>
      <c r="U1027" s="39"/>
      <c r="V1027" s="39"/>
      <c r="W1027" s="25"/>
      <c r="X1027" s="33">
        <f t="shared" si="39"/>
        <v>0</v>
      </c>
      <c r="Y1027" s="39"/>
      <c r="Z1027" s="25">
        <f t="shared" si="40"/>
        <v>0</v>
      </c>
    </row>
    <row r="1028" spans="1:26" s="12" customFormat="1" ht="12">
      <c r="A1028" s="27"/>
      <c r="B1028" s="28"/>
      <c r="C1028" s="37" t="str">
        <f>IF(B1028="","",VLOOKUP($B1028,#REF!,2,FALSE))</f>
        <v/>
      </c>
      <c r="D1028" s="34" t="str">
        <f>IF(B1028="","",VLOOKUP($B1028,#REF!,3,FALSE))</f>
        <v/>
      </c>
      <c r="E1028" s="34" t="str">
        <f>IF(B1028="","",VLOOKUP($B1028,#REF!,4,FALSE))</f>
        <v/>
      </c>
      <c r="F1028" s="34" t="str">
        <f>IF(E1028="","",VLOOKUP($B1028,#REF!,5,FALSE))</f>
        <v/>
      </c>
      <c r="G1028" s="34" t="str">
        <f>IF(F1028="","",VLOOKUP($B1028,#REF!,6,FALSE))</f>
        <v/>
      </c>
      <c r="H1028" s="34" t="str">
        <f>IF(G1028="","",VLOOKUP($B1028,#REF!,7,FALSE))</f>
        <v/>
      </c>
      <c r="I1028" s="25"/>
      <c r="J1028" s="25"/>
      <c r="K1028" s="25"/>
      <c r="L1028" s="25"/>
      <c r="M1028" s="25"/>
      <c r="N1028" s="25"/>
      <c r="O1028" s="33">
        <f t="shared" si="42"/>
        <v>0</v>
      </c>
      <c r="P1028" s="25"/>
      <c r="Q1028" s="25">
        <f t="shared" si="41"/>
        <v>0</v>
      </c>
      <c r="R1028" s="39"/>
      <c r="S1028" s="39"/>
      <c r="T1028" s="39"/>
      <c r="U1028" s="39"/>
      <c r="V1028" s="39"/>
      <c r="W1028" s="25"/>
      <c r="X1028" s="33">
        <f t="shared" si="39"/>
        <v>0</v>
      </c>
      <c r="Y1028" s="39"/>
      <c r="Z1028" s="25">
        <f t="shared" si="40"/>
        <v>0</v>
      </c>
    </row>
    <row r="1029" spans="1:26" s="12" customFormat="1" ht="12">
      <c r="A1029" s="27"/>
      <c r="B1029" s="28"/>
      <c r="C1029" s="37" t="str">
        <f>IF(B1029="","",VLOOKUP($B1029,#REF!,2,FALSE))</f>
        <v/>
      </c>
      <c r="D1029" s="34" t="str">
        <f>IF(B1029="","",VLOOKUP($B1029,#REF!,3,FALSE))</f>
        <v/>
      </c>
      <c r="E1029" s="34" t="str">
        <f>IF(B1029="","",VLOOKUP($B1029,#REF!,4,FALSE))</f>
        <v/>
      </c>
      <c r="F1029" s="34" t="str">
        <f>IF(E1029="","",VLOOKUP($B1029,#REF!,5,FALSE))</f>
        <v/>
      </c>
      <c r="G1029" s="34" t="str">
        <f>IF(F1029="","",VLOOKUP($B1029,#REF!,6,FALSE))</f>
        <v/>
      </c>
      <c r="H1029" s="34" t="str">
        <f>IF(G1029="","",VLOOKUP($B1029,#REF!,7,FALSE))</f>
        <v/>
      </c>
      <c r="I1029" s="25"/>
      <c r="J1029" s="25"/>
      <c r="K1029" s="25"/>
      <c r="L1029" s="25"/>
      <c r="M1029" s="25"/>
      <c r="N1029" s="25"/>
      <c r="O1029" s="33">
        <f t="shared" si="42"/>
        <v>0</v>
      </c>
      <c r="P1029" s="25"/>
      <c r="Q1029" s="25">
        <f t="shared" si="41"/>
        <v>0</v>
      </c>
      <c r="R1029" s="39"/>
      <c r="S1029" s="39"/>
      <c r="T1029" s="39"/>
      <c r="U1029" s="39"/>
      <c r="V1029" s="39"/>
      <c r="W1029" s="25"/>
      <c r="X1029" s="33">
        <f t="shared" si="39"/>
        <v>0</v>
      </c>
      <c r="Y1029" s="39"/>
      <c r="Z1029" s="25">
        <f t="shared" si="40"/>
        <v>0</v>
      </c>
    </row>
    <row r="1030" spans="1:26" s="12" customFormat="1" ht="12">
      <c r="A1030" s="27"/>
      <c r="B1030" s="28"/>
      <c r="C1030" s="37" t="str">
        <f>IF(B1030="","",VLOOKUP($B1030,#REF!,2,FALSE))</f>
        <v/>
      </c>
      <c r="D1030" s="34" t="str">
        <f>IF(B1030="","",VLOOKUP($B1030,#REF!,3,FALSE))</f>
        <v/>
      </c>
      <c r="E1030" s="34" t="str">
        <f>IF(B1030="","",VLOOKUP($B1030,#REF!,4,FALSE))</f>
        <v/>
      </c>
      <c r="F1030" s="34" t="str">
        <f>IF(E1030="","",VLOOKUP($B1030,#REF!,5,FALSE))</f>
        <v/>
      </c>
      <c r="G1030" s="34" t="str">
        <f>IF(F1030="","",VLOOKUP($B1030,#REF!,6,FALSE))</f>
        <v/>
      </c>
      <c r="H1030" s="34" t="str">
        <f>IF(G1030="","",VLOOKUP($B1030,#REF!,7,FALSE))</f>
        <v/>
      </c>
      <c r="I1030" s="25"/>
      <c r="J1030" s="25"/>
      <c r="K1030" s="25"/>
      <c r="L1030" s="25"/>
      <c r="M1030" s="25"/>
      <c r="N1030" s="25"/>
      <c r="O1030" s="33">
        <f t="shared" si="42"/>
        <v>0</v>
      </c>
      <c r="P1030" s="25"/>
      <c r="Q1030" s="25">
        <f t="shared" si="41"/>
        <v>0</v>
      </c>
      <c r="R1030" s="39"/>
      <c r="S1030" s="39"/>
      <c r="T1030" s="39"/>
      <c r="U1030" s="39"/>
      <c r="V1030" s="39"/>
      <c r="W1030" s="25"/>
      <c r="X1030" s="33">
        <f t="shared" si="39"/>
        <v>0</v>
      </c>
      <c r="Y1030" s="39"/>
      <c r="Z1030" s="25">
        <f t="shared" si="40"/>
        <v>0</v>
      </c>
    </row>
    <row r="1031" spans="1:26" s="12" customFormat="1" ht="12">
      <c r="A1031" s="27"/>
      <c r="B1031" s="28"/>
      <c r="C1031" s="37" t="str">
        <f>IF(B1031="","",VLOOKUP($B1031,#REF!,2,FALSE))</f>
        <v/>
      </c>
      <c r="D1031" s="34" t="str">
        <f>IF(B1031="","",VLOOKUP($B1031,#REF!,3,FALSE))</f>
        <v/>
      </c>
      <c r="E1031" s="34" t="str">
        <f>IF(B1031="","",VLOOKUP($B1031,#REF!,4,FALSE))</f>
        <v/>
      </c>
      <c r="F1031" s="34" t="str">
        <f>IF(E1031="","",VLOOKUP($B1031,#REF!,5,FALSE))</f>
        <v/>
      </c>
      <c r="G1031" s="34" t="str">
        <f>IF(F1031="","",VLOOKUP($B1031,#REF!,6,FALSE))</f>
        <v/>
      </c>
      <c r="H1031" s="34" t="str">
        <f>IF(G1031="","",VLOOKUP($B1031,#REF!,7,FALSE))</f>
        <v/>
      </c>
      <c r="I1031" s="25"/>
      <c r="J1031" s="25"/>
      <c r="K1031" s="25"/>
      <c r="L1031" s="25"/>
      <c r="M1031" s="25"/>
      <c r="N1031" s="25"/>
      <c r="O1031" s="33">
        <f t="shared" si="42"/>
        <v>0</v>
      </c>
      <c r="P1031" s="25"/>
      <c r="Q1031" s="25">
        <f t="shared" si="41"/>
        <v>0</v>
      </c>
      <c r="R1031" s="39"/>
      <c r="S1031" s="39"/>
      <c r="T1031" s="39"/>
      <c r="U1031" s="39"/>
      <c r="V1031" s="39"/>
      <c r="W1031" s="25"/>
      <c r="X1031" s="33">
        <f t="shared" si="39"/>
        <v>0</v>
      </c>
      <c r="Y1031" s="39"/>
      <c r="Z1031" s="25">
        <f t="shared" si="40"/>
        <v>0</v>
      </c>
    </row>
    <row r="1032" spans="1:26" s="12" customFormat="1" ht="12">
      <c r="A1032" s="27"/>
      <c r="B1032" s="53"/>
      <c r="C1032" s="37" t="str">
        <f>IF(B1032="","",VLOOKUP($B1032,#REF!,2,FALSE))</f>
        <v/>
      </c>
      <c r="D1032" s="34" t="str">
        <f>IF(B1032="","",VLOOKUP($B1032,#REF!,3,FALSE))</f>
        <v/>
      </c>
      <c r="E1032" s="34" t="str">
        <f>IF(B1032="","",VLOOKUP($B1032,#REF!,4,FALSE))</f>
        <v/>
      </c>
      <c r="F1032" s="34" t="str">
        <f>IF(E1032="","",VLOOKUP($B1032,#REF!,5,FALSE))</f>
        <v/>
      </c>
      <c r="G1032" s="34" t="str">
        <f>IF(F1032="","",VLOOKUP($B1032,#REF!,6,FALSE))</f>
        <v/>
      </c>
      <c r="H1032" s="34" t="str">
        <f>IF(G1032="","",VLOOKUP($B1032,#REF!,7,FALSE))</f>
        <v/>
      </c>
      <c r="I1032" s="25"/>
      <c r="J1032" s="25"/>
      <c r="K1032" s="25"/>
      <c r="L1032" s="25"/>
      <c r="M1032" s="25"/>
      <c r="N1032" s="25"/>
      <c r="O1032" s="33">
        <f t="shared" si="42"/>
        <v>0</v>
      </c>
      <c r="P1032" s="25"/>
      <c r="Q1032" s="25">
        <f t="shared" si="41"/>
        <v>0</v>
      </c>
      <c r="R1032" s="39"/>
      <c r="S1032" s="39"/>
      <c r="T1032" s="39"/>
      <c r="U1032" s="39"/>
      <c r="V1032" s="39"/>
      <c r="W1032" s="25"/>
      <c r="X1032" s="33">
        <f t="shared" si="39"/>
        <v>0</v>
      </c>
      <c r="Y1032" s="39"/>
      <c r="Z1032" s="25">
        <f t="shared" si="40"/>
        <v>0</v>
      </c>
    </row>
    <row r="1033" spans="1:26" s="12" customFormat="1" ht="12">
      <c r="A1033" s="27"/>
      <c r="B1033" s="73"/>
      <c r="C1033" s="37" t="str">
        <f>IF(B1033="","",VLOOKUP($B1033,#REF!,2,FALSE))</f>
        <v/>
      </c>
      <c r="D1033" s="34" t="str">
        <f>IF(B1033="","",VLOOKUP($B1033,#REF!,3,FALSE))</f>
        <v/>
      </c>
      <c r="E1033" s="34" t="str">
        <f>IF(B1033="","",VLOOKUP($B1033,#REF!,4,FALSE))</f>
        <v/>
      </c>
      <c r="F1033" s="34" t="str">
        <f>IF(E1033="","",VLOOKUP($B1033,#REF!,5,FALSE))</f>
        <v/>
      </c>
      <c r="G1033" s="34" t="str">
        <f>IF(F1033="","",VLOOKUP($B1033,#REF!,6,FALSE))</f>
        <v/>
      </c>
      <c r="H1033" s="34" t="str">
        <f>IF(G1033="","",VLOOKUP($B1033,#REF!,7,FALSE))</f>
        <v/>
      </c>
      <c r="I1033" s="25"/>
      <c r="J1033" s="25"/>
      <c r="K1033" s="25"/>
      <c r="L1033" s="25"/>
      <c r="M1033" s="25"/>
      <c r="N1033" s="25"/>
      <c r="O1033" s="33">
        <f t="shared" si="42"/>
        <v>0</v>
      </c>
      <c r="P1033" s="25"/>
      <c r="Q1033" s="25">
        <f t="shared" si="41"/>
        <v>0</v>
      </c>
      <c r="R1033" s="39"/>
      <c r="S1033" s="39"/>
      <c r="T1033" s="39"/>
      <c r="U1033" s="39"/>
      <c r="V1033" s="39"/>
      <c r="W1033" s="25"/>
      <c r="X1033" s="33">
        <f t="shared" si="39"/>
        <v>0</v>
      </c>
      <c r="Y1033" s="39"/>
      <c r="Z1033" s="25">
        <f t="shared" si="40"/>
        <v>0</v>
      </c>
    </row>
    <row r="1034" spans="1:26" s="12" customFormat="1" ht="12">
      <c r="A1034" s="27"/>
      <c r="B1034" s="28"/>
      <c r="C1034" s="37" t="str">
        <f>IF(B1034="","",VLOOKUP($B1034,#REF!,2,FALSE))</f>
        <v/>
      </c>
      <c r="D1034" s="34" t="str">
        <f>IF(B1034="","",VLOOKUP($B1034,#REF!,3,FALSE))</f>
        <v/>
      </c>
      <c r="E1034" s="34" t="str">
        <f>IF(B1034="","",VLOOKUP($B1034,#REF!,4,FALSE))</f>
        <v/>
      </c>
      <c r="F1034" s="34" t="str">
        <f>IF(E1034="","",VLOOKUP($B1034,#REF!,5,FALSE))</f>
        <v/>
      </c>
      <c r="G1034" s="34" t="str">
        <f>IF(F1034="","",VLOOKUP($B1034,#REF!,6,FALSE))</f>
        <v/>
      </c>
      <c r="H1034" s="34" t="str">
        <f>IF(G1034="","",VLOOKUP($B1034,#REF!,7,FALSE))</f>
        <v/>
      </c>
      <c r="I1034" s="25"/>
      <c r="J1034" s="25"/>
      <c r="K1034" s="25"/>
      <c r="L1034" s="25"/>
      <c r="M1034" s="25"/>
      <c r="N1034" s="25"/>
      <c r="O1034" s="33">
        <f t="shared" si="42"/>
        <v>0</v>
      </c>
      <c r="P1034" s="25"/>
      <c r="Q1034" s="25">
        <f t="shared" si="41"/>
        <v>0</v>
      </c>
      <c r="R1034" s="39"/>
      <c r="S1034" s="39"/>
      <c r="T1034" s="39"/>
      <c r="U1034" s="39"/>
      <c r="V1034" s="39"/>
      <c r="W1034" s="25"/>
      <c r="X1034" s="33">
        <f t="shared" si="39"/>
        <v>0</v>
      </c>
      <c r="Y1034" s="39"/>
      <c r="Z1034" s="25">
        <f t="shared" si="40"/>
        <v>0</v>
      </c>
    </row>
    <row r="1035" spans="1:26" s="12" customFormat="1" ht="12">
      <c r="A1035" s="27"/>
      <c r="B1035" s="73"/>
      <c r="C1035" s="37" t="str">
        <f>IF(B1035="","",VLOOKUP($B1035,#REF!,2,FALSE))</f>
        <v/>
      </c>
      <c r="D1035" s="34" t="str">
        <f>IF(B1035="","",VLOOKUP($B1035,#REF!,3,FALSE))</f>
        <v/>
      </c>
      <c r="E1035" s="34" t="str">
        <f>IF(B1035="","",VLOOKUP($B1035,#REF!,4,FALSE))</f>
        <v/>
      </c>
      <c r="F1035" s="34" t="str">
        <f>IF(E1035="","",VLOOKUP($B1035,#REF!,5,FALSE))</f>
        <v/>
      </c>
      <c r="G1035" s="34" t="str">
        <f>IF(F1035="","",VLOOKUP($B1035,#REF!,6,FALSE))</f>
        <v/>
      </c>
      <c r="H1035" s="34" t="str">
        <f>IF(G1035="","",VLOOKUP($B1035,#REF!,7,FALSE))</f>
        <v/>
      </c>
      <c r="I1035" s="25"/>
      <c r="J1035" s="25"/>
      <c r="K1035" s="25"/>
      <c r="L1035" s="25"/>
      <c r="M1035" s="25"/>
      <c r="N1035" s="25"/>
      <c r="O1035" s="33">
        <f t="shared" si="42"/>
        <v>0</v>
      </c>
      <c r="P1035" s="25"/>
      <c r="Q1035" s="25">
        <f t="shared" si="41"/>
        <v>0</v>
      </c>
      <c r="R1035" s="39"/>
      <c r="S1035" s="39"/>
      <c r="T1035" s="39"/>
      <c r="U1035" s="39"/>
      <c r="V1035" s="39"/>
      <c r="W1035" s="25"/>
      <c r="X1035" s="33">
        <f t="shared" si="39"/>
        <v>0</v>
      </c>
      <c r="Y1035" s="39"/>
      <c r="Z1035" s="25">
        <f t="shared" si="40"/>
        <v>0</v>
      </c>
    </row>
    <row r="1036" spans="1:26" s="12" customFormat="1" ht="12">
      <c r="A1036" s="27"/>
      <c r="B1036" s="28"/>
      <c r="C1036" s="37" t="str">
        <f>IF(B1036="","",VLOOKUP($B1036,#REF!,2,FALSE))</f>
        <v/>
      </c>
      <c r="D1036" s="34" t="str">
        <f>IF(B1036="","",VLOOKUP($B1036,#REF!,3,FALSE))</f>
        <v/>
      </c>
      <c r="E1036" s="34" t="str">
        <f>IF(B1036="","",VLOOKUP($B1036,#REF!,4,FALSE))</f>
        <v/>
      </c>
      <c r="F1036" s="34" t="str">
        <f>IF(E1036="","",VLOOKUP($B1036,#REF!,5,FALSE))</f>
        <v/>
      </c>
      <c r="G1036" s="34" t="str">
        <f>IF(F1036="","",VLOOKUP($B1036,#REF!,6,FALSE))</f>
        <v/>
      </c>
      <c r="H1036" s="34" t="str">
        <f>IF(G1036="","",VLOOKUP($B1036,#REF!,7,FALSE))</f>
        <v/>
      </c>
      <c r="I1036" s="25"/>
      <c r="J1036" s="25"/>
      <c r="K1036" s="25"/>
      <c r="L1036" s="25"/>
      <c r="M1036" s="25"/>
      <c r="N1036" s="25"/>
      <c r="O1036" s="33">
        <f t="shared" si="42"/>
        <v>0</v>
      </c>
      <c r="P1036" s="25"/>
      <c r="Q1036" s="25">
        <f t="shared" si="41"/>
        <v>0</v>
      </c>
      <c r="R1036" s="39"/>
      <c r="S1036" s="39"/>
      <c r="T1036" s="39"/>
      <c r="U1036" s="39"/>
      <c r="V1036" s="39"/>
      <c r="W1036" s="25"/>
      <c r="X1036" s="33">
        <f t="shared" si="39"/>
        <v>0</v>
      </c>
      <c r="Y1036" s="39"/>
      <c r="Z1036" s="25">
        <f t="shared" si="40"/>
        <v>0</v>
      </c>
    </row>
    <row r="1037" spans="1:26" s="12" customFormat="1" ht="12">
      <c r="A1037" s="27"/>
      <c r="B1037" s="28"/>
      <c r="C1037" s="37" t="str">
        <f>IF(B1037="","",VLOOKUP($B1037,#REF!,2,FALSE))</f>
        <v/>
      </c>
      <c r="D1037" s="34" t="str">
        <f>IF(B1037="","",VLOOKUP($B1037,#REF!,3,FALSE))</f>
        <v/>
      </c>
      <c r="E1037" s="34" t="str">
        <f>IF(B1037="","",VLOOKUP($B1037,#REF!,4,FALSE))</f>
        <v/>
      </c>
      <c r="F1037" s="34" t="str">
        <f>IF(E1037="","",VLOOKUP($B1037,#REF!,5,FALSE))</f>
        <v/>
      </c>
      <c r="G1037" s="34" t="str">
        <f>IF(F1037="","",VLOOKUP($B1037,#REF!,6,FALSE))</f>
        <v/>
      </c>
      <c r="H1037" s="34" t="str">
        <f>IF(G1037="","",VLOOKUP($B1037,#REF!,7,FALSE))</f>
        <v/>
      </c>
      <c r="I1037" s="25"/>
      <c r="J1037" s="25"/>
      <c r="K1037" s="25"/>
      <c r="L1037" s="25"/>
      <c r="M1037" s="25"/>
      <c r="N1037" s="25"/>
      <c r="O1037" s="33">
        <f t="shared" si="42"/>
        <v>0</v>
      </c>
      <c r="P1037" s="25"/>
      <c r="Q1037" s="25">
        <f t="shared" si="41"/>
        <v>0</v>
      </c>
      <c r="R1037" s="39"/>
      <c r="S1037" s="39"/>
      <c r="T1037" s="39"/>
      <c r="U1037" s="39"/>
      <c r="V1037" s="39"/>
      <c r="W1037" s="25"/>
      <c r="X1037" s="33">
        <f t="shared" si="39"/>
        <v>0</v>
      </c>
      <c r="Y1037" s="39"/>
      <c r="Z1037" s="25">
        <f t="shared" si="40"/>
        <v>0</v>
      </c>
    </row>
    <row r="1038" spans="1:26" s="12" customFormat="1" ht="12">
      <c r="A1038" s="27"/>
      <c r="B1038" s="53"/>
      <c r="C1038" s="37" t="str">
        <f>IF(B1038="","",VLOOKUP($B1038,#REF!,2,FALSE))</f>
        <v/>
      </c>
      <c r="D1038" s="34" t="str">
        <f>IF(B1038="","",VLOOKUP($B1038,#REF!,3,FALSE))</f>
        <v/>
      </c>
      <c r="E1038" s="34" t="str">
        <f>IF(B1038="","",VLOOKUP($B1038,#REF!,4,FALSE))</f>
        <v/>
      </c>
      <c r="F1038" s="34" t="str">
        <f>IF(E1038="","",VLOOKUP($B1038,#REF!,5,FALSE))</f>
        <v/>
      </c>
      <c r="G1038" s="34" t="str">
        <f>IF(F1038="","",VLOOKUP($B1038,#REF!,6,FALSE))</f>
        <v/>
      </c>
      <c r="H1038" s="34" t="str">
        <f>IF(G1038="","",VLOOKUP($B1038,#REF!,7,FALSE))</f>
        <v/>
      </c>
      <c r="I1038" s="25"/>
      <c r="J1038" s="25"/>
      <c r="K1038" s="25"/>
      <c r="L1038" s="25"/>
      <c r="M1038" s="25"/>
      <c r="N1038" s="25"/>
      <c r="O1038" s="33">
        <f t="shared" si="42"/>
        <v>0</v>
      </c>
      <c r="P1038" s="25"/>
      <c r="Q1038" s="25">
        <f t="shared" si="41"/>
        <v>0</v>
      </c>
      <c r="R1038" s="39"/>
      <c r="S1038" s="39"/>
      <c r="T1038" s="39"/>
      <c r="U1038" s="39"/>
      <c r="V1038" s="39"/>
      <c r="W1038" s="25"/>
      <c r="X1038" s="33">
        <f t="shared" si="39"/>
        <v>0</v>
      </c>
      <c r="Y1038" s="39"/>
      <c r="Z1038" s="25">
        <f t="shared" si="40"/>
        <v>0</v>
      </c>
    </row>
    <row r="1039" spans="1:26" s="12" customFormat="1" ht="12">
      <c r="A1039" s="27"/>
      <c r="B1039" s="28"/>
      <c r="C1039" s="37" t="str">
        <f>IF(B1039="","",VLOOKUP($B1039,#REF!,2,FALSE))</f>
        <v/>
      </c>
      <c r="D1039" s="34" t="str">
        <f>IF(B1039="","",VLOOKUP($B1039,#REF!,3,FALSE))</f>
        <v/>
      </c>
      <c r="E1039" s="34" t="str">
        <f>IF(B1039="","",VLOOKUP($B1039,#REF!,4,FALSE))</f>
        <v/>
      </c>
      <c r="F1039" s="34" t="str">
        <f>IF(E1039="","",VLOOKUP($B1039,#REF!,5,FALSE))</f>
        <v/>
      </c>
      <c r="G1039" s="34" t="str">
        <f>IF(F1039="","",VLOOKUP($B1039,#REF!,6,FALSE))</f>
        <v/>
      </c>
      <c r="H1039" s="34" t="str">
        <f>IF(G1039="","",VLOOKUP($B1039,#REF!,7,FALSE))</f>
        <v/>
      </c>
      <c r="I1039" s="25"/>
      <c r="J1039" s="25"/>
      <c r="K1039" s="25"/>
      <c r="L1039" s="25"/>
      <c r="M1039" s="25"/>
      <c r="N1039" s="25"/>
      <c r="O1039" s="33">
        <f t="shared" si="42"/>
        <v>0</v>
      </c>
      <c r="P1039" s="25"/>
      <c r="Q1039" s="25">
        <f t="shared" si="41"/>
        <v>0</v>
      </c>
      <c r="R1039" s="39"/>
      <c r="S1039" s="39"/>
      <c r="T1039" s="39"/>
      <c r="U1039" s="39"/>
      <c r="V1039" s="39"/>
      <c r="W1039" s="25"/>
      <c r="X1039" s="33">
        <f t="shared" si="39"/>
        <v>0</v>
      </c>
      <c r="Y1039" s="39"/>
      <c r="Z1039" s="25">
        <f t="shared" si="40"/>
        <v>0</v>
      </c>
    </row>
    <row r="1040" spans="1:26" s="12" customFormat="1" ht="12">
      <c r="A1040" s="27"/>
      <c r="B1040" s="28"/>
      <c r="C1040" s="37" t="str">
        <f>IF(B1040="","",VLOOKUP($B1040,#REF!,2,FALSE))</f>
        <v/>
      </c>
      <c r="D1040" s="34" t="str">
        <f>IF(B1040="","",VLOOKUP($B1040,#REF!,3,FALSE))</f>
        <v/>
      </c>
      <c r="E1040" s="34" t="str">
        <f>IF(B1040="","",VLOOKUP($B1040,#REF!,4,FALSE))</f>
        <v/>
      </c>
      <c r="F1040" s="34" t="str">
        <f>IF(E1040="","",VLOOKUP($B1040,#REF!,5,FALSE))</f>
        <v/>
      </c>
      <c r="G1040" s="34" t="str">
        <f>IF(F1040="","",VLOOKUP($B1040,#REF!,6,FALSE))</f>
        <v/>
      </c>
      <c r="H1040" s="34" t="str">
        <f>IF(G1040="","",VLOOKUP($B1040,#REF!,7,FALSE))</f>
        <v/>
      </c>
      <c r="I1040" s="25"/>
      <c r="J1040" s="25"/>
      <c r="K1040" s="25"/>
      <c r="L1040" s="25"/>
      <c r="M1040" s="25"/>
      <c r="N1040" s="25"/>
      <c r="O1040" s="33">
        <f t="shared" si="42"/>
        <v>0</v>
      </c>
      <c r="P1040" s="25"/>
      <c r="Q1040" s="25">
        <f t="shared" si="41"/>
        <v>0</v>
      </c>
      <c r="R1040" s="39"/>
      <c r="S1040" s="39"/>
      <c r="T1040" s="39"/>
      <c r="U1040" s="39"/>
      <c r="V1040" s="39"/>
      <c r="W1040" s="25"/>
      <c r="X1040" s="33">
        <f t="shared" si="39"/>
        <v>0</v>
      </c>
      <c r="Y1040" s="39"/>
      <c r="Z1040" s="25">
        <f t="shared" si="40"/>
        <v>0</v>
      </c>
    </row>
    <row r="1041" spans="1:26" s="12" customFormat="1" ht="12">
      <c r="A1041" s="27"/>
      <c r="B1041" s="53"/>
      <c r="C1041" s="37" t="str">
        <f>IF(B1041="","",VLOOKUP($B1041,#REF!,2,FALSE))</f>
        <v/>
      </c>
      <c r="D1041" s="34" t="str">
        <f>IF(B1041="","",VLOOKUP($B1041,#REF!,3,FALSE))</f>
        <v/>
      </c>
      <c r="E1041" s="34" t="str">
        <f>IF(B1041="","",VLOOKUP($B1041,#REF!,4,FALSE))</f>
        <v/>
      </c>
      <c r="F1041" s="34" t="str">
        <f>IF(E1041="","",VLOOKUP($B1041,#REF!,5,FALSE))</f>
        <v/>
      </c>
      <c r="G1041" s="34" t="str">
        <f>IF(F1041="","",VLOOKUP($B1041,#REF!,6,FALSE))</f>
        <v/>
      </c>
      <c r="H1041" s="34" t="str">
        <f>IF(G1041="","",VLOOKUP($B1041,#REF!,7,FALSE))</f>
        <v/>
      </c>
      <c r="I1041" s="25"/>
      <c r="J1041" s="25"/>
      <c r="K1041" s="25"/>
      <c r="L1041" s="25"/>
      <c r="M1041" s="25"/>
      <c r="N1041" s="25"/>
      <c r="O1041" s="33">
        <f t="shared" si="42"/>
        <v>0</v>
      </c>
      <c r="P1041" s="25"/>
      <c r="Q1041" s="25">
        <f t="shared" si="41"/>
        <v>0</v>
      </c>
      <c r="R1041" s="39"/>
      <c r="S1041" s="39"/>
      <c r="T1041" s="39"/>
      <c r="U1041" s="39"/>
      <c r="V1041" s="39"/>
      <c r="W1041" s="25"/>
      <c r="X1041" s="33">
        <f t="shared" ref="X1041:X1125" si="43">SUM(R1041:W1041)</f>
        <v>0</v>
      </c>
      <c r="Y1041" s="39"/>
      <c r="Z1041" s="25">
        <f t="shared" si="40"/>
        <v>0</v>
      </c>
    </row>
    <row r="1042" spans="1:26" s="12" customFormat="1" ht="12">
      <c r="A1042" s="27"/>
      <c r="B1042" s="73"/>
      <c r="C1042" s="37" t="str">
        <f>IF(B1042="","",VLOOKUP($B1042,#REF!,2,FALSE))</f>
        <v/>
      </c>
      <c r="D1042" s="34" t="str">
        <f>IF(B1042="","",VLOOKUP($B1042,#REF!,3,FALSE))</f>
        <v/>
      </c>
      <c r="E1042" s="34" t="str">
        <f>IF(B1042="","",VLOOKUP($B1042,#REF!,4,FALSE))</f>
        <v/>
      </c>
      <c r="F1042" s="34" t="str">
        <f>IF(E1042="","",VLOOKUP($B1042,#REF!,5,FALSE))</f>
        <v/>
      </c>
      <c r="G1042" s="34" t="str">
        <f>IF(F1042="","",VLOOKUP($B1042,#REF!,6,FALSE))</f>
        <v/>
      </c>
      <c r="H1042" s="34" t="str">
        <f>IF(G1042="","",VLOOKUP($B1042,#REF!,7,FALSE))</f>
        <v/>
      </c>
      <c r="I1042" s="25"/>
      <c r="J1042" s="25"/>
      <c r="K1042" s="25"/>
      <c r="L1042" s="25"/>
      <c r="M1042" s="25"/>
      <c r="N1042" s="25"/>
      <c r="O1042" s="33">
        <f t="shared" si="42"/>
        <v>0</v>
      </c>
      <c r="P1042" s="25"/>
      <c r="Q1042" s="25">
        <f t="shared" si="41"/>
        <v>0</v>
      </c>
      <c r="R1042" s="39"/>
      <c r="S1042" s="39"/>
      <c r="T1042" s="39"/>
      <c r="U1042" s="39"/>
      <c r="V1042" s="39"/>
      <c r="W1042" s="25"/>
      <c r="X1042" s="33">
        <f t="shared" si="43"/>
        <v>0</v>
      </c>
      <c r="Y1042" s="39"/>
      <c r="Z1042" s="25">
        <f t="shared" si="40"/>
        <v>0</v>
      </c>
    </row>
    <row r="1043" spans="1:26" s="12" customFormat="1" ht="12">
      <c r="A1043" s="27"/>
      <c r="B1043" s="53"/>
      <c r="C1043" s="37" t="str">
        <f>IF(B1043="","",VLOOKUP($B1043,#REF!,2,FALSE))</f>
        <v/>
      </c>
      <c r="D1043" s="34" t="str">
        <f>IF(B1043="","",VLOOKUP($B1043,#REF!,3,FALSE))</f>
        <v/>
      </c>
      <c r="E1043" s="34" t="str">
        <f>IF(B1043="","",VLOOKUP($B1043,#REF!,4,FALSE))</f>
        <v/>
      </c>
      <c r="F1043" s="34" t="str">
        <f>IF(E1043="","",VLOOKUP($B1043,#REF!,5,FALSE))</f>
        <v/>
      </c>
      <c r="G1043" s="34" t="str">
        <f>IF(F1043="","",VLOOKUP($B1043,#REF!,6,FALSE))</f>
        <v/>
      </c>
      <c r="H1043" s="34" t="str">
        <f>IF(G1043="","",VLOOKUP($B1043,#REF!,7,FALSE))</f>
        <v/>
      </c>
      <c r="I1043" s="25"/>
      <c r="J1043" s="25"/>
      <c r="K1043" s="25"/>
      <c r="L1043" s="25"/>
      <c r="M1043" s="25"/>
      <c r="N1043" s="25"/>
      <c r="O1043" s="33">
        <f t="shared" si="42"/>
        <v>0</v>
      </c>
      <c r="P1043" s="25"/>
      <c r="Q1043" s="25">
        <f t="shared" si="41"/>
        <v>0</v>
      </c>
      <c r="R1043" s="39"/>
      <c r="S1043" s="39"/>
      <c r="T1043" s="39"/>
      <c r="U1043" s="39"/>
      <c r="V1043" s="39"/>
      <c r="W1043" s="25"/>
      <c r="X1043" s="33">
        <f t="shared" si="43"/>
        <v>0</v>
      </c>
      <c r="Y1043" s="39"/>
      <c r="Z1043" s="25">
        <f t="shared" si="40"/>
        <v>0</v>
      </c>
    </row>
    <row r="1044" spans="1:26" s="12" customFormat="1" ht="12">
      <c r="A1044" s="27"/>
      <c r="B1044" s="28"/>
      <c r="C1044" s="37" t="str">
        <f>IF(B1044="","",VLOOKUP($B1044,#REF!,2,FALSE))</f>
        <v/>
      </c>
      <c r="D1044" s="34" t="str">
        <f>IF(B1044="","",VLOOKUP($B1044,#REF!,3,FALSE))</f>
        <v/>
      </c>
      <c r="E1044" s="34" t="str">
        <f>IF(B1044="","",VLOOKUP($B1044,#REF!,4,FALSE))</f>
        <v/>
      </c>
      <c r="F1044" s="34" t="str">
        <f>IF(E1044="","",VLOOKUP($B1044,#REF!,5,FALSE))</f>
        <v/>
      </c>
      <c r="G1044" s="34" t="str">
        <f>IF(F1044="","",VLOOKUP($B1044,#REF!,6,FALSE))</f>
        <v/>
      </c>
      <c r="H1044" s="34" t="str">
        <f>IF(G1044="","",VLOOKUP($B1044,#REF!,7,FALSE))</f>
        <v/>
      </c>
      <c r="I1044" s="25"/>
      <c r="J1044" s="25"/>
      <c r="K1044" s="25"/>
      <c r="L1044" s="25"/>
      <c r="M1044" s="25"/>
      <c r="N1044" s="25"/>
      <c r="O1044" s="33">
        <f t="shared" si="42"/>
        <v>0</v>
      </c>
      <c r="P1044" s="25"/>
      <c r="Q1044" s="25">
        <f t="shared" si="41"/>
        <v>0</v>
      </c>
      <c r="R1044" s="39"/>
      <c r="S1044" s="39"/>
      <c r="T1044" s="39"/>
      <c r="U1044" s="39"/>
      <c r="V1044" s="39"/>
      <c r="W1044" s="25"/>
      <c r="X1044" s="33">
        <f t="shared" si="43"/>
        <v>0</v>
      </c>
      <c r="Y1044" s="39"/>
      <c r="Z1044" s="25">
        <f t="shared" si="40"/>
        <v>0</v>
      </c>
    </row>
    <row r="1045" spans="1:26" s="12" customFormat="1" ht="12">
      <c r="A1045" s="27"/>
      <c r="B1045" s="54"/>
      <c r="C1045" s="37" t="str">
        <f>IF(B1045="","",VLOOKUP($B1045,#REF!,2,FALSE))</f>
        <v/>
      </c>
      <c r="D1045" s="34" t="str">
        <f>IF(B1045="","",VLOOKUP($B1045,#REF!,3,FALSE))</f>
        <v/>
      </c>
      <c r="E1045" s="34" t="str">
        <f>IF(B1045="","",VLOOKUP($B1045,#REF!,4,FALSE))</f>
        <v/>
      </c>
      <c r="F1045" s="34" t="str">
        <f>IF(E1045="","",VLOOKUP($B1045,#REF!,5,FALSE))</f>
        <v/>
      </c>
      <c r="G1045" s="34" t="str">
        <f>IF(F1045="","",VLOOKUP($B1045,#REF!,6,FALSE))</f>
        <v/>
      </c>
      <c r="H1045" s="34" t="str">
        <f>IF(G1045="","",VLOOKUP($B1045,#REF!,7,FALSE))</f>
        <v/>
      </c>
      <c r="I1045" s="25"/>
      <c r="J1045" s="25"/>
      <c r="K1045" s="25"/>
      <c r="L1045" s="25"/>
      <c r="M1045" s="25"/>
      <c r="N1045" s="25"/>
      <c r="O1045" s="33">
        <f t="shared" si="42"/>
        <v>0</v>
      </c>
      <c r="P1045" s="25"/>
      <c r="Q1045" s="25">
        <f t="shared" si="41"/>
        <v>0</v>
      </c>
      <c r="R1045" s="39"/>
      <c r="S1045" s="39"/>
      <c r="T1045" s="39"/>
      <c r="U1045" s="39"/>
      <c r="V1045" s="39"/>
      <c r="W1045" s="25"/>
      <c r="X1045" s="33">
        <f t="shared" si="43"/>
        <v>0</v>
      </c>
      <c r="Y1045" s="39"/>
      <c r="Z1045" s="25">
        <f t="shared" si="40"/>
        <v>0</v>
      </c>
    </row>
    <row r="1046" spans="1:26" s="12" customFormat="1" ht="12">
      <c r="A1046" s="27"/>
      <c r="B1046" s="47"/>
      <c r="C1046" s="37" t="str">
        <f>IF(B1046="","",VLOOKUP($B1046,#REF!,2,FALSE))</f>
        <v/>
      </c>
      <c r="D1046" s="34" t="str">
        <f>IF(B1046="","",VLOOKUP($B1046,#REF!,3,FALSE))</f>
        <v/>
      </c>
      <c r="E1046" s="34" t="str">
        <f>IF(B1046="","",VLOOKUP($B1046,#REF!,4,FALSE))</f>
        <v/>
      </c>
      <c r="F1046" s="34" t="str">
        <f>IF(E1046="","",VLOOKUP($B1046,#REF!,5,FALSE))</f>
        <v/>
      </c>
      <c r="G1046" s="34" t="str">
        <f>IF(F1046="","",VLOOKUP($B1046,#REF!,6,FALSE))</f>
        <v/>
      </c>
      <c r="H1046" s="34" t="str">
        <f>IF(G1046="","",VLOOKUP($B1046,#REF!,7,FALSE))</f>
        <v/>
      </c>
      <c r="I1046" s="25"/>
      <c r="J1046" s="25"/>
      <c r="K1046" s="25"/>
      <c r="L1046" s="25"/>
      <c r="M1046" s="25"/>
      <c r="N1046" s="25"/>
      <c r="O1046" s="33">
        <f t="shared" si="42"/>
        <v>0</v>
      </c>
      <c r="P1046" s="25"/>
      <c r="Q1046" s="25">
        <f t="shared" si="41"/>
        <v>0</v>
      </c>
      <c r="R1046" s="39"/>
      <c r="S1046" s="39"/>
      <c r="T1046" s="39"/>
      <c r="U1046" s="39"/>
      <c r="V1046" s="39"/>
      <c r="W1046" s="25"/>
      <c r="X1046" s="33">
        <f t="shared" si="43"/>
        <v>0</v>
      </c>
      <c r="Y1046" s="39"/>
      <c r="Z1046" s="25">
        <f t="shared" si="40"/>
        <v>0</v>
      </c>
    </row>
    <row r="1047" spans="1:26" s="12" customFormat="1" ht="12">
      <c r="A1047" s="27"/>
      <c r="B1047" s="53"/>
      <c r="C1047" s="37" t="str">
        <f>IF(B1047="","",VLOOKUP($B1047,#REF!,2,FALSE))</f>
        <v/>
      </c>
      <c r="D1047" s="34" t="str">
        <f>IF(B1047="","",VLOOKUP($B1047,#REF!,3,FALSE))</f>
        <v/>
      </c>
      <c r="E1047" s="34" t="str">
        <f>IF(B1047="","",VLOOKUP($B1047,#REF!,4,FALSE))</f>
        <v/>
      </c>
      <c r="F1047" s="34" t="str">
        <f>IF(E1047="","",VLOOKUP($B1047,#REF!,5,FALSE))</f>
        <v/>
      </c>
      <c r="G1047" s="34" t="str">
        <f>IF(F1047="","",VLOOKUP($B1047,#REF!,6,FALSE))</f>
        <v/>
      </c>
      <c r="H1047" s="34" t="str">
        <f>IF(G1047="","",VLOOKUP($B1047,#REF!,7,FALSE))</f>
        <v/>
      </c>
      <c r="I1047" s="25"/>
      <c r="J1047" s="25"/>
      <c r="K1047" s="25"/>
      <c r="L1047" s="25"/>
      <c r="M1047" s="25"/>
      <c r="N1047" s="25"/>
      <c r="O1047" s="33">
        <f t="shared" si="42"/>
        <v>0</v>
      </c>
      <c r="P1047" s="25"/>
      <c r="Q1047" s="25">
        <f t="shared" si="41"/>
        <v>0</v>
      </c>
      <c r="R1047" s="39"/>
      <c r="S1047" s="39"/>
      <c r="T1047" s="39"/>
      <c r="U1047" s="39"/>
      <c r="V1047" s="39"/>
      <c r="W1047" s="25"/>
      <c r="X1047" s="33">
        <f t="shared" si="43"/>
        <v>0</v>
      </c>
      <c r="Y1047" s="39"/>
      <c r="Z1047" s="25">
        <f t="shared" si="40"/>
        <v>0</v>
      </c>
    </row>
    <row r="1048" spans="1:26" s="12" customFormat="1" ht="12">
      <c r="A1048" s="27"/>
      <c r="B1048" s="56"/>
      <c r="C1048" s="37" t="str">
        <f>IF(B1048="","",VLOOKUP($B1048,#REF!,2,FALSE))</f>
        <v/>
      </c>
      <c r="D1048" s="34" t="str">
        <f>IF(B1048="","",VLOOKUP($B1048,#REF!,3,FALSE))</f>
        <v/>
      </c>
      <c r="E1048" s="34" t="str">
        <f>IF(B1048="","",VLOOKUP($B1048,#REF!,4,FALSE))</f>
        <v/>
      </c>
      <c r="F1048" s="34" t="str">
        <f>IF(E1048="","",VLOOKUP($B1048,#REF!,5,FALSE))</f>
        <v/>
      </c>
      <c r="G1048" s="34" t="str">
        <f>IF(F1048="","",VLOOKUP($B1048,#REF!,6,FALSE))</f>
        <v/>
      </c>
      <c r="H1048" s="34" t="str">
        <f>IF(G1048="","",VLOOKUP($B1048,#REF!,7,FALSE))</f>
        <v/>
      </c>
      <c r="I1048" s="25"/>
      <c r="J1048" s="25"/>
      <c r="K1048" s="25"/>
      <c r="L1048" s="25"/>
      <c r="M1048" s="25"/>
      <c r="N1048" s="25"/>
      <c r="O1048" s="33">
        <f t="shared" si="42"/>
        <v>0</v>
      </c>
      <c r="P1048" s="25"/>
      <c r="Q1048" s="25">
        <f t="shared" si="41"/>
        <v>0</v>
      </c>
      <c r="R1048" s="39"/>
      <c r="S1048" s="39"/>
      <c r="T1048" s="39"/>
      <c r="U1048" s="39"/>
      <c r="V1048" s="39"/>
      <c r="W1048" s="25"/>
      <c r="X1048" s="33">
        <f t="shared" si="43"/>
        <v>0</v>
      </c>
      <c r="Y1048" s="39"/>
      <c r="Z1048" s="25">
        <f t="shared" si="40"/>
        <v>0</v>
      </c>
    </row>
    <row r="1049" spans="1:26" s="12" customFormat="1" ht="12">
      <c r="A1049" s="27"/>
      <c r="B1049" s="53"/>
      <c r="C1049" s="37" t="str">
        <f>IF(B1049="","",VLOOKUP($B1049,#REF!,2,FALSE))</f>
        <v/>
      </c>
      <c r="D1049" s="34" t="str">
        <f>IF(B1049="","",VLOOKUP($B1049,#REF!,3,FALSE))</f>
        <v/>
      </c>
      <c r="E1049" s="34" t="str">
        <f>IF(B1049="","",VLOOKUP($B1049,#REF!,4,FALSE))</f>
        <v/>
      </c>
      <c r="F1049" s="34" t="str">
        <f>IF(E1049="","",VLOOKUP($B1049,#REF!,5,FALSE))</f>
        <v/>
      </c>
      <c r="G1049" s="34" t="str">
        <f>IF(F1049="","",VLOOKUP($B1049,#REF!,6,FALSE))</f>
        <v/>
      </c>
      <c r="H1049" s="34" t="str">
        <f>IF(G1049="","",VLOOKUP($B1049,#REF!,7,FALSE))</f>
        <v/>
      </c>
      <c r="I1049" s="25"/>
      <c r="J1049" s="25"/>
      <c r="K1049" s="25"/>
      <c r="L1049" s="25"/>
      <c r="M1049" s="25"/>
      <c r="N1049" s="25"/>
      <c r="O1049" s="33">
        <f t="shared" si="42"/>
        <v>0</v>
      </c>
      <c r="P1049" s="25"/>
      <c r="Q1049" s="25">
        <f t="shared" si="41"/>
        <v>0</v>
      </c>
      <c r="R1049" s="39"/>
      <c r="S1049" s="39"/>
      <c r="T1049" s="39"/>
      <c r="U1049" s="39"/>
      <c r="V1049" s="39"/>
      <c r="W1049" s="25"/>
      <c r="X1049" s="33">
        <f t="shared" si="43"/>
        <v>0</v>
      </c>
      <c r="Y1049" s="39"/>
      <c r="Z1049" s="25">
        <f t="shared" si="40"/>
        <v>0</v>
      </c>
    </row>
    <row r="1050" spans="1:26" s="12" customFormat="1" ht="12">
      <c r="A1050" s="27"/>
      <c r="B1050" s="53"/>
      <c r="C1050" s="37" t="str">
        <f>IF(B1050="","",VLOOKUP($B1050,#REF!,2,FALSE))</f>
        <v/>
      </c>
      <c r="D1050" s="34" t="str">
        <f>IF(B1050="","",VLOOKUP($B1050,#REF!,3,FALSE))</f>
        <v/>
      </c>
      <c r="E1050" s="34" t="str">
        <f>IF(B1050="","",VLOOKUP($B1050,#REF!,4,FALSE))</f>
        <v/>
      </c>
      <c r="F1050" s="34" t="str">
        <f>IF(E1050="","",VLOOKUP($B1050,#REF!,5,FALSE))</f>
        <v/>
      </c>
      <c r="G1050" s="34" t="str">
        <f>IF(F1050="","",VLOOKUP($B1050,#REF!,6,FALSE))</f>
        <v/>
      </c>
      <c r="H1050" s="34" t="str">
        <f>IF(G1050="","",VLOOKUP($B1050,#REF!,7,FALSE))</f>
        <v/>
      </c>
      <c r="I1050" s="25"/>
      <c r="J1050" s="25"/>
      <c r="K1050" s="25"/>
      <c r="L1050" s="25"/>
      <c r="M1050" s="25"/>
      <c r="N1050" s="25"/>
      <c r="O1050" s="33">
        <f t="shared" si="42"/>
        <v>0</v>
      </c>
      <c r="P1050" s="25"/>
      <c r="Q1050" s="25">
        <f t="shared" si="41"/>
        <v>0</v>
      </c>
      <c r="R1050" s="39"/>
      <c r="S1050" s="39"/>
      <c r="T1050" s="39"/>
      <c r="U1050" s="39"/>
      <c r="V1050" s="39"/>
      <c r="W1050" s="25"/>
      <c r="X1050" s="33">
        <f t="shared" si="43"/>
        <v>0</v>
      </c>
      <c r="Y1050" s="39"/>
      <c r="Z1050" s="25">
        <f t="shared" si="40"/>
        <v>0</v>
      </c>
    </row>
    <row r="1051" spans="1:26" s="12" customFormat="1" ht="12">
      <c r="A1051" s="27"/>
      <c r="B1051" s="53"/>
      <c r="C1051" s="37" t="str">
        <f>IF(B1051="","",VLOOKUP($B1051,#REF!,2,FALSE))</f>
        <v/>
      </c>
      <c r="D1051" s="34" t="str">
        <f>IF(B1051="","",VLOOKUP($B1051,#REF!,3,FALSE))</f>
        <v/>
      </c>
      <c r="E1051" s="34" t="str">
        <f>IF(B1051="","",VLOOKUP($B1051,#REF!,4,FALSE))</f>
        <v/>
      </c>
      <c r="F1051" s="34" t="str">
        <f>IF(E1051="","",VLOOKUP($B1051,#REF!,5,FALSE))</f>
        <v/>
      </c>
      <c r="G1051" s="34" t="str">
        <f>IF(F1051="","",VLOOKUP($B1051,#REF!,6,FALSE))</f>
        <v/>
      </c>
      <c r="H1051" s="34" t="str">
        <f>IF(G1051="","",VLOOKUP($B1051,#REF!,7,FALSE))</f>
        <v/>
      </c>
      <c r="I1051" s="25"/>
      <c r="J1051" s="25"/>
      <c r="K1051" s="25"/>
      <c r="L1051" s="25"/>
      <c r="M1051" s="25"/>
      <c r="N1051" s="25"/>
      <c r="O1051" s="33">
        <f t="shared" si="42"/>
        <v>0</v>
      </c>
      <c r="P1051" s="25"/>
      <c r="Q1051" s="25">
        <f t="shared" si="41"/>
        <v>0</v>
      </c>
      <c r="R1051" s="39"/>
      <c r="S1051" s="39"/>
      <c r="T1051" s="39"/>
      <c r="U1051" s="39"/>
      <c r="V1051" s="39"/>
      <c r="W1051" s="25"/>
      <c r="X1051" s="33">
        <f t="shared" si="43"/>
        <v>0</v>
      </c>
      <c r="Y1051" s="39"/>
      <c r="Z1051" s="25">
        <f t="shared" si="40"/>
        <v>0</v>
      </c>
    </row>
    <row r="1052" spans="1:26" s="12" customFormat="1" ht="12">
      <c r="A1052" s="27"/>
      <c r="B1052" s="53"/>
      <c r="C1052" s="37" t="str">
        <f>IF(B1052="","",VLOOKUP($B1052,#REF!,2,FALSE))</f>
        <v/>
      </c>
      <c r="D1052" s="34" t="str">
        <f>IF(B1052="","",VLOOKUP($B1052,#REF!,3,FALSE))</f>
        <v/>
      </c>
      <c r="E1052" s="34" t="str">
        <f>IF(B1052="","",VLOOKUP($B1052,#REF!,4,FALSE))</f>
        <v/>
      </c>
      <c r="F1052" s="34" t="str">
        <f>IF(E1052="","",VLOOKUP($B1052,#REF!,5,FALSE))</f>
        <v/>
      </c>
      <c r="G1052" s="34" t="str">
        <f>IF(F1052="","",VLOOKUP($B1052,#REF!,6,FALSE))</f>
        <v/>
      </c>
      <c r="H1052" s="34" t="str">
        <f>IF(G1052="","",VLOOKUP($B1052,#REF!,7,FALSE))</f>
        <v/>
      </c>
      <c r="I1052" s="25"/>
      <c r="J1052" s="25"/>
      <c r="K1052" s="25"/>
      <c r="L1052" s="25"/>
      <c r="M1052" s="25"/>
      <c r="N1052" s="25"/>
      <c r="O1052" s="33">
        <f t="shared" si="42"/>
        <v>0</v>
      </c>
      <c r="P1052" s="25"/>
      <c r="Q1052" s="25">
        <f t="shared" si="41"/>
        <v>0</v>
      </c>
      <c r="R1052" s="39"/>
      <c r="S1052" s="39"/>
      <c r="T1052" s="39"/>
      <c r="U1052" s="39"/>
      <c r="V1052" s="39"/>
      <c r="W1052" s="25"/>
      <c r="X1052" s="33">
        <f t="shared" si="43"/>
        <v>0</v>
      </c>
      <c r="Y1052" s="39"/>
      <c r="Z1052" s="25">
        <f t="shared" si="40"/>
        <v>0</v>
      </c>
    </row>
    <row r="1053" spans="1:26" s="12" customFormat="1" ht="12">
      <c r="A1053" s="27"/>
      <c r="B1053" s="53"/>
      <c r="C1053" s="37" t="str">
        <f>IF(B1053="","",VLOOKUP($B1053,#REF!,2,FALSE))</f>
        <v/>
      </c>
      <c r="D1053" s="34" t="str">
        <f>IF(B1053="","",VLOOKUP($B1053,#REF!,3,FALSE))</f>
        <v/>
      </c>
      <c r="E1053" s="34" t="str">
        <f>IF(B1053="","",VLOOKUP($B1053,#REF!,4,FALSE))</f>
        <v/>
      </c>
      <c r="F1053" s="34" t="str">
        <f>IF(E1053="","",VLOOKUP($B1053,#REF!,5,FALSE))</f>
        <v/>
      </c>
      <c r="G1053" s="34" t="str">
        <f>IF(F1053="","",VLOOKUP($B1053,#REF!,6,FALSE))</f>
        <v/>
      </c>
      <c r="H1053" s="34" t="str">
        <f>IF(G1053="","",VLOOKUP($B1053,#REF!,7,FALSE))</f>
        <v/>
      </c>
      <c r="I1053" s="25"/>
      <c r="J1053" s="25"/>
      <c r="K1053" s="25"/>
      <c r="L1053" s="25"/>
      <c r="M1053" s="25"/>
      <c r="N1053" s="25"/>
      <c r="O1053" s="33">
        <f t="shared" si="42"/>
        <v>0</v>
      </c>
      <c r="P1053" s="25"/>
      <c r="Q1053" s="25">
        <f t="shared" si="41"/>
        <v>0</v>
      </c>
      <c r="R1053" s="39"/>
      <c r="S1053" s="39"/>
      <c r="T1053" s="39"/>
      <c r="U1053" s="39"/>
      <c r="V1053" s="39"/>
      <c r="W1053" s="25"/>
      <c r="X1053" s="33">
        <f t="shared" si="43"/>
        <v>0</v>
      </c>
      <c r="Y1053" s="39"/>
      <c r="Z1053" s="25">
        <f t="shared" si="40"/>
        <v>0</v>
      </c>
    </row>
    <row r="1054" spans="1:26" s="12" customFormat="1" ht="12">
      <c r="A1054" s="27"/>
      <c r="B1054" s="53"/>
      <c r="C1054" s="37" t="str">
        <f>IF(B1054="","",VLOOKUP($B1054,#REF!,2,FALSE))</f>
        <v/>
      </c>
      <c r="D1054" s="34" t="str">
        <f>IF(B1054="","",VLOOKUP($B1054,#REF!,3,FALSE))</f>
        <v/>
      </c>
      <c r="E1054" s="34" t="str">
        <f>IF(B1054="","",VLOOKUP($B1054,#REF!,4,FALSE))</f>
        <v/>
      </c>
      <c r="F1054" s="34" t="str">
        <f>IF(E1054="","",VLOOKUP($B1054,#REF!,5,FALSE))</f>
        <v/>
      </c>
      <c r="G1054" s="34" t="str">
        <f>IF(F1054="","",VLOOKUP($B1054,#REF!,6,FALSE))</f>
        <v/>
      </c>
      <c r="H1054" s="34" t="str">
        <f>IF(G1054="","",VLOOKUP($B1054,#REF!,7,FALSE))</f>
        <v/>
      </c>
      <c r="I1054" s="25"/>
      <c r="J1054" s="25"/>
      <c r="K1054" s="25"/>
      <c r="L1054" s="25"/>
      <c r="M1054" s="25"/>
      <c r="N1054" s="25"/>
      <c r="O1054" s="33">
        <f t="shared" si="42"/>
        <v>0</v>
      </c>
      <c r="P1054" s="25"/>
      <c r="Q1054" s="25">
        <f t="shared" si="41"/>
        <v>0</v>
      </c>
      <c r="R1054" s="39"/>
      <c r="S1054" s="39"/>
      <c r="T1054" s="39"/>
      <c r="U1054" s="39"/>
      <c r="V1054" s="39"/>
      <c r="W1054" s="25"/>
      <c r="X1054" s="33">
        <f t="shared" si="43"/>
        <v>0</v>
      </c>
      <c r="Y1054" s="39"/>
      <c r="Z1054" s="25">
        <f t="shared" si="40"/>
        <v>0</v>
      </c>
    </row>
    <row r="1055" spans="1:26" s="12" customFormat="1" ht="12">
      <c r="A1055" s="27"/>
      <c r="B1055" s="53"/>
      <c r="C1055" s="37" t="str">
        <f>IF(B1055="","",VLOOKUP($B1055,#REF!,2,FALSE))</f>
        <v/>
      </c>
      <c r="D1055" s="34" t="str">
        <f>IF(B1055="","",VLOOKUP($B1055,#REF!,3,FALSE))</f>
        <v/>
      </c>
      <c r="E1055" s="34" t="str">
        <f>IF(B1055="","",VLOOKUP($B1055,#REF!,4,FALSE))</f>
        <v/>
      </c>
      <c r="F1055" s="34" t="str">
        <f>IF(E1055="","",VLOOKUP($B1055,#REF!,5,FALSE))</f>
        <v/>
      </c>
      <c r="G1055" s="34" t="str">
        <f>IF(F1055="","",VLOOKUP($B1055,#REF!,6,FALSE))</f>
        <v/>
      </c>
      <c r="H1055" s="34" t="str">
        <f>IF(G1055="","",VLOOKUP($B1055,#REF!,7,FALSE))</f>
        <v/>
      </c>
      <c r="I1055" s="25"/>
      <c r="J1055" s="25"/>
      <c r="K1055" s="25"/>
      <c r="L1055" s="25"/>
      <c r="M1055" s="25"/>
      <c r="N1055" s="25"/>
      <c r="O1055" s="33">
        <f t="shared" si="42"/>
        <v>0</v>
      </c>
      <c r="P1055" s="25"/>
      <c r="Q1055" s="25">
        <f t="shared" si="41"/>
        <v>0</v>
      </c>
      <c r="R1055" s="39"/>
      <c r="S1055" s="39"/>
      <c r="T1055" s="39"/>
      <c r="U1055" s="39"/>
      <c r="V1055" s="39"/>
      <c r="W1055" s="25"/>
      <c r="X1055" s="33">
        <f t="shared" si="43"/>
        <v>0</v>
      </c>
      <c r="Y1055" s="39"/>
      <c r="Z1055" s="25">
        <f t="shared" si="40"/>
        <v>0</v>
      </c>
    </row>
    <row r="1056" spans="1:26" s="12" customFormat="1" ht="12">
      <c r="A1056" s="27"/>
      <c r="B1056" s="53"/>
      <c r="C1056" s="37" t="str">
        <f>IF(B1056="","",VLOOKUP($B1056,#REF!,2,FALSE))</f>
        <v/>
      </c>
      <c r="D1056" s="34" t="str">
        <f>IF(B1056="","",VLOOKUP($B1056,#REF!,3,FALSE))</f>
        <v/>
      </c>
      <c r="E1056" s="34" t="str">
        <f>IF(B1056="","",VLOOKUP($B1056,#REF!,4,FALSE))</f>
        <v/>
      </c>
      <c r="F1056" s="34" t="str">
        <f>IF(E1056="","",VLOOKUP($B1056,#REF!,5,FALSE))</f>
        <v/>
      </c>
      <c r="G1056" s="34" t="str">
        <f>IF(F1056="","",VLOOKUP($B1056,#REF!,6,FALSE))</f>
        <v/>
      </c>
      <c r="H1056" s="34" t="str">
        <f>IF(G1056="","",VLOOKUP($B1056,#REF!,7,FALSE))</f>
        <v/>
      </c>
      <c r="I1056" s="25"/>
      <c r="J1056" s="25"/>
      <c r="K1056" s="25"/>
      <c r="L1056" s="25"/>
      <c r="M1056" s="25"/>
      <c r="N1056" s="25"/>
      <c r="O1056" s="33">
        <f t="shared" si="42"/>
        <v>0</v>
      </c>
      <c r="P1056" s="25"/>
      <c r="Q1056" s="25">
        <f t="shared" si="41"/>
        <v>0</v>
      </c>
      <c r="R1056" s="39"/>
      <c r="S1056" s="39"/>
      <c r="T1056" s="39"/>
      <c r="U1056" s="39"/>
      <c r="V1056" s="39"/>
      <c r="W1056" s="25"/>
      <c r="X1056" s="33">
        <f t="shared" si="43"/>
        <v>0</v>
      </c>
      <c r="Y1056" s="39"/>
      <c r="Z1056" s="25">
        <f t="shared" si="40"/>
        <v>0</v>
      </c>
    </row>
    <row r="1057" spans="1:26" s="12" customFormat="1" ht="12">
      <c r="A1057" s="27"/>
      <c r="B1057" s="54"/>
      <c r="C1057" s="37" t="str">
        <f>IF(B1057="","",VLOOKUP($B1057,#REF!,2,FALSE))</f>
        <v/>
      </c>
      <c r="D1057" s="34" t="str">
        <f>IF(B1057="","",VLOOKUP($B1057,#REF!,3,FALSE))</f>
        <v/>
      </c>
      <c r="E1057" s="34" t="str">
        <f>IF(B1057="","",VLOOKUP($B1057,#REF!,4,FALSE))</f>
        <v/>
      </c>
      <c r="F1057" s="34" t="str">
        <f>IF(E1057="","",VLOOKUP($B1057,#REF!,5,FALSE))</f>
        <v/>
      </c>
      <c r="G1057" s="34" t="str">
        <f>IF(F1057="","",VLOOKUP($B1057,#REF!,6,FALSE))</f>
        <v/>
      </c>
      <c r="H1057" s="34" t="str">
        <f>IF(G1057="","",VLOOKUP($B1057,#REF!,7,FALSE))</f>
        <v/>
      </c>
      <c r="I1057" s="25"/>
      <c r="J1057" s="25"/>
      <c r="K1057" s="25"/>
      <c r="L1057" s="25"/>
      <c r="M1057" s="25"/>
      <c r="N1057" s="25"/>
      <c r="O1057" s="33">
        <f t="shared" si="42"/>
        <v>0</v>
      </c>
      <c r="P1057" s="25"/>
      <c r="Q1057" s="25">
        <f t="shared" si="41"/>
        <v>0</v>
      </c>
      <c r="R1057" s="39"/>
      <c r="S1057" s="39"/>
      <c r="T1057" s="39"/>
      <c r="U1057" s="39"/>
      <c r="V1057" s="39"/>
      <c r="W1057" s="25"/>
      <c r="X1057" s="33">
        <f t="shared" si="43"/>
        <v>0</v>
      </c>
      <c r="Y1057" s="39"/>
      <c r="Z1057" s="25">
        <f t="shared" si="40"/>
        <v>0</v>
      </c>
    </row>
    <row r="1058" spans="1:26" s="12" customFormat="1" ht="12">
      <c r="A1058" s="27"/>
      <c r="B1058" s="53"/>
      <c r="C1058" s="37" t="str">
        <f>IF(B1058="","",VLOOKUP($B1058,#REF!,2,FALSE))</f>
        <v/>
      </c>
      <c r="D1058" s="34" t="str">
        <f>IF(B1058="","",VLOOKUP($B1058,#REF!,3,FALSE))</f>
        <v/>
      </c>
      <c r="E1058" s="34" t="str">
        <f>IF(B1058="","",VLOOKUP($B1058,#REF!,4,FALSE))</f>
        <v/>
      </c>
      <c r="F1058" s="34" t="str">
        <f>IF(E1058="","",VLOOKUP($B1058,#REF!,5,FALSE))</f>
        <v/>
      </c>
      <c r="G1058" s="34" t="str">
        <f>IF(F1058="","",VLOOKUP($B1058,#REF!,6,FALSE))</f>
        <v/>
      </c>
      <c r="H1058" s="34" t="str">
        <f>IF(G1058="","",VLOOKUP($B1058,#REF!,7,FALSE))</f>
        <v/>
      </c>
      <c r="I1058" s="25"/>
      <c r="J1058" s="25"/>
      <c r="K1058" s="25"/>
      <c r="L1058" s="25"/>
      <c r="M1058" s="25"/>
      <c r="N1058" s="25"/>
      <c r="O1058" s="33">
        <f t="shared" si="42"/>
        <v>0</v>
      </c>
      <c r="P1058" s="25"/>
      <c r="Q1058" s="25">
        <f t="shared" si="41"/>
        <v>0</v>
      </c>
      <c r="R1058" s="39"/>
      <c r="S1058" s="39"/>
      <c r="T1058" s="39"/>
      <c r="U1058" s="39"/>
      <c r="V1058" s="39"/>
      <c r="W1058" s="25"/>
      <c r="X1058" s="33">
        <f t="shared" si="43"/>
        <v>0</v>
      </c>
      <c r="Y1058" s="39"/>
      <c r="Z1058" s="25">
        <f t="shared" si="40"/>
        <v>0</v>
      </c>
    </row>
    <row r="1059" spans="1:26" s="12" customFormat="1" ht="12">
      <c r="A1059" s="27"/>
      <c r="B1059" s="53"/>
      <c r="C1059" s="37" t="str">
        <f>IF(B1059="","",VLOOKUP($B1059,#REF!,2,FALSE))</f>
        <v/>
      </c>
      <c r="D1059" s="34" t="str">
        <f>IF(B1059="","",VLOOKUP($B1059,#REF!,3,FALSE))</f>
        <v/>
      </c>
      <c r="E1059" s="34" t="str">
        <f>IF(B1059="","",VLOOKUP($B1059,#REF!,4,FALSE))</f>
        <v/>
      </c>
      <c r="F1059" s="34" t="str">
        <f>IF(E1059="","",VLOOKUP($B1059,#REF!,5,FALSE))</f>
        <v/>
      </c>
      <c r="G1059" s="34" t="str">
        <f>IF(F1059="","",VLOOKUP($B1059,#REF!,6,FALSE))</f>
        <v/>
      </c>
      <c r="H1059" s="34" t="str">
        <f>IF(G1059="","",VLOOKUP($B1059,#REF!,7,FALSE))</f>
        <v/>
      </c>
      <c r="I1059" s="25"/>
      <c r="J1059" s="25"/>
      <c r="K1059" s="25"/>
      <c r="L1059" s="25"/>
      <c r="M1059" s="25"/>
      <c r="N1059" s="25"/>
      <c r="O1059" s="33">
        <f t="shared" si="42"/>
        <v>0</v>
      </c>
      <c r="P1059" s="25"/>
      <c r="Q1059" s="25">
        <f t="shared" si="41"/>
        <v>0</v>
      </c>
      <c r="R1059" s="39"/>
      <c r="S1059" s="39"/>
      <c r="T1059" s="39"/>
      <c r="U1059" s="39"/>
      <c r="V1059" s="39"/>
      <c r="W1059" s="25"/>
      <c r="X1059" s="33">
        <f t="shared" si="43"/>
        <v>0</v>
      </c>
      <c r="Y1059" s="39"/>
      <c r="Z1059" s="25">
        <f t="shared" si="40"/>
        <v>0</v>
      </c>
    </row>
    <row r="1060" spans="1:26" s="12" customFormat="1" ht="12">
      <c r="A1060" s="27"/>
      <c r="B1060" s="53"/>
      <c r="C1060" s="37" t="str">
        <f>IF(B1060="","",VLOOKUP($B1060,#REF!,2,FALSE))</f>
        <v/>
      </c>
      <c r="D1060" s="34" t="str">
        <f>IF(B1060="","",VLOOKUP($B1060,#REF!,3,FALSE))</f>
        <v/>
      </c>
      <c r="E1060" s="34" t="str">
        <f>IF(B1060="","",VLOOKUP($B1060,#REF!,4,FALSE))</f>
        <v/>
      </c>
      <c r="F1060" s="34" t="str">
        <f>IF(E1060="","",VLOOKUP($B1060,#REF!,5,FALSE))</f>
        <v/>
      </c>
      <c r="G1060" s="34" t="str">
        <f>IF(F1060="","",VLOOKUP($B1060,#REF!,6,FALSE))</f>
        <v/>
      </c>
      <c r="H1060" s="34" t="str">
        <f>IF(G1060="","",VLOOKUP($B1060,#REF!,7,FALSE))</f>
        <v/>
      </c>
      <c r="I1060" s="25"/>
      <c r="J1060" s="25"/>
      <c r="K1060" s="25"/>
      <c r="L1060" s="25"/>
      <c r="M1060" s="25"/>
      <c r="N1060" s="25"/>
      <c r="O1060" s="33">
        <f t="shared" si="42"/>
        <v>0</v>
      </c>
      <c r="P1060" s="25"/>
      <c r="Q1060" s="25">
        <f t="shared" si="41"/>
        <v>0</v>
      </c>
      <c r="R1060" s="39"/>
      <c r="S1060" s="39"/>
      <c r="T1060" s="39"/>
      <c r="U1060" s="39"/>
      <c r="V1060" s="39"/>
      <c r="W1060" s="25"/>
      <c r="X1060" s="33">
        <f t="shared" si="43"/>
        <v>0</v>
      </c>
      <c r="Y1060" s="39"/>
      <c r="Z1060" s="25">
        <f t="shared" si="40"/>
        <v>0</v>
      </c>
    </row>
    <row r="1061" spans="1:26" s="12" customFormat="1" ht="12">
      <c r="A1061" s="27"/>
      <c r="B1061" s="28"/>
      <c r="C1061" s="37" t="str">
        <f>IF(B1061="","",VLOOKUP($B1061,#REF!,2,FALSE))</f>
        <v/>
      </c>
      <c r="D1061" s="34" t="str">
        <f>IF(B1061="","",VLOOKUP($B1061,#REF!,3,FALSE))</f>
        <v/>
      </c>
      <c r="E1061" s="34" t="str">
        <f>IF(B1061="","",VLOOKUP($B1061,#REF!,4,FALSE))</f>
        <v/>
      </c>
      <c r="F1061" s="34" t="str">
        <f>IF(E1061="","",VLOOKUP($B1061,#REF!,5,FALSE))</f>
        <v/>
      </c>
      <c r="G1061" s="34" t="str">
        <f>IF(F1061="","",VLOOKUP($B1061,#REF!,6,FALSE))</f>
        <v/>
      </c>
      <c r="H1061" s="34" t="str">
        <f>IF(G1061="","",VLOOKUP($B1061,#REF!,7,FALSE))</f>
        <v/>
      </c>
      <c r="I1061" s="25"/>
      <c r="J1061" s="25"/>
      <c r="K1061" s="25"/>
      <c r="L1061" s="25"/>
      <c r="M1061" s="25"/>
      <c r="N1061" s="25"/>
      <c r="O1061" s="33">
        <f t="shared" si="42"/>
        <v>0</v>
      </c>
      <c r="P1061" s="25"/>
      <c r="Q1061" s="25">
        <f t="shared" si="41"/>
        <v>0</v>
      </c>
      <c r="R1061" s="39"/>
      <c r="S1061" s="39"/>
      <c r="T1061" s="39"/>
      <c r="U1061" s="39"/>
      <c r="V1061" s="39"/>
      <c r="W1061" s="25"/>
      <c r="X1061" s="33">
        <f t="shared" si="43"/>
        <v>0</v>
      </c>
      <c r="Y1061" s="39"/>
      <c r="Z1061" s="25">
        <f t="shared" si="40"/>
        <v>0</v>
      </c>
    </row>
    <row r="1062" spans="1:26" s="12" customFormat="1" ht="12">
      <c r="A1062" s="27"/>
      <c r="B1062" s="53"/>
      <c r="C1062" s="37" t="str">
        <f>IF(B1062="","",VLOOKUP($B1062,#REF!,2,FALSE))</f>
        <v/>
      </c>
      <c r="D1062" s="34" t="str">
        <f>IF(B1062="","",VLOOKUP($B1062,#REF!,3,FALSE))</f>
        <v/>
      </c>
      <c r="E1062" s="34" t="str">
        <f>IF(B1062="","",VLOOKUP($B1062,#REF!,4,FALSE))</f>
        <v/>
      </c>
      <c r="F1062" s="34" t="str">
        <f>IF(E1062="","",VLOOKUP($B1062,#REF!,5,FALSE))</f>
        <v/>
      </c>
      <c r="G1062" s="34" t="str">
        <f>IF(F1062="","",VLOOKUP($B1062,#REF!,6,FALSE))</f>
        <v/>
      </c>
      <c r="H1062" s="34" t="str">
        <f>IF(G1062="","",VLOOKUP($B1062,#REF!,7,FALSE))</f>
        <v/>
      </c>
      <c r="I1062" s="25"/>
      <c r="J1062" s="25"/>
      <c r="K1062" s="25"/>
      <c r="L1062" s="25"/>
      <c r="M1062" s="25"/>
      <c r="N1062" s="25"/>
      <c r="O1062" s="33">
        <f t="shared" si="42"/>
        <v>0</v>
      </c>
      <c r="P1062" s="25"/>
      <c r="Q1062" s="25">
        <f t="shared" si="41"/>
        <v>0</v>
      </c>
      <c r="R1062" s="39"/>
      <c r="S1062" s="39"/>
      <c r="T1062" s="39"/>
      <c r="U1062" s="39"/>
      <c r="V1062" s="39"/>
      <c r="W1062" s="25"/>
      <c r="X1062" s="33">
        <f t="shared" si="43"/>
        <v>0</v>
      </c>
      <c r="Y1062" s="39"/>
      <c r="Z1062" s="25">
        <f t="shared" si="40"/>
        <v>0</v>
      </c>
    </row>
    <row r="1063" spans="1:26" s="12" customFormat="1" ht="12">
      <c r="A1063" s="27"/>
      <c r="B1063" s="28"/>
      <c r="C1063" s="37" t="str">
        <f>IF(B1063="","",VLOOKUP($B1063,#REF!,2,FALSE))</f>
        <v/>
      </c>
      <c r="D1063" s="34" t="str">
        <f>IF(B1063="","",VLOOKUP($B1063,#REF!,3,FALSE))</f>
        <v/>
      </c>
      <c r="E1063" s="34" t="str">
        <f>IF(B1063="","",VLOOKUP($B1063,#REF!,4,FALSE))</f>
        <v/>
      </c>
      <c r="F1063" s="34" t="str">
        <f>IF(E1063="","",VLOOKUP($B1063,#REF!,5,FALSE))</f>
        <v/>
      </c>
      <c r="G1063" s="34" t="str">
        <f>IF(F1063="","",VLOOKUP($B1063,#REF!,6,FALSE))</f>
        <v/>
      </c>
      <c r="H1063" s="34" t="str">
        <f>IF(G1063="","",VLOOKUP($B1063,#REF!,7,FALSE))</f>
        <v/>
      </c>
      <c r="I1063" s="25"/>
      <c r="J1063" s="25"/>
      <c r="K1063" s="25"/>
      <c r="L1063" s="25"/>
      <c r="M1063" s="25"/>
      <c r="N1063" s="25"/>
      <c r="O1063" s="33">
        <f>SUM(I1063:N1063)</f>
        <v>0</v>
      </c>
      <c r="P1063" s="25"/>
      <c r="Q1063" s="25">
        <f t="shared" si="41"/>
        <v>0</v>
      </c>
      <c r="R1063" s="39"/>
      <c r="S1063" s="39"/>
      <c r="T1063" s="39"/>
      <c r="U1063" s="39"/>
      <c r="V1063" s="39"/>
      <c r="W1063" s="25"/>
      <c r="X1063" s="33">
        <f>SUM(R1063:W1063)</f>
        <v>0</v>
      </c>
      <c r="Y1063" s="39"/>
      <c r="Z1063" s="25">
        <f t="shared" si="40"/>
        <v>0</v>
      </c>
    </row>
    <row r="1064" spans="1:26" s="12" customFormat="1" ht="12">
      <c r="A1064" s="27"/>
      <c r="B1064" s="28"/>
      <c r="C1064" s="37" t="str">
        <f>IF(B1064="","",VLOOKUP($B1064,#REF!,2,FALSE))</f>
        <v/>
      </c>
      <c r="D1064" s="34" t="str">
        <f>IF(B1064="","",VLOOKUP($B1064,#REF!,3,FALSE))</f>
        <v/>
      </c>
      <c r="E1064" s="34" t="str">
        <f>IF(B1064="","",VLOOKUP($B1064,#REF!,4,FALSE))</f>
        <v/>
      </c>
      <c r="F1064" s="34" t="str">
        <f>IF(E1064="","",VLOOKUP($B1064,#REF!,5,FALSE))</f>
        <v/>
      </c>
      <c r="G1064" s="34" t="str">
        <f>IF(F1064="","",VLOOKUP($B1064,#REF!,6,FALSE))</f>
        <v/>
      </c>
      <c r="H1064" s="34" t="str">
        <f>IF(G1064="","",VLOOKUP($B1064,#REF!,7,FALSE))</f>
        <v/>
      </c>
      <c r="I1064" s="25"/>
      <c r="J1064" s="25"/>
      <c r="K1064" s="25"/>
      <c r="L1064" s="25"/>
      <c r="M1064" s="25"/>
      <c r="N1064" s="25"/>
      <c r="O1064" s="33">
        <f>SUM(I1064:N1064)</f>
        <v>0</v>
      </c>
      <c r="P1064" s="25"/>
      <c r="Q1064" s="25">
        <f t="shared" si="41"/>
        <v>0</v>
      </c>
      <c r="R1064" s="39"/>
      <c r="S1064" s="39"/>
      <c r="T1064" s="39"/>
      <c r="U1064" s="39"/>
      <c r="V1064" s="39"/>
      <c r="W1064" s="25"/>
      <c r="X1064" s="33">
        <f>SUM(R1064:W1064)</f>
        <v>0</v>
      </c>
      <c r="Y1064" s="39"/>
      <c r="Z1064" s="25">
        <f t="shared" si="40"/>
        <v>0</v>
      </c>
    </row>
    <row r="1065" spans="1:26" s="12" customFormat="1" ht="12">
      <c r="A1065" s="27"/>
      <c r="B1065" s="53"/>
      <c r="C1065" s="37" t="str">
        <f>IF(B1065="","",VLOOKUP($B1065,#REF!,2,FALSE))</f>
        <v/>
      </c>
      <c r="D1065" s="34" t="str">
        <f>IF(B1065="","",VLOOKUP($B1065,#REF!,3,FALSE))</f>
        <v/>
      </c>
      <c r="E1065" s="34" t="str">
        <f>IF(B1065="","",VLOOKUP($B1065,#REF!,4,FALSE))</f>
        <v/>
      </c>
      <c r="F1065" s="34" t="str">
        <f>IF(E1065="","",VLOOKUP($B1065,#REF!,5,FALSE))</f>
        <v/>
      </c>
      <c r="G1065" s="34" t="str">
        <f>IF(F1065="","",VLOOKUP($B1065,#REF!,6,FALSE))</f>
        <v/>
      </c>
      <c r="H1065" s="34" t="str">
        <f>IF(G1065="","",VLOOKUP($B1065,#REF!,7,FALSE))</f>
        <v/>
      </c>
      <c r="I1065" s="25"/>
      <c r="J1065" s="25"/>
      <c r="K1065" s="25"/>
      <c r="L1065" s="25"/>
      <c r="M1065" s="25"/>
      <c r="N1065" s="25"/>
      <c r="O1065" s="33">
        <f t="shared" si="42"/>
        <v>0</v>
      </c>
      <c r="P1065" s="25"/>
      <c r="Q1065" s="25">
        <f t="shared" si="41"/>
        <v>0</v>
      </c>
      <c r="R1065" s="39"/>
      <c r="S1065" s="39"/>
      <c r="T1065" s="39"/>
      <c r="U1065" s="39"/>
      <c r="V1065" s="39"/>
      <c r="W1065" s="25"/>
      <c r="X1065" s="33">
        <f t="shared" si="43"/>
        <v>0</v>
      </c>
      <c r="Y1065" s="39"/>
      <c r="Z1065" s="25">
        <f t="shared" si="40"/>
        <v>0</v>
      </c>
    </row>
    <row r="1066" spans="1:26" s="12" customFormat="1" ht="12">
      <c r="A1066" s="27"/>
      <c r="B1066" s="53"/>
      <c r="C1066" s="37" t="str">
        <f>IF(B1066="","",VLOOKUP($B1066,#REF!,2,FALSE))</f>
        <v/>
      </c>
      <c r="D1066" s="34" t="str">
        <f>IF(B1066="","",VLOOKUP($B1066,#REF!,3,FALSE))</f>
        <v/>
      </c>
      <c r="E1066" s="34" t="str">
        <f>IF(B1066="","",VLOOKUP($B1066,#REF!,4,FALSE))</f>
        <v/>
      </c>
      <c r="F1066" s="34" t="str">
        <f>IF(E1066="","",VLOOKUP($B1066,#REF!,5,FALSE))</f>
        <v/>
      </c>
      <c r="G1066" s="34" t="str">
        <f>IF(F1066="","",VLOOKUP($B1066,#REF!,6,FALSE))</f>
        <v/>
      </c>
      <c r="H1066" s="34" t="str">
        <f>IF(G1066="","",VLOOKUP($B1066,#REF!,7,FALSE))</f>
        <v/>
      </c>
      <c r="I1066" s="25"/>
      <c r="J1066" s="25"/>
      <c r="K1066" s="25"/>
      <c r="L1066" s="25"/>
      <c r="M1066" s="25"/>
      <c r="N1066" s="25"/>
      <c r="O1066" s="33">
        <f t="shared" si="42"/>
        <v>0</v>
      </c>
      <c r="P1066" s="25"/>
      <c r="Q1066" s="25">
        <f t="shared" si="41"/>
        <v>0</v>
      </c>
      <c r="R1066" s="39"/>
      <c r="S1066" s="39"/>
      <c r="T1066" s="39"/>
      <c r="U1066" s="39"/>
      <c r="V1066" s="39"/>
      <c r="W1066" s="25"/>
      <c r="X1066" s="33">
        <f t="shared" si="43"/>
        <v>0</v>
      </c>
      <c r="Y1066" s="39"/>
      <c r="Z1066" s="25">
        <f t="shared" si="40"/>
        <v>0</v>
      </c>
    </row>
    <row r="1067" spans="1:26" s="12" customFormat="1" ht="12">
      <c r="A1067" s="27"/>
      <c r="B1067" s="53"/>
      <c r="C1067" s="37" t="str">
        <f>IF(B1067="","",VLOOKUP($B1067,#REF!,2,FALSE))</f>
        <v/>
      </c>
      <c r="D1067" s="34" t="str">
        <f>IF(B1067="","",VLOOKUP($B1067,#REF!,3,FALSE))</f>
        <v/>
      </c>
      <c r="E1067" s="34" t="str">
        <f>IF(B1067="","",VLOOKUP($B1067,#REF!,4,FALSE))</f>
        <v/>
      </c>
      <c r="F1067" s="34" t="str">
        <f>IF(E1067="","",VLOOKUP($B1067,#REF!,5,FALSE))</f>
        <v/>
      </c>
      <c r="G1067" s="34" t="str">
        <f>IF(F1067="","",VLOOKUP($B1067,#REF!,6,FALSE))</f>
        <v/>
      </c>
      <c r="H1067" s="34" t="str">
        <f>IF(G1067="","",VLOOKUP($B1067,#REF!,7,FALSE))</f>
        <v/>
      </c>
      <c r="I1067" s="25"/>
      <c r="J1067" s="25"/>
      <c r="K1067" s="25"/>
      <c r="L1067" s="25"/>
      <c r="M1067" s="25"/>
      <c r="N1067" s="25"/>
      <c r="O1067" s="33">
        <f t="shared" si="42"/>
        <v>0</v>
      </c>
      <c r="P1067" s="25"/>
      <c r="Q1067" s="25">
        <f t="shared" si="41"/>
        <v>0</v>
      </c>
      <c r="R1067" s="39"/>
      <c r="S1067" s="39"/>
      <c r="T1067" s="39"/>
      <c r="U1067" s="39"/>
      <c r="V1067" s="39"/>
      <c r="W1067" s="25"/>
      <c r="X1067" s="33">
        <f t="shared" si="43"/>
        <v>0</v>
      </c>
      <c r="Y1067" s="39"/>
      <c r="Z1067" s="25">
        <f t="shared" si="40"/>
        <v>0</v>
      </c>
    </row>
    <row r="1068" spans="1:26" s="12" customFormat="1" ht="12">
      <c r="A1068" s="27"/>
      <c r="B1068" s="53"/>
      <c r="C1068" s="37" t="str">
        <f>IF(B1068="","",VLOOKUP($B1068,#REF!,2,FALSE))</f>
        <v/>
      </c>
      <c r="D1068" s="34" t="str">
        <f>IF(B1068="","",VLOOKUP($B1068,#REF!,3,FALSE))</f>
        <v/>
      </c>
      <c r="E1068" s="34" t="str">
        <f>IF(B1068="","",VLOOKUP($B1068,#REF!,4,FALSE))</f>
        <v/>
      </c>
      <c r="F1068" s="34" t="str">
        <f>IF(E1068="","",VLOOKUP($B1068,#REF!,5,FALSE))</f>
        <v/>
      </c>
      <c r="G1068" s="34" t="str">
        <f>IF(F1068="","",VLOOKUP($B1068,#REF!,6,FALSE))</f>
        <v/>
      </c>
      <c r="H1068" s="34" t="str">
        <f>IF(G1068="","",VLOOKUP($B1068,#REF!,7,FALSE))</f>
        <v/>
      </c>
      <c r="I1068" s="25"/>
      <c r="J1068" s="25"/>
      <c r="K1068" s="25"/>
      <c r="L1068" s="25"/>
      <c r="M1068" s="25"/>
      <c r="N1068" s="25"/>
      <c r="O1068" s="33">
        <f t="shared" si="42"/>
        <v>0</v>
      </c>
      <c r="P1068" s="25"/>
      <c r="Q1068" s="25">
        <f t="shared" si="41"/>
        <v>0</v>
      </c>
      <c r="R1068" s="39"/>
      <c r="S1068" s="39"/>
      <c r="T1068" s="39"/>
      <c r="U1068" s="39"/>
      <c r="V1068" s="39"/>
      <c r="W1068" s="25"/>
      <c r="X1068" s="33">
        <f t="shared" si="43"/>
        <v>0</v>
      </c>
      <c r="Y1068" s="39"/>
      <c r="Z1068" s="25">
        <f t="shared" si="40"/>
        <v>0</v>
      </c>
    </row>
    <row r="1069" spans="1:26" s="12" customFormat="1" ht="12">
      <c r="A1069" s="27"/>
      <c r="B1069" s="53"/>
      <c r="C1069" s="37" t="str">
        <f>IF(B1069="","",VLOOKUP($B1069,#REF!,2,FALSE))</f>
        <v/>
      </c>
      <c r="D1069" s="34" t="str">
        <f>IF(B1069="","",VLOOKUP($B1069,#REF!,3,FALSE))</f>
        <v/>
      </c>
      <c r="E1069" s="34" t="str">
        <f>IF(B1069="","",VLOOKUP($B1069,#REF!,4,FALSE))</f>
        <v/>
      </c>
      <c r="F1069" s="34" t="str">
        <f>IF(E1069="","",VLOOKUP($B1069,#REF!,5,FALSE))</f>
        <v/>
      </c>
      <c r="G1069" s="34" t="str">
        <f>IF(F1069="","",VLOOKUP($B1069,#REF!,6,FALSE))</f>
        <v/>
      </c>
      <c r="H1069" s="34" t="str">
        <f>IF(G1069="","",VLOOKUP($B1069,#REF!,7,FALSE))</f>
        <v/>
      </c>
      <c r="I1069" s="25"/>
      <c r="J1069" s="25"/>
      <c r="K1069" s="25"/>
      <c r="L1069" s="25"/>
      <c r="M1069" s="25"/>
      <c r="N1069" s="25"/>
      <c r="O1069" s="33">
        <f t="shared" si="42"/>
        <v>0</v>
      </c>
      <c r="P1069" s="25"/>
      <c r="Q1069" s="25">
        <f t="shared" si="41"/>
        <v>0</v>
      </c>
      <c r="R1069" s="39"/>
      <c r="S1069" s="39"/>
      <c r="T1069" s="39"/>
      <c r="U1069" s="39"/>
      <c r="V1069" s="39"/>
      <c r="W1069" s="25"/>
      <c r="X1069" s="33">
        <f t="shared" si="43"/>
        <v>0</v>
      </c>
      <c r="Y1069" s="39"/>
      <c r="Z1069" s="25">
        <f t="shared" si="40"/>
        <v>0</v>
      </c>
    </row>
    <row r="1070" spans="1:26" s="12" customFormat="1" ht="12">
      <c r="A1070" s="27"/>
      <c r="B1070" s="53"/>
      <c r="C1070" s="37" t="str">
        <f>IF(B1070="","",VLOOKUP($B1070,#REF!,2,FALSE))</f>
        <v/>
      </c>
      <c r="D1070" s="34" t="str">
        <f>IF(B1070="","",VLOOKUP($B1070,#REF!,3,FALSE))</f>
        <v/>
      </c>
      <c r="E1070" s="34" t="str">
        <f>IF(B1070="","",VLOOKUP($B1070,#REF!,4,FALSE))</f>
        <v/>
      </c>
      <c r="F1070" s="34" t="str">
        <f>IF(E1070="","",VLOOKUP($B1070,#REF!,5,FALSE))</f>
        <v/>
      </c>
      <c r="G1070" s="34" t="str">
        <f>IF(F1070="","",VLOOKUP($B1070,#REF!,6,FALSE))</f>
        <v/>
      </c>
      <c r="H1070" s="34" t="str">
        <f>IF(G1070="","",VLOOKUP($B1070,#REF!,7,FALSE))</f>
        <v/>
      </c>
      <c r="I1070" s="25"/>
      <c r="J1070" s="25"/>
      <c r="K1070" s="25"/>
      <c r="L1070" s="25"/>
      <c r="M1070" s="25"/>
      <c r="N1070" s="25"/>
      <c r="O1070" s="33">
        <f t="shared" si="42"/>
        <v>0</v>
      </c>
      <c r="P1070" s="25"/>
      <c r="Q1070" s="25">
        <f t="shared" si="41"/>
        <v>0</v>
      </c>
      <c r="R1070" s="39"/>
      <c r="S1070" s="39"/>
      <c r="T1070" s="39"/>
      <c r="U1070" s="39"/>
      <c r="V1070" s="39"/>
      <c r="W1070" s="25"/>
      <c r="X1070" s="33">
        <f t="shared" si="43"/>
        <v>0</v>
      </c>
      <c r="Y1070" s="39"/>
      <c r="Z1070" s="25">
        <f t="shared" si="40"/>
        <v>0</v>
      </c>
    </row>
    <row r="1071" spans="1:26" s="12" customFormat="1" ht="12">
      <c r="A1071" s="27"/>
      <c r="B1071" s="73"/>
      <c r="C1071" s="37" t="str">
        <f>IF(B1071="","",VLOOKUP($B1071,#REF!,2,FALSE))</f>
        <v/>
      </c>
      <c r="D1071" s="34" t="str">
        <f>IF(B1071="","",VLOOKUP($B1071,#REF!,3,FALSE))</f>
        <v/>
      </c>
      <c r="E1071" s="34" t="str">
        <f>IF(B1071="","",VLOOKUP($B1071,#REF!,4,FALSE))</f>
        <v/>
      </c>
      <c r="F1071" s="34" t="str">
        <f>IF(E1071="","",VLOOKUP($B1071,#REF!,5,FALSE))</f>
        <v/>
      </c>
      <c r="G1071" s="34" t="str">
        <f>IF(F1071="","",VLOOKUP($B1071,#REF!,6,FALSE))</f>
        <v/>
      </c>
      <c r="H1071" s="34" t="str">
        <f>IF(G1071="","",VLOOKUP($B1071,#REF!,7,FALSE))</f>
        <v/>
      </c>
      <c r="I1071" s="25"/>
      <c r="J1071" s="25"/>
      <c r="K1071" s="25"/>
      <c r="L1071" s="25"/>
      <c r="M1071" s="25"/>
      <c r="N1071" s="25"/>
      <c r="O1071" s="33">
        <f t="shared" si="42"/>
        <v>0</v>
      </c>
      <c r="P1071" s="25"/>
      <c r="Q1071" s="25">
        <f t="shared" si="41"/>
        <v>0</v>
      </c>
      <c r="R1071" s="39"/>
      <c r="S1071" s="39"/>
      <c r="T1071" s="39"/>
      <c r="U1071" s="39"/>
      <c r="V1071" s="39"/>
      <c r="W1071" s="25"/>
      <c r="X1071" s="33">
        <f t="shared" si="43"/>
        <v>0</v>
      </c>
      <c r="Y1071" s="39"/>
      <c r="Z1071" s="25">
        <f t="shared" si="40"/>
        <v>0</v>
      </c>
    </row>
    <row r="1072" spans="1:26" s="12" customFormat="1" ht="12">
      <c r="A1072" s="27"/>
      <c r="B1072" s="53"/>
      <c r="C1072" s="37" t="str">
        <f>IF(B1072="","",VLOOKUP($B1072,#REF!,2,FALSE))</f>
        <v/>
      </c>
      <c r="D1072" s="34" t="str">
        <f>IF(B1072="","",VLOOKUP($B1072,#REF!,3,FALSE))</f>
        <v/>
      </c>
      <c r="E1072" s="34" t="str">
        <f>IF(B1072="","",VLOOKUP($B1072,#REF!,4,FALSE))</f>
        <v/>
      </c>
      <c r="F1072" s="34" t="str">
        <f>IF(E1072="","",VLOOKUP($B1072,#REF!,5,FALSE))</f>
        <v/>
      </c>
      <c r="G1072" s="34" t="str">
        <f>IF(F1072="","",VLOOKUP($B1072,#REF!,6,FALSE))</f>
        <v/>
      </c>
      <c r="H1072" s="34" t="str">
        <f>IF(G1072="","",VLOOKUP($B1072,#REF!,7,FALSE))</f>
        <v/>
      </c>
      <c r="I1072" s="25"/>
      <c r="J1072" s="25"/>
      <c r="K1072" s="25"/>
      <c r="L1072" s="25"/>
      <c r="M1072" s="25"/>
      <c r="N1072" s="25"/>
      <c r="O1072" s="33">
        <f t="shared" si="42"/>
        <v>0</v>
      </c>
      <c r="P1072" s="25"/>
      <c r="Q1072" s="25">
        <f t="shared" si="41"/>
        <v>0</v>
      </c>
      <c r="R1072" s="39"/>
      <c r="S1072" s="39"/>
      <c r="T1072" s="39"/>
      <c r="U1072" s="39"/>
      <c r="V1072" s="39"/>
      <c r="W1072" s="25"/>
      <c r="X1072" s="33">
        <f t="shared" si="43"/>
        <v>0</v>
      </c>
      <c r="Y1072" s="39"/>
      <c r="Z1072" s="25">
        <f t="shared" si="40"/>
        <v>0</v>
      </c>
    </row>
    <row r="1073" spans="1:26" s="12" customFormat="1" ht="12">
      <c r="A1073" s="27"/>
      <c r="B1073" s="28"/>
      <c r="C1073" s="37" t="str">
        <f>IF(B1073="","",VLOOKUP($B1073,#REF!,2,FALSE))</f>
        <v/>
      </c>
      <c r="D1073" s="34" t="str">
        <f>IF(B1073="","",VLOOKUP($B1073,#REF!,3,FALSE))</f>
        <v/>
      </c>
      <c r="E1073" s="34" t="str">
        <f>IF(B1073="","",VLOOKUP($B1073,#REF!,4,FALSE))</f>
        <v/>
      </c>
      <c r="F1073" s="34" t="str">
        <f>IF(E1073="","",VLOOKUP($B1073,#REF!,5,FALSE))</f>
        <v/>
      </c>
      <c r="G1073" s="34" t="str">
        <f>IF(F1073="","",VLOOKUP($B1073,#REF!,6,FALSE))</f>
        <v/>
      </c>
      <c r="H1073" s="34" t="str">
        <f>IF(G1073="","",VLOOKUP($B1073,#REF!,7,FALSE))</f>
        <v/>
      </c>
      <c r="I1073" s="25"/>
      <c r="J1073" s="25"/>
      <c r="K1073" s="25"/>
      <c r="L1073" s="25"/>
      <c r="M1073" s="25"/>
      <c r="N1073" s="25"/>
      <c r="O1073" s="33">
        <f t="shared" si="42"/>
        <v>0</v>
      </c>
      <c r="P1073" s="25"/>
      <c r="Q1073" s="25">
        <f t="shared" si="41"/>
        <v>0</v>
      </c>
      <c r="R1073" s="39"/>
      <c r="S1073" s="39"/>
      <c r="T1073" s="39"/>
      <c r="U1073" s="39"/>
      <c r="V1073" s="39"/>
      <c r="W1073" s="25"/>
      <c r="X1073" s="33">
        <f t="shared" si="43"/>
        <v>0</v>
      </c>
      <c r="Y1073" s="39"/>
      <c r="Z1073" s="25">
        <f t="shared" si="40"/>
        <v>0</v>
      </c>
    </row>
    <row r="1074" spans="1:26" s="12" customFormat="1" ht="12">
      <c r="A1074" s="27"/>
      <c r="B1074" s="73"/>
      <c r="C1074" s="37" t="str">
        <f>IF(B1074="","",VLOOKUP($B1074,#REF!,2,FALSE))</f>
        <v/>
      </c>
      <c r="D1074" s="34" t="str">
        <f>IF(B1074="","",VLOOKUP($B1074,#REF!,3,FALSE))</f>
        <v/>
      </c>
      <c r="E1074" s="34" t="str">
        <f>IF(B1074="","",VLOOKUP($B1074,#REF!,4,FALSE))</f>
        <v/>
      </c>
      <c r="F1074" s="34" t="str">
        <f>IF(E1074="","",VLOOKUP($B1074,#REF!,5,FALSE))</f>
        <v/>
      </c>
      <c r="G1074" s="34" t="str">
        <f>IF(F1074="","",VLOOKUP($B1074,#REF!,6,FALSE))</f>
        <v/>
      </c>
      <c r="H1074" s="34" t="str">
        <f>IF(G1074="","",VLOOKUP($B1074,#REF!,7,FALSE))</f>
        <v/>
      </c>
      <c r="I1074" s="25"/>
      <c r="J1074" s="25"/>
      <c r="K1074" s="25"/>
      <c r="L1074" s="25"/>
      <c r="M1074" s="25"/>
      <c r="N1074" s="25"/>
      <c r="O1074" s="33">
        <f t="shared" si="42"/>
        <v>0</v>
      </c>
      <c r="P1074" s="25"/>
      <c r="Q1074" s="25">
        <f t="shared" si="41"/>
        <v>0</v>
      </c>
      <c r="R1074" s="39"/>
      <c r="S1074" s="39"/>
      <c r="T1074" s="39"/>
      <c r="U1074" s="39"/>
      <c r="V1074" s="39"/>
      <c r="W1074" s="25"/>
      <c r="X1074" s="33">
        <f t="shared" si="43"/>
        <v>0</v>
      </c>
      <c r="Y1074" s="39"/>
      <c r="Z1074" s="25">
        <f t="shared" si="40"/>
        <v>0</v>
      </c>
    </row>
    <row r="1075" spans="1:26" s="12" customFormat="1" ht="12">
      <c r="A1075" s="27"/>
      <c r="B1075" s="28"/>
      <c r="C1075" s="37" t="str">
        <f>IF(B1075="","",VLOOKUP($B1075,#REF!,2,FALSE))</f>
        <v/>
      </c>
      <c r="D1075" s="34" t="str">
        <f>IF(B1075="","",VLOOKUP($B1075,#REF!,3,FALSE))</f>
        <v/>
      </c>
      <c r="E1075" s="34" t="str">
        <f>IF(B1075="","",VLOOKUP($B1075,#REF!,4,FALSE))</f>
        <v/>
      </c>
      <c r="F1075" s="34" t="str">
        <f>IF(E1075="","",VLOOKUP($B1075,#REF!,5,FALSE))</f>
        <v/>
      </c>
      <c r="G1075" s="34" t="str">
        <f>IF(F1075="","",VLOOKUP($B1075,#REF!,6,FALSE))</f>
        <v/>
      </c>
      <c r="H1075" s="34" t="str">
        <f>IF(G1075="","",VLOOKUP($B1075,#REF!,7,FALSE))</f>
        <v/>
      </c>
      <c r="I1075" s="25"/>
      <c r="J1075" s="25"/>
      <c r="K1075" s="25"/>
      <c r="L1075" s="25"/>
      <c r="M1075" s="25"/>
      <c r="N1075" s="25"/>
      <c r="O1075" s="33">
        <f t="shared" si="42"/>
        <v>0</v>
      </c>
      <c r="P1075" s="25"/>
      <c r="Q1075" s="25">
        <f t="shared" si="41"/>
        <v>0</v>
      </c>
      <c r="R1075" s="39"/>
      <c r="S1075" s="39"/>
      <c r="T1075" s="39"/>
      <c r="U1075" s="39"/>
      <c r="V1075" s="39"/>
      <c r="W1075" s="25"/>
      <c r="X1075" s="33">
        <f t="shared" si="43"/>
        <v>0</v>
      </c>
      <c r="Y1075" s="39"/>
      <c r="Z1075" s="25">
        <f t="shared" si="40"/>
        <v>0</v>
      </c>
    </row>
    <row r="1076" spans="1:26" s="12" customFormat="1" ht="12">
      <c r="A1076" s="27"/>
      <c r="B1076" s="28"/>
      <c r="C1076" s="37" t="str">
        <f>IF(B1076="","",VLOOKUP($B1076,#REF!,2,FALSE))</f>
        <v/>
      </c>
      <c r="D1076" s="34" t="str">
        <f>IF(B1076="","",VLOOKUP($B1076,#REF!,3,FALSE))</f>
        <v/>
      </c>
      <c r="E1076" s="34" t="str">
        <f>IF(B1076="","",VLOOKUP($B1076,#REF!,4,FALSE))</f>
        <v/>
      </c>
      <c r="F1076" s="34" t="str">
        <f>IF(E1076="","",VLOOKUP($B1076,#REF!,5,FALSE))</f>
        <v/>
      </c>
      <c r="G1076" s="34" t="str">
        <f>IF(F1076="","",VLOOKUP($B1076,#REF!,6,FALSE))</f>
        <v/>
      </c>
      <c r="H1076" s="34" t="str">
        <f>IF(G1076="","",VLOOKUP($B1076,#REF!,7,FALSE))</f>
        <v/>
      </c>
      <c r="I1076" s="25"/>
      <c r="J1076" s="25"/>
      <c r="K1076" s="25"/>
      <c r="L1076" s="25"/>
      <c r="M1076" s="25"/>
      <c r="N1076" s="25"/>
      <c r="O1076" s="33">
        <f t="shared" si="42"/>
        <v>0</v>
      </c>
      <c r="P1076" s="25"/>
      <c r="Q1076" s="25">
        <f t="shared" si="41"/>
        <v>0</v>
      </c>
      <c r="R1076" s="39"/>
      <c r="S1076" s="39"/>
      <c r="T1076" s="39"/>
      <c r="U1076" s="39"/>
      <c r="V1076" s="39"/>
      <c r="W1076" s="25"/>
      <c r="X1076" s="33">
        <f t="shared" si="43"/>
        <v>0</v>
      </c>
      <c r="Y1076" s="39"/>
      <c r="Z1076" s="25">
        <f t="shared" si="40"/>
        <v>0</v>
      </c>
    </row>
    <row r="1077" spans="1:26" s="12" customFormat="1" ht="12">
      <c r="A1077" s="27"/>
      <c r="B1077" s="73"/>
      <c r="C1077" s="37" t="str">
        <f>IF(B1077="","",VLOOKUP($B1077,#REF!,2,FALSE))</f>
        <v/>
      </c>
      <c r="D1077" s="34" t="str">
        <f>IF(B1077="","",VLOOKUP($B1077,#REF!,3,FALSE))</f>
        <v/>
      </c>
      <c r="E1077" s="34" t="str">
        <f>IF(B1077="","",VLOOKUP($B1077,#REF!,4,FALSE))</f>
        <v/>
      </c>
      <c r="F1077" s="34" t="str">
        <f>IF(E1077="","",VLOOKUP($B1077,#REF!,5,FALSE))</f>
        <v/>
      </c>
      <c r="G1077" s="34" t="str">
        <f>IF(F1077="","",VLOOKUP($B1077,#REF!,6,FALSE))</f>
        <v/>
      </c>
      <c r="H1077" s="34" t="str">
        <f>IF(G1077="","",VLOOKUP($B1077,#REF!,7,FALSE))</f>
        <v/>
      </c>
      <c r="I1077" s="25"/>
      <c r="J1077" s="25"/>
      <c r="K1077" s="25"/>
      <c r="L1077" s="25"/>
      <c r="M1077" s="25"/>
      <c r="N1077" s="25"/>
      <c r="O1077" s="33">
        <f t="shared" si="42"/>
        <v>0</v>
      </c>
      <c r="P1077" s="25"/>
      <c r="Q1077" s="25">
        <f t="shared" si="41"/>
        <v>0</v>
      </c>
      <c r="R1077" s="39"/>
      <c r="S1077" s="39"/>
      <c r="T1077" s="39"/>
      <c r="U1077" s="39"/>
      <c r="V1077" s="39"/>
      <c r="W1077" s="25"/>
      <c r="X1077" s="33">
        <f t="shared" si="43"/>
        <v>0</v>
      </c>
      <c r="Y1077" s="39"/>
      <c r="Z1077" s="25">
        <f t="shared" si="40"/>
        <v>0</v>
      </c>
    </row>
    <row r="1078" spans="1:26" s="12" customFormat="1" ht="12">
      <c r="A1078" s="27"/>
      <c r="B1078" s="53"/>
      <c r="C1078" s="37" t="str">
        <f>IF(B1078="","",VLOOKUP($B1078,#REF!,2,FALSE))</f>
        <v/>
      </c>
      <c r="D1078" s="34" t="str">
        <f>IF(B1078="","",VLOOKUP($B1078,#REF!,3,FALSE))</f>
        <v/>
      </c>
      <c r="E1078" s="34" t="str">
        <f>IF(B1078="","",VLOOKUP($B1078,#REF!,4,FALSE))</f>
        <v/>
      </c>
      <c r="F1078" s="34" t="str">
        <f>IF(E1078="","",VLOOKUP($B1078,#REF!,5,FALSE))</f>
        <v/>
      </c>
      <c r="G1078" s="34" t="str">
        <f>IF(F1078="","",VLOOKUP($B1078,#REF!,6,FALSE))</f>
        <v/>
      </c>
      <c r="H1078" s="34" t="str">
        <f>IF(G1078="","",VLOOKUP($B1078,#REF!,7,FALSE))</f>
        <v/>
      </c>
      <c r="I1078" s="25"/>
      <c r="J1078" s="25"/>
      <c r="K1078" s="25"/>
      <c r="L1078" s="25"/>
      <c r="M1078" s="25"/>
      <c r="N1078" s="25"/>
      <c r="O1078" s="33">
        <f t="shared" si="42"/>
        <v>0</v>
      </c>
      <c r="P1078" s="25"/>
      <c r="Q1078" s="25">
        <f t="shared" si="41"/>
        <v>0</v>
      </c>
      <c r="R1078" s="39"/>
      <c r="S1078" s="39"/>
      <c r="T1078" s="39"/>
      <c r="U1078" s="39"/>
      <c r="V1078" s="39"/>
      <c r="W1078" s="25"/>
      <c r="X1078" s="33">
        <f t="shared" si="43"/>
        <v>0</v>
      </c>
      <c r="Y1078" s="39"/>
      <c r="Z1078" s="25">
        <f t="shared" si="40"/>
        <v>0</v>
      </c>
    </row>
    <row r="1079" spans="1:26" s="12" customFormat="1" ht="12">
      <c r="A1079" s="27"/>
      <c r="B1079" s="53"/>
      <c r="C1079" s="37" t="str">
        <f>IF(B1079="","",VLOOKUP($B1079,#REF!,2,FALSE))</f>
        <v/>
      </c>
      <c r="D1079" s="34" t="str">
        <f>IF(B1079="","",VLOOKUP($B1079,#REF!,3,FALSE))</f>
        <v/>
      </c>
      <c r="E1079" s="34" t="str">
        <f>IF(B1079="","",VLOOKUP($B1079,#REF!,4,FALSE))</f>
        <v/>
      </c>
      <c r="F1079" s="34" t="str">
        <f>IF(E1079="","",VLOOKUP($B1079,#REF!,5,FALSE))</f>
        <v/>
      </c>
      <c r="G1079" s="34" t="str">
        <f>IF(F1079="","",VLOOKUP($B1079,#REF!,6,FALSE))</f>
        <v/>
      </c>
      <c r="H1079" s="34" t="str">
        <f>IF(G1079="","",VLOOKUP($B1079,#REF!,7,FALSE))</f>
        <v/>
      </c>
      <c r="I1079" s="25"/>
      <c r="J1079" s="25"/>
      <c r="K1079" s="25"/>
      <c r="L1079" s="25"/>
      <c r="M1079" s="25"/>
      <c r="N1079" s="25"/>
      <c r="O1079" s="33">
        <f t="shared" si="42"/>
        <v>0</v>
      </c>
      <c r="P1079" s="25"/>
      <c r="Q1079" s="25">
        <f t="shared" si="41"/>
        <v>0</v>
      </c>
      <c r="R1079" s="39"/>
      <c r="S1079" s="39"/>
      <c r="T1079" s="39"/>
      <c r="U1079" s="39"/>
      <c r="V1079" s="39"/>
      <c r="W1079" s="25"/>
      <c r="X1079" s="33">
        <f t="shared" si="43"/>
        <v>0</v>
      </c>
      <c r="Y1079" s="39"/>
      <c r="Z1079" s="25">
        <f t="shared" si="40"/>
        <v>0</v>
      </c>
    </row>
    <row r="1080" spans="1:26" s="12" customFormat="1" ht="12">
      <c r="A1080" s="27"/>
      <c r="B1080" s="53"/>
      <c r="C1080" s="37" t="str">
        <f>IF(B1080="","",VLOOKUP($B1080,#REF!,2,FALSE))</f>
        <v/>
      </c>
      <c r="D1080" s="34" t="str">
        <f>IF(B1080="","",VLOOKUP($B1080,#REF!,3,FALSE))</f>
        <v/>
      </c>
      <c r="E1080" s="34" t="str">
        <f>IF(B1080="","",VLOOKUP($B1080,#REF!,4,FALSE))</f>
        <v/>
      </c>
      <c r="F1080" s="34" t="str">
        <f>IF(E1080="","",VLOOKUP($B1080,#REF!,5,FALSE))</f>
        <v/>
      </c>
      <c r="G1080" s="34" t="str">
        <f>IF(F1080="","",VLOOKUP($B1080,#REF!,6,FALSE))</f>
        <v/>
      </c>
      <c r="H1080" s="34" t="str">
        <f>IF(G1080="","",VLOOKUP($B1080,#REF!,7,FALSE))</f>
        <v/>
      </c>
      <c r="I1080" s="25"/>
      <c r="J1080" s="25"/>
      <c r="K1080" s="25"/>
      <c r="L1080" s="25"/>
      <c r="M1080" s="25"/>
      <c r="N1080" s="25"/>
      <c r="O1080" s="33">
        <f t="shared" si="42"/>
        <v>0</v>
      </c>
      <c r="P1080" s="25"/>
      <c r="Q1080" s="25">
        <f t="shared" si="41"/>
        <v>0</v>
      </c>
      <c r="R1080" s="39"/>
      <c r="S1080" s="39"/>
      <c r="T1080" s="39"/>
      <c r="U1080" s="39"/>
      <c r="V1080" s="39"/>
      <c r="W1080" s="25"/>
      <c r="X1080" s="33">
        <f t="shared" si="43"/>
        <v>0</v>
      </c>
      <c r="Y1080" s="39"/>
      <c r="Z1080" s="25">
        <f t="shared" si="40"/>
        <v>0</v>
      </c>
    </row>
    <row r="1081" spans="1:26" s="12" customFormat="1" ht="12">
      <c r="A1081" s="27"/>
      <c r="B1081" s="53"/>
      <c r="C1081" s="37" t="str">
        <f>IF(B1081="","",VLOOKUP($B1081,#REF!,2,FALSE))</f>
        <v/>
      </c>
      <c r="D1081" s="34" t="str">
        <f>IF(B1081="","",VLOOKUP($B1081,#REF!,3,FALSE))</f>
        <v/>
      </c>
      <c r="E1081" s="34" t="str">
        <f>IF(B1081="","",VLOOKUP($B1081,#REF!,4,FALSE))</f>
        <v/>
      </c>
      <c r="F1081" s="34" t="str">
        <f>IF(E1081="","",VLOOKUP($B1081,#REF!,5,FALSE))</f>
        <v/>
      </c>
      <c r="G1081" s="34" t="str">
        <f>IF(F1081="","",VLOOKUP($B1081,#REF!,6,FALSE))</f>
        <v/>
      </c>
      <c r="H1081" s="34" t="str">
        <f>IF(G1081="","",VLOOKUP($B1081,#REF!,7,FALSE))</f>
        <v/>
      </c>
      <c r="I1081" s="25"/>
      <c r="J1081" s="25"/>
      <c r="K1081" s="25"/>
      <c r="L1081" s="25"/>
      <c r="M1081" s="25"/>
      <c r="N1081" s="25"/>
      <c r="O1081" s="33">
        <f t="shared" si="42"/>
        <v>0</v>
      </c>
      <c r="P1081" s="25"/>
      <c r="Q1081" s="25">
        <f t="shared" si="41"/>
        <v>0</v>
      </c>
      <c r="R1081" s="39"/>
      <c r="S1081" s="39"/>
      <c r="T1081" s="39"/>
      <c r="U1081" s="39"/>
      <c r="V1081" s="39"/>
      <c r="W1081" s="25"/>
      <c r="X1081" s="33">
        <f t="shared" si="43"/>
        <v>0</v>
      </c>
      <c r="Y1081" s="39"/>
      <c r="Z1081" s="25">
        <f t="shared" si="40"/>
        <v>0</v>
      </c>
    </row>
    <row r="1082" spans="1:26" s="12" customFormat="1" ht="12">
      <c r="A1082" s="27"/>
      <c r="B1082" s="74"/>
      <c r="C1082" s="37" t="str">
        <f>IF(B1082="","",VLOOKUP($B1082,#REF!,2,FALSE))</f>
        <v/>
      </c>
      <c r="D1082" s="34" t="str">
        <f>IF(B1082="","",VLOOKUP($B1082,#REF!,3,FALSE))</f>
        <v/>
      </c>
      <c r="E1082" s="34" t="str">
        <f>IF(B1082="","",VLOOKUP($B1082,#REF!,4,FALSE))</f>
        <v/>
      </c>
      <c r="F1082" s="34" t="str">
        <f>IF(E1082="","",VLOOKUP($B1082,#REF!,5,FALSE))</f>
        <v/>
      </c>
      <c r="G1082" s="34" t="str">
        <f>IF(F1082="","",VLOOKUP($B1082,#REF!,6,FALSE))</f>
        <v/>
      </c>
      <c r="H1082" s="34" t="str">
        <f>IF(G1082="","",VLOOKUP($B1082,#REF!,7,FALSE))</f>
        <v/>
      </c>
      <c r="I1082" s="25"/>
      <c r="J1082" s="25"/>
      <c r="K1082" s="25"/>
      <c r="L1082" s="25"/>
      <c r="M1082" s="25"/>
      <c r="N1082" s="25"/>
      <c r="O1082" s="33">
        <f t="shared" si="42"/>
        <v>0</v>
      </c>
      <c r="P1082" s="25"/>
      <c r="Q1082" s="25">
        <f t="shared" si="41"/>
        <v>0</v>
      </c>
      <c r="R1082" s="39"/>
      <c r="S1082" s="39"/>
      <c r="T1082" s="39"/>
      <c r="U1082" s="39"/>
      <c r="V1082" s="39"/>
      <c r="W1082" s="25"/>
      <c r="X1082" s="33">
        <f t="shared" si="43"/>
        <v>0</v>
      </c>
      <c r="Y1082" s="39"/>
      <c r="Z1082" s="25">
        <f t="shared" si="40"/>
        <v>0</v>
      </c>
    </row>
    <row r="1083" spans="1:26" s="12" customFormat="1" ht="12">
      <c r="A1083" s="27"/>
      <c r="B1083" s="53"/>
      <c r="C1083" s="37" t="str">
        <f>IF(B1083="","",VLOOKUP($B1083,#REF!,2,FALSE))</f>
        <v/>
      </c>
      <c r="D1083" s="34" t="str">
        <f>IF(B1083="","",VLOOKUP($B1083,#REF!,3,FALSE))</f>
        <v/>
      </c>
      <c r="E1083" s="34" t="str">
        <f>IF(B1083="","",VLOOKUP($B1083,#REF!,4,FALSE))</f>
        <v/>
      </c>
      <c r="F1083" s="34" t="str">
        <f>IF(E1083="","",VLOOKUP($B1083,#REF!,5,FALSE))</f>
        <v/>
      </c>
      <c r="G1083" s="34" t="str">
        <f>IF(F1083="","",VLOOKUP($B1083,#REF!,6,FALSE))</f>
        <v/>
      </c>
      <c r="H1083" s="34" t="str">
        <f>IF(G1083="","",VLOOKUP($B1083,#REF!,7,FALSE))</f>
        <v/>
      </c>
      <c r="I1083" s="25"/>
      <c r="J1083" s="25"/>
      <c r="K1083" s="25"/>
      <c r="L1083" s="25"/>
      <c r="M1083" s="25"/>
      <c r="N1083" s="25"/>
      <c r="O1083" s="33">
        <f t="shared" si="42"/>
        <v>0</v>
      </c>
      <c r="P1083" s="25"/>
      <c r="Q1083" s="25">
        <f t="shared" si="41"/>
        <v>0</v>
      </c>
      <c r="R1083" s="39"/>
      <c r="S1083" s="39"/>
      <c r="T1083" s="39"/>
      <c r="U1083" s="39"/>
      <c r="V1083" s="39"/>
      <c r="W1083" s="25"/>
      <c r="X1083" s="33">
        <f t="shared" si="43"/>
        <v>0</v>
      </c>
      <c r="Y1083" s="39"/>
      <c r="Z1083" s="25">
        <f t="shared" si="40"/>
        <v>0</v>
      </c>
    </row>
    <row r="1084" spans="1:26" s="12" customFormat="1" ht="12">
      <c r="A1084" s="27"/>
      <c r="B1084" s="53"/>
      <c r="C1084" s="37" t="str">
        <f>IF(B1084="","",VLOOKUP($B1084,#REF!,2,FALSE))</f>
        <v/>
      </c>
      <c r="D1084" s="34" t="str">
        <f>IF(B1084="","",VLOOKUP($B1084,#REF!,3,FALSE))</f>
        <v/>
      </c>
      <c r="E1084" s="34" t="str">
        <f>IF(B1084="","",VLOOKUP($B1084,#REF!,4,FALSE))</f>
        <v/>
      </c>
      <c r="F1084" s="34" t="str">
        <f>IF(E1084="","",VLOOKUP($B1084,#REF!,5,FALSE))</f>
        <v/>
      </c>
      <c r="G1084" s="34" t="str">
        <f>IF(F1084="","",VLOOKUP($B1084,#REF!,6,FALSE))</f>
        <v/>
      </c>
      <c r="H1084" s="34" t="str">
        <f>IF(G1084="","",VLOOKUP($B1084,#REF!,7,FALSE))</f>
        <v/>
      </c>
      <c r="I1084" s="25"/>
      <c r="J1084" s="25"/>
      <c r="K1084" s="25"/>
      <c r="L1084" s="25"/>
      <c r="M1084" s="25"/>
      <c r="N1084" s="25"/>
      <c r="O1084" s="33">
        <f t="shared" si="42"/>
        <v>0</v>
      </c>
      <c r="P1084" s="25"/>
      <c r="Q1084" s="25">
        <f t="shared" si="41"/>
        <v>0</v>
      </c>
      <c r="R1084" s="39"/>
      <c r="S1084" s="39"/>
      <c r="T1084" s="39"/>
      <c r="U1084" s="39"/>
      <c r="V1084" s="39"/>
      <c r="W1084" s="25"/>
      <c r="X1084" s="33">
        <f t="shared" si="43"/>
        <v>0</v>
      </c>
      <c r="Y1084" s="39"/>
      <c r="Z1084" s="25">
        <f t="shared" si="40"/>
        <v>0</v>
      </c>
    </row>
    <row r="1085" spans="1:26" s="12" customFormat="1" ht="12">
      <c r="A1085" s="27"/>
      <c r="B1085" s="53"/>
      <c r="C1085" s="37" t="str">
        <f>IF(B1085="","",VLOOKUP($B1085,#REF!,2,FALSE))</f>
        <v/>
      </c>
      <c r="D1085" s="34" t="str">
        <f>IF(B1085="","",VLOOKUP($B1085,#REF!,3,FALSE))</f>
        <v/>
      </c>
      <c r="E1085" s="34" t="str">
        <f>IF(B1085="","",VLOOKUP($B1085,#REF!,4,FALSE))</f>
        <v/>
      </c>
      <c r="F1085" s="34" t="str">
        <f>IF(E1085="","",VLOOKUP($B1085,#REF!,5,FALSE))</f>
        <v/>
      </c>
      <c r="G1085" s="34" t="str">
        <f>IF(F1085="","",VLOOKUP($B1085,#REF!,6,FALSE))</f>
        <v/>
      </c>
      <c r="H1085" s="34" t="str">
        <f>IF(G1085="","",VLOOKUP($B1085,#REF!,7,FALSE))</f>
        <v/>
      </c>
      <c r="I1085" s="25"/>
      <c r="J1085" s="25"/>
      <c r="K1085" s="25"/>
      <c r="L1085" s="25"/>
      <c r="M1085" s="25"/>
      <c r="N1085" s="25"/>
      <c r="O1085" s="33">
        <f t="shared" si="42"/>
        <v>0</v>
      </c>
      <c r="P1085" s="25"/>
      <c r="Q1085" s="25">
        <f t="shared" si="41"/>
        <v>0</v>
      </c>
      <c r="R1085" s="39"/>
      <c r="S1085" s="39"/>
      <c r="T1085" s="39"/>
      <c r="U1085" s="39"/>
      <c r="V1085" s="39"/>
      <c r="W1085" s="25"/>
      <c r="X1085" s="33">
        <f t="shared" si="43"/>
        <v>0</v>
      </c>
      <c r="Y1085" s="39"/>
      <c r="Z1085" s="25">
        <f t="shared" ref="Z1085:Z1125" si="44">X1085*Y1085</f>
        <v>0</v>
      </c>
    </row>
    <row r="1086" spans="1:26" s="12" customFormat="1" ht="12">
      <c r="A1086" s="27"/>
      <c r="B1086" s="53"/>
      <c r="C1086" s="37" t="str">
        <f>IF(B1086="","",VLOOKUP($B1086,#REF!,2,FALSE))</f>
        <v/>
      </c>
      <c r="D1086" s="34" t="str">
        <f>IF(B1086="","",VLOOKUP($B1086,#REF!,3,FALSE))</f>
        <v/>
      </c>
      <c r="E1086" s="34" t="str">
        <f>IF(B1086="","",VLOOKUP($B1086,#REF!,4,FALSE))</f>
        <v/>
      </c>
      <c r="F1086" s="34" t="str">
        <f>IF(E1086="","",VLOOKUP($B1086,#REF!,5,FALSE))</f>
        <v/>
      </c>
      <c r="G1086" s="34" t="str">
        <f>IF(F1086="","",VLOOKUP($B1086,#REF!,6,FALSE))</f>
        <v/>
      </c>
      <c r="H1086" s="34" t="str">
        <f>IF(G1086="","",VLOOKUP($B1086,#REF!,7,FALSE))</f>
        <v/>
      </c>
      <c r="I1086" s="25"/>
      <c r="J1086" s="25"/>
      <c r="K1086" s="25"/>
      <c r="L1086" s="25"/>
      <c r="M1086" s="25"/>
      <c r="N1086" s="25"/>
      <c r="O1086" s="33">
        <f t="shared" si="42"/>
        <v>0</v>
      </c>
      <c r="P1086" s="25"/>
      <c r="Q1086" s="25">
        <f t="shared" ref="Q1086:Q1125" si="45">O1086*P1086</f>
        <v>0</v>
      </c>
      <c r="R1086" s="39"/>
      <c r="S1086" s="39"/>
      <c r="T1086" s="39"/>
      <c r="U1086" s="39"/>
      <c r="V1086" s="39"/>
      <c r="W1086" s="25"/>
      <c r="X1086" s="33">
        <f t="shared" si="43"/>
        <v>0</v>
      </c>
      <c r="Y1086" s="39"/>
      <c r="Z1086" s="25">
        <f t="shared" si="44"/>
        <v>0</v>
      </c>
    </row>
    <row r="1087" spans="1:26" s="12" customFormat="1" ht="12">
      <c r="A1087" s="27"/>
      <c r="B1087" s="53"/>
      <c r="C1087" s="37" t="str">
        <f>IF(B1087="","",VLOOKUP($B1087,#REF!,2,FALSE))</f>
        <v/>
      </c>
      <c r="D1087" s="34" t="str">
        <f>IF(B1087="","",VLOOKUP($B1087,#REF!,3,FALSE))</f>
        <v/>
      </c>
      <c r="E1087" s="34" t="str">
        <f>IF(B1087="","",VLOOKUP($B1087,#REF!,4,FALSE))</f>
        <v/>
      </c>
      <c r="F1087" s="34" t="str">
        <f>IF(E1087="","",VLOOKUP($B1087,#REF!,5,FALSE))</f>
        <v/>
      </c>
      <c r="G1087" s="34" t="str">
        <f>IF(F1087="","",VLOOKUP($B1087,#REF!,6,FALSE))</f>
        <v/>
      </c>
      <c r="H1087" s="34" t="str">
        <f>IF(G1087="","",VLOOKUP($B1087,#REF!,7,FALSE))</f>
        <v/>
      </c>
      <c r="I1087" s="25"/>
      <c r="J1087" s="25"/>
      <c r="K1087" s="25"/>
      <c r="L1087" s="25"/>
      <c r="M1087" s="25"/>
      <c r="N1087" s="25"/>
      <c r="O1087" s="33">
        <f t="shared" si="42"/>
        <v>0</v>
      </c>
      <c r="P1087" s="25"/>
      <c r="Q1087" s="25">
        <f t="shared" si="45"/>
        <v>0</v>
      </c>
      <c r="R1087" s="39"/>
      <c r="S1087" s="39"/>
      <c r="T1087" s="39"/>
      <c r="U1087" s="39"/>
      <c r="V1087" s="39"/>
      <c r="W1087" s="25"/>
      <c r="X1087" s="33">
        <f t="shared" si="43"/>
        <v>0</v>
      </c>
      <c r="Y1087" s="39"/>
      <c r="Z1087" s="25">
        <f t="shared" si="44"/>
        <v>0</v>
      </c>
    </row>
    <row r="1088" spans="1:26" s="12" customFormat="1" ht="12">
      <c r="A1088" s="27"/>
      <c r="B1088" s="53"/>
      <c r="C1088" s="37" t="str">
        <f>IF(B1088="","",VLOOKUP($B1088,#REF!,2,FALSE))</f>
        <v/>
      </c>
      <c r="D1088" s="34" t="str">
        <f>IF(B1088="","",VLOOKUP($B1088,#REF!,3,FALSE))</f>
        <v/>
      </c>
      <c r="E1088" s="34" t="str">
        <f>IF(B1088="","",VLOOKUP($B1088,#REF!,4,FALSE))</f>
        <v/>
      </c>
      <c r="F1088" s="34" t="str">
        <f>IF(E1088="","",VLOOKUP($B1088,#REF!,5,FALSE))</f>
        <v/>
      </c>
      <c r="G1088" s="34" t="str">
        <f>IF(F1088="","",VLOOKUP($B1088,#REF!,6,FALSE))</f>
        <v/>
      </c>
      <c r="H1088" s="34" t="str">
        <f>IF(G1088="","",VLOOKUP($B1088,#REF!,7,FALSE))</f>
        <v/>
      </c>
      <c r="I1088" s="25"/>
      <c r="J1088" s="25"/>
      <c r="K1088" s="25"/>
      <c r="L1088" s="25"/>
      <c r="M1088" s="25"/>
      <c r="N1088" s="25"/>
      <c r="O1088" s="33">
        <f t="shared" si="42"/>
        <v>0</v>
      </c>
      <c r="P1088" s="25"/>
      <c r="Q1088" s="25">
        <f t="shared" si="45"/>
        <v>0</v>
      </c>
      <c r="R1088" s="39"/>
      <c r="S1088" s="39"/>
      <c r="T1088" s="39"/>
      <c r="U1088" s="39"/>
      <c r="V1088" s="39"/>
      <c r="W1088" s="25"/>
      <c r="X1088" s="33">
        <f t="shared" si="43"/>
        <v>0</v>
      </c>
      <c r="Y1088" s="39"/>
      <c r="Z1088" s="25">
        <f t="shared" si="44"/>
        <v>0</v>
      </c>
    </row>
    <row r="1089" spans="1:26" s="12" customFormat="1" ht="12">
      <c r="A1089" s="27"/>
      <c r="B1089" s="53"/>
      <c r="C1089" s="37" t="str">
        <f>IF(B1089="","",VLOOKUP($B1089,#REF!,2,FALSE))</f>
        <v/>
      </c>
      <c r="D1089" s="34" t="str">
        <f>IF(B1089="","",VLOOKUP($B1089,#REF!,3,FALSE))</f>
        <v/>
      </c>
      <c r="E1089" s="34" t="str">
        <f>IF(B1089="","",VLOOKUP($B1089,#REF!,4,FALSE))</f>
        <v/>
      </c>
      <c r="F1089" s="34" t="str">
        <f>IF(E1089="","",VLOOKUP($B1089,#REF!,5,FALSE))</f>
        <v/>
      </c>
      <c r="G1089" s="34" t="str">
        <f>IF(F1089="","",VLOOKUP($B1089,#REF!,6,FALSE))</f>
        <v/>
      </c>
      <c r="H1089" s="34" t="str">
        <f>IF(G1089="","",VLOOKUP($B1089,#REF!,7,FALSE))</f>
        <v/>
      </c>
      <c r="I1089" s="25"/>
      <c r="J1089" s="25"/>
      <c r="K1089" s="25"/>
      <c r="L1089" s="25"/>
      <c r="M1089" s="25"/>
      <c r="N1089" s="25"/>
      <c r="O1089" s="33">
        <f t="shared" si="42"/>
        <v>0</v>
      </c>
      <c r="P1089" s="25"/>
      <c r="Q1089" s="25">
        <f t="shared" si="45"/>
        <v>0</v>
      </c>
      <c r="R1089" s="39"/>
      <c r="S1089" s="39"/>
      <c r="T1089" s="39"/>
      <c r="U1089" s="39"/>
      <c r="V1089" s="39"/>
      <c r="W1089" s="25"/>
      <c r="X1089" s="33">
        <f t="shared" si="43"/>
        <v>0</v>
      </c>
      <c r="Y1089" s="39"/>
      <c r="Z1089" s="25">
        <f t="shared" si="44"/>
        <v>0</v>
      </c>
    </row>
    <row r="1090" spans="1:26" s="12" customFormat="1" ht="12">
      <c r="A1090" s="27"/>
      <c r="B1090" s="28"/>
      <c r="C1090" s="37" t="str">
        <f>IF(B1090="","",VLOOKUP($B1090,#REF!,2,FALSE))</f>
        <v/>
      </c>
      <c r="D1090" s="34" t="str">
        <f>IF(B1090="","",VLOOKUP($B1090,#REF!,3,FALSE))</f>
        <v/>
      </c>
      <c r="E1090" s="34" t="str">
        <f>IF(B1090="","",VLOOKUP($B1090,#REF!,4,FALSE))</f>
        <v/>
      </c>
      <c r="F1090" s="34" t="str">
        <f>IF(E1090="","",VLOOKUP($B1090,#REF!,5,FALSE))</f>
        <v/>
      </c>
      <c r="G1090" s="34" t="str">
        <f>IF(F1090="","",VLOOKUP($B1090,#REF!,6,FALSE))</f>
        <v/>
      </c>
      <c r="H1090" s="34" t="str">
        <f>IF(G1090="","",VLOOKUP($B1090,#REF!,7,FALSE))</f>
        <v/>
      </c>
      <c r="I1090" s="25"/>
      <c r="J1090" s="25"/>
      <c r="K1090" s="25"/>
      <c r="L1090" s="25"/>
      <c r="M1090" s="25"/>
      <c r="N1090" s="25"/>
      <c r="O1090" s="33">
        <f t="shared" si="42"/>
        <v>0</v>
      </c>
      <c r="P1090" s="25"/>
      <c r="Q1090" s="25">
        <f t="shared" si="45"/>
        <v>0</v>
      </c>
      <c r="R1090" s="39"/>
      <c r="S1090" s="39"/>
      <c r="T1090" s="39"/>
      <c r="U1090" s="39"/>
      <c r="V1090" s="39"/>
      <c r="W1090" s="25"/>
      <c r="X1090" s="33">
        <f t="shared" si="43"/>
        <v>0</v>
      </c>
      <c r="Y1090" s="39"/>
      <c r="Z1090" s="25">
        <f t="shared" si="44"/>
        <v>0</v>
      </c>
    </row>
    <row r="1091" spans="1:26" s="12" customFormat="1" ht="12">
      <c r="A1091" s="27"/>
      <c r="B1091" s="54"/>
      <c r="C1091" s="37" t="str">
        <f>IF(B1091="","",VLOOKUP($B1091,#REF!,2,FALSE))</f>
        <v/>
      </c>
      <c r="D1091" s="34" t="str">
        <f>IF(B1091="","",VLOOKUP($B1091,#REF!,3,FALSE))</f>
        <v/>
      </c>
      <c r="E1091" s="34" t="str">
        <f>IF(B1091="","",VLOOKUP($B1091,#REF!,4,FALSE))</f>
        <v/>
      </c>
      <c r="F1091" s="34" t="str">
        <f>IF(E1091="","",VLOOKUP($B1091,#REF!,5,FALSE))</f>
        <v/>
      </c>
      <c r="G1091" s="34" t="str">
        <f>IF(F1091="","",VLOOKUP($B1091,#REF!,6,FALSE))</f>
        <v/>
      </c>
      <c r="H1091" s="34" t="str">
        <f>IF(G1091="","",VLOOKUP($B1091,#REF!,7,FALSE))</f>
        <v/>
      </c>
      <c r="I1091" s="25"/>
      <c r="J1091" s="25"/>
      <c r="K1091" s="25"/>
      <c r="L1091" s="25"/>
      <c r="M1091" s="25"/>
      <c r="N1091" s="25"/>
      <c r="O1091" s="33">
        <f t="shared" si="42"/>
        <v>0</v>
      </c>
      <c r="P1091" s="25"/>
      <c r="Q1091" s="25">
        <f t="shared" si="45"/>
        <v>0</v>
      </c>
      <c r="R1091" s="39"/>
      <c r="S1091" s="39"/>
      <c r="T1091" s="39"/>
      <c r="U1091" s="39"/>
      <c r="V1091" s="39"/>
      <c r="W1091" s="25"/>
      <c r="X1091" s="33">
        <f t="shared" si="43"/>
        <v>0</v>
      </c>
      <c r="Y1091" s="39"/>
      <c r="Z1091" s="25">
        <f t="shared" si="44"/>
        <v>0</v>
      </c>
    </row>
    <row r="1092" spans="1:26" s="12" customFormat="1" ht="12">
      <c r="A1092" s="27"/>
      <c r="B1092" s="53"/>
      <c r="C1092" s="37" t="str">
        <f>IF(B1092="","",VLOOKUP($B1092,#REF!,2,FALSE))</f>
        <v/>
      </c>
      <c r="D1092" s="34" t="str">
        <f>IF(B1092="","",VLOOKUP($B1092,#REF!,3,FALSE))</f>
        <v/>
      </c>
      <c r="E1092" s="34" t="str">
        <f>IF(B1092="","",VLOOKUP($B1092,#REF!,4,FALSE))</f>
        <v/>
      </c>
      <c r="F1092" s="34" t="str">
        <f>IF(E1092="","",VLOOKUP($B1092,#REF!,5,FALSE))</f>
        <v/>
      </c>
      <c r="G1092" s="34" t="str">
        <f>IF(F1092="","",VLOOKUP($B1092,#REF!,6,FALSE))</f>
        <v/>
      </c>
      <c r="H1092" s="34" t="str">
        <f>IF(G1092="","",VLOOKUP($B1092,#REF!,7,FALSE))</f>
        <v/>
      </c>
      <c r="I1092" s="25"/>
      <c r="J1092" s="25"/>
      <c r="K1092" s="25"/>
      <c r="L1092" s="25"/>
      <c r="M1092" s="25"/>
      <c r="N1092" s="25"/>
      <c r="O1092" s="33">
        <f t="shared" si="42"/>
        <v>0</v>
      </c>
      <c r="P1092" s="25"/>
      <c r="Q1092" s="25">
        <f t="shared" si="45"/>
        <v>0</v>
      </c>
      <c r="R1092" s="39"/>
      <c r="S1092" s="39"/>
      <c r="T1092" s="39"/>
      <c r="U1092" s="39"/>
      <c r="V1092" s="39"/>
      <c r="W1092" s="25"/>
      <c r="X1092" s="33">
        <f t="shared" si="43"/>
        <v>0</v>
      </c>
      <c r="Y1092" s="39"/>
      <c r="Z1092" s="25">
        <f t="shared" si="44"/>
        <v>0</v>
      </c>
    </row>
    <row r="1093" spans="1:26" s="12" customFormat="1" ht="12">
      <c r="A1093" s="27"/>
      <c r="B1093" s="56"/>
      <c r="C1093" s="37" t="str">
        <f>IF(B1093="","",VLOOKUP($B1093,#REF!,2,FALSE))</f>
        <v/>
      </c>
      <c r="D1093" s="34" t="str">
        <f>IF(B1093="","",VLOOKUP($B1093,#REF!,3,FALSE))</f>
        <v/>
      </c>
      <c r="E1093" s="34" t="str">
        <f>IF(B1093="","",VLOOKUP($B1093,#REF!,4,FALSE))</f>
        <v/>
      </c>
      <c r="F1093" s="34" t="str">
        <f>IF(E1093="","",VLOOKUP($B1093,#REF!,5,FALSE))</f>
        <v/>
      </c>
      <c r="G1093" s="34" t="str">
        <f>IF(F1093="","",VLOOKUP($B1093,#REF!,6,FALSE))</f>
        <v/>
      </c>
      <c r="H1093" s="34" t="str">
        <f>IF(G1093="","",VLOOKUP($B1093,#REF!,7,FALSE))</f>
        <v/>
      </c>
      <c r="I1093" s="25"/>
      <c r="J1093" s="25"/>
      <c r="K1093" s="25"/>
      <c r="L1093" s="25"/>
      <c r="M1093" s="25"/>
      <c r="N1093" s="25"/>
      <c r="O1093" s="33">
        <f t="shared" ref="O1093:O1130" si="46">SUM(I1093:N1093)</f>
        <v>0</v>
      </c>
      <c r="P1093" s="25"/>
      <c r="Q1093" s="25">
        <f t="shared" si="45"/>
        <v>0</v>
      </c>
      <c r="R1093" s="39"/>
      <c r="S1093" s="39"/>
      <c r="T1093" s="39"/>
      <c r="U1093" s="39"/>
      <c r="V1093" s="39"/>
      <c r="W1093" s="25"/>
      <c r="X1093" s="33">
        <f t="shared" si="43"/>
        <v>0</v>
      </c>
      <c r="Y1093" s="39"/>
      <c r="Z1093" s="25">
        <f t="shared" si="44"/>
        <v>0</v>
      </c>
    </row>
    <row r="1094" spans="1:26" s="12" customFormat="1" ht="12">
      <c r="A1094" s="27"/>
      <c r="B1094" s="73"/>
      <c r="C1094" s="37" t="str">
        <f>IF(B1094="","",VLOOKUP($B1094,#REF!,2,FALSE))</f>
        <v/>
      </c>
      <c r="D1094" s="34" t="str">
        <f>IF(B1094="","",VLOOKUP($B1094,#REF!,3,FALSE))</f>
        <v/>
      </c>
      <c r="E1094" s="34" t="str">
        <f>IF(B1094="","",VLOOKUP($B1094,#REF!,4,FALSE))</f>
        <v/>
      </c>
      <c r="F1094" s="34" t="str">
        <f>IF(E1094="","",VLOOKUP($B1094,#REF!,5,FALSE))</f>
        <v/>
      </c>
      <c r="G1094" s="34" t="str">
        <f>IF(F1094="","",VLOOKUP($B1094,#REF!,6,FALSE))</f>
        <v/>
      </c>
      <c r="H1094" s="34" t="str">
        <f>IF(G1094="","",VLOOKUP($B1094,#REF!,7,FALSE))</f>
        <v/>
      </c>
      <c r="I1094" s="25"/>
      <c r="J1094" s="25"/>
      <c r="K1094" s="25"/>
      <c r="L1094" s="25"/>
      <c r="M1094" s="25"/>
      <c r="N1094" s="25"/>
      <c r="O1094" s="33">
        <f t="shared" si="46"/>
        <v>0</v>
      </c>
      <c r="P1094" s="25"/>
      <c r="Q1094" s="25">
        <f t="shared" si="45"/>
        <v>0</v>
      </c>
      <c r="R1094" s="39"/>
      <c r="S1094" s="39"/>
      <c r="T1094" s="39"/>
      <c r="U1094" s="39"/>
      <c r="V1094" s="39"/>
      <c r="W1094" s="25"/>
      <c r="X1094" s="33">
        <f t="shared" si="43"/>
        <v>0</v>
      </c>
      <c r="Y1094" s="39"/>
      <c r="Z1094" s="25">
        <f t="shared" si="44"/>
        <v>0</v>
      </c>
    </row>
    <row r="1095" spans="1:26" s="12" customFormat="1" ht="12">
      <c r="A1095" s="27"/>
      <c r="B1095" s="28"/>
      <c r="C1095" s="37" t="str">
        <f>IF(B1095="","",VLOOKUP($B1095,#REF!,2,FALSE))</f>
        <v/>
      </c>
      <c r="D1095" s="34" t="str">
        <f>IF(B1095="","",VLOOKUP($B1095,#REF!,3,FALSE))</f>
        <v/>
      </c>
      <c r="E1095" s="34" t="str">
        <f>IF(B1095="","",VLOOKUP($B1095,#REF!,4,FALSE))</f>
        <v/>
      </c>
      <c r="F1095" s="34" t="str">
        <f>IF(E1095="","",VLOOKUP($B1095,#REF!,5,FALSE))</f>
        <v/>
      </c>
      <c r="G1095" s="34" t="str">
        <f>IF(F1095="","",VLOOKUP($B1095,#REF!,6,FALSE))</f>
        <v/>
      </c>
      <c r="H1095" s="34" t="str">
        <f>IF(G1095="","",VLOOKUP($B1095,#REF!,7,FALSE))</f>
        <v/>
      </c>
      <c r="I1095" s="25"/>
      <c r="J1095" s="25"/>
      <c r="K1095" s="25"/>
      <c r="L1095" s="25"/>
      <c r="M1095" s="25"/>
      <c r="N1095" s="25"/>
      <c r="O1095" s="33">
        <f t="shared" si="46"/>
        <v>0</v>
      </c>
      <c r="P1095" s="25"/>
      <c r="Q1095" s="25">
        <f t="shared" si="45"/>
        <v>0</v>
      </c>
      <c r="R1095" s="39"/>
      <c r="S1095" s="39"/>
      <c r="T1095" s="39"/>
      <c r="U1095" s="39"/>
      <c r="V1095" s="39"/>
      <c r="W1095" s="25"/>
      <c r="X1095" s="33">
        <f t="shared" si="43"/>
        <v>0</v>
      </c>
      <c r="Y1095" s="39"/>
      <c r="Z1095" s="25">
        <f t="shared" si="44"/>
        <v>0</v>
      </c>
    </row>
    <row r="1096" spans="1:26" s="12" customFormat="1" ht="12">
      <c r="A1096" s="27"/>
      <c r="B1096" s="53"/>
      <c r="C1096" s="37" t="str">
        <f>IF(B1096="","",VLOOKUP($B1096,#REF!,2,FALSE))</f>
        <v/>
      </c>
      <c r="D1096" s="34" t="str">
        <f>IF(B1096="","",VLOOKUP($B1096,#REF!,3,FALSE))</f>
        <v/>
      </c>
      <c r="E1096" s="34" t="str">
        <f>IF(B1096="","",VLOOKUP($B1096,#REF!,4,FALSE))</f>
        <v/>
      </c>
      <c r="F1096" s="34" t="str">
        <f>IF(E1096="","",VLOOKUP($B1096,#REF!,5,FALSE))</f>
        <v/>
      </c>
      <c r="G1096" s="34" t="str">
        <f>IF(F1096="","",VLOOKUP($B1096,#REF!,6,FALSE))</f>
        <v/>
      </c>
      <c r="H1096" s="34" t="str">
        <f>IF(G1096="","",VLOOKUP($B1096,#REF!,7,FALSE))</f>
        <v/>
      </c>
      <c r="I1096" s="25"/>
      <c r="J1096" s="25"/>
      <c r="K1096" s="25"/>
      <c r="L1096" s="25"/>
      <c r="M1096" s="25"/>
      <c r="N1096" s="25"/>
      <c r="O1096" s="33">
        <f t="shared" si="46"/>
        <v>0</v>
      </c>
      <c r="P1096" s="25"/>
      <c r="Q1096" s="25">
        <f t="shared" si="45"/>
        <v>0</v>
      </c>
      <c r="R1096" s="39"/>
      <c r="S1096" s="39"/>
      <c r="T1096" s="39"/>
      <c r="U1096" s="39"/>
      <c r="V1096" s="39"/>
      <c r="W1096" s="25"/>
      <c r="X1096" s="33">
        <f t="shared" si="43"/>
        <v>0</v>
      </c>
      <c r="Y1096" s="39"/>
      <c r="Z1096" s="25">
        <f t="shared" si="44"/>
        <v>0</v>
      </c>
    </row>
    <row r="1097" spans="1:26" s="12" customFormat="1" ht="12">
      <c r="A1097" s="27"/>
      <c r="B1097" s="53"/>
      <c r="C1097" s="37" t="str">
        <f>IF(B1097="","",VLOOKUP($B1097,#REF!,2,FALSE))</f>
        <v/>
      </c>
      <c r="D1097" s="34" t="str">
        <f>IF(B1097="","",VLOOKUP($B1097,#REF!,3,FALSE))</f>
        <v/>
      </c>
      <c r="E1097" s="34" t="str">
        <f>IF(B1097="","",VLOOKUP($B1097,#REF!,4,FALSE))</f>
        <v/>
      </c>
      <c r="F1097" s="34" t="str">
        <f>IF(E1097="","",VLOOKUP($B1097,#REF!,5,FALSE))</f>
        <v/>
      </c>
      <c r="G1097" s="34" t="str">
        <f>IF(F1097="","",VLOOKUP($B1097,#REF!,6,FALSE))</f>
        <v/>
      </c>
      <c r="H1097" s="34" t="str">
        <f>IF(G1097="","",VLOOKUP($B1097,#REF!,7,FALSE))</f>
        <v/>
      </c>
      <c r="I1097" s="25"/>
      <c r="J1097" s="25"/>
      <c r="K1097" s="25"/>
      <c r="L1097" s="25"/>
      <c r="M1097" s="25"/>
      <c r="N1097" s="25"/>
      <c r="O1097" s="33">
        <f t="shared" si="46"/>
        <v>0</v>
      </c>
      <c r="P1097" s="25"/>
      <c r="Q1097" s="25">
        <f t="shared" si="45"/>
        <v>0</v>
      </c>
      <c r="R1097" s="39"/>
      <c r="S1097" s="39"/>
      <c r="T1097" s="39"/>
      <c r="U1097" s="39"/>
      <c r="V1097" s="39"/>
      <c r="W1097" s="25"/>
      <c r="X1097" s="33">
        <f t="shared" si="43"/>
        <v>0</v>
      </c>
      <c r="Y1097" s="39"/>
      <c r="Z1097" s="25">
        <f t="shared" si="44"/>
        <v>0</v>
      </c>
    </row>
    <row r="1098" spans="1:26" s="12" customFormat="1" ht="12">
      <c r="A1098" s="27"/>
      <c r="B1098" s="28"/>
      <c r="C1098" s="37" t="str">
        <f>IF(B1098="","",VLOOKUP($B1098,#REF!,2,FALSE))</f>
        <v/>
      </c>
      <c r="D1098" s="34" t="str">
        <f>IF(B1098="","",VLOOKUP($B1098,#REF!,3,FALSE))</f>
        <v/>
      </c>
      <c r="E1098" s="34" t="str">
        <f>IF(B1098="","",VLOOKUP($B1098,#REF!,4,FALSE))</f>
        <v/>
      </c>
      <c r="F1098" s="34" t="str">
        <f>IF(E1098="","",VLOOKUP($B1098,#REF!,5,FALSE))</f>
        <v/>
      </c>
      <c r="G1098" s="34" t="str">
        <f>IF(F1098="","",VLOOKUP($B1098,#REF!,6,FALSE))</f>
        <v/>
      </c>
      <c r="H1098" s="34" t="str">
        <f>IF(G1098="","",VLOOKUP($B1098,#REF!,7,FALSE))</f>
        <v/>
      </c>
      <c r="I1098" s="25"/>
      <c r="J1098" s="25"/>
      <c r="K1098" s="25"/>
      <c r="L1098" s="25"/>
      <c r="M1098" s="25"/>
      <c r="N1098" s="25"/>
      <c r="O1098" s="33">
        <f t="shared" si="46"/>
        <v>0</v>
      </c>
      <c r="P1098" s="25"/>
      <c r="Q1098" s="25">
        <f t="shared" si="45"/>
        <v>0</v>
      </c>
      <c r="R1098" s="39"/>
      <c r="S1098" s="39"/>
      <c r="T1098" s="39"/>
      <c r="U1098" s="39"/>
      <c r="V1098" s="39"/>
      <c r="W1098" s="25"/>
      <c r="X1098" s="33">
        <f t="shared" si="43"/>
        <v>0</v>
      </c>
      <c r="Y1098" s="39"/>
      <c r="Z1098" s="25">
        <f t="shared" si="44"/>
        <v>0</v>
      </c>
    </row>
    <row r="1099" spans="1:26" s="12" customFormat="1" ht="12">
      <c r="A1099" s="27"/>
      <c r="B1099" s="53"/>
      <c r="C1099" s="37" t="str">
        <f>IF(B1099="","",VLOOKUP($B1099,#REF!,2,FALSE))</f>
        <v/>
      </c>
      <c r="D1099" s="34" t="str">
        <f>IF(B1099="","",VLOOKUP($B1099,#REF!,3,FALSE))</f>
        <v/>
      </c>
      <c r="E1099" s="34" t="str">
        <f>IF(B1099="","",VLOOKUP($B1099,#REF!,4,FALSE))</f>
        <v/>
      </c>
      <c r="F1099" s="34" t="str">
        <f>IF(E1099="","",VLOOKUP($B1099,#REF!,5,FALSE))</f>
        <v/>
      </c>
      <c r="G1099" s="34" t="str">
        <f>IF(F1099="","",VLOOKUP($B1099,#REF!,6,FALSE))</f>
        <v/>
      </c>
      <c r="H1099" s="34" t="str">
        <f>IF(G1099="","",VLOOKUP($B1099,#REF!,7,FALSE))</f>
        <v/>
      </c>
      <c r="I1099" s="25"/>
      <c r="J1099" s="25"/>
      <c r="K1099" s="25"/>
      <c r="L1099" s="25"/>
      <c r="M1099" s="25"/>
      <c r="N1099" s="25"/>
      <c r="O1099" s="33">
        <f t="shared" si="46"/>
        <v>0</v>
      </c>
      <c r="P1099" s="25"/>
      <c r="Q1099" s="25">
        <f t="shared" si="45"/>
        <v>0</v>
      </c>
      <c r="R1099" s="39"/>
      <c r="S1099" s="39"/>
      <c r="T1099" s="39"/>
      <c r="U1099" s="39"/>
      <c r="V1099" s="39"/>
      <c r="W1099" s="25"/>
      <c r="X1099" s="33">
        <f t="shared" si="43"/>
        <v>0</v>
      </c>
      <c r="Y1099" s="39"/>
      <c r="Z1099" s="25">
        <f t="shared" si="44"/>
        <v>0</v>
      </c>
    </row>
    <row r="1100" spans="1:26" s="12" customFormat="1" ht="12">
      <c r="A1100" s="27"/>
      <c r="B1100" s="53"/>
      <c r="C1100" s="37" t="str">
        <f>IF(B1100="","",VLOOKUP($B1100,#REF!,2,FALSE))</f>
        <v/>
      </c>
      <c r="D1100" s="34" t="str">
        <f>IF(B1100="","",VLOOKUP($B1100,#REF!,3,FALSE))</f>
        <v/>
      </c>
      <c r="E1100" s="34" t="str">
        <f>IF(B1100="","",VLOOKUP($B1100,#REF!,4,FALSE))</f>
        <v/>
      </c>
      <c r="F1100" s="34" t="str">
        <f>IF(E1100="","",VLOOKUP($B1100,#REF!,5,FALSE))</f>
        <v/>
      </c>
      <c r="G1100" s="34" t="str">
        <f>IF(F1100="","",VLOOKUP($B1100,#REF!,6,FALSE))</f>
        <v/>
      </c>
      <c r="H1100" s="34" t="str">
        <f>IF(G1100="","",VLOOKUP($B1100,#REF!,7,FALSE))</f>
        <v/>
      </c>
      <c r="I1100" s="25"/>
      <c r="J1100" s="25"/>
      <c r="K1100" s="25"/>
      <c r="L1100" s="25"/>
      <c r="M1100" s="25"/>
      <c r="N1100" s="25"/>
      <c r="O1100" s="33">
        <f t="shared" si="46"/>
        <v>0</v>
      </c>
      <c r="P1100" s="25"/>
      <c r="Q1100" s="25">
        <f t="shared" si="45"/>
        <v>0</v>
      </c>
      <c r="R1100" s="39"/>
      <c r="S1100" s="39"/>
      <c r="T1100" s="39"/>
      <c r="U1100" s="39"/>
      <c r="V1100" s="39"/>
      <c r="W1100" s="25"/>
      <c r="X1100" s="33">
        <f t="shared" si="43"/>
        <v>0</v>
      </c>
      <c r="Y1100" s="39"/>
      <c r="Z1100" s="25">
        <f t="shared" si="44"/>
        <v>0</v>
      </c>
    </row>
    <row r="1101" spans="1:26" s="12" customFormat="1" ht="12">
      <c r="A1101" s="27"/>
      <c r="B1101" s="53"/>
      <c r="C1101" s="37" t="str">
        <f>IF(B1101="","",VLOOKUP($B1101,#REF!,2,FALSE))</f>
        <v/>
      </c>
      <c r="D1101" s="34" t="str">
        <f>IF(B1101="","",VLOOKUP($B1101,#REF!,3,FALSE))</f>
        <v/>
      </c>
      <c r="E1101" s="34" t="str">
        <f>IF(B1101="","",VLOOKUP($B1101,#REF!,4,FALSE))</f>
        <v/>
      </c>
      <c r="F1101" s="34" t="str">
        <f>IF(E1101="","",VLOOKUP($B1101,#REF!,5,FALSE))</f>
        <v/>
      </c>
      <c r="G1101" s="34" t="str">
        <f>IF(F1101="","",VLOOKUP($B1101,#REF!,6,FALSE))</f>
        <v/>
      </c>
      <c r="H1101" s="34" t="str">
        <f>IF(G1101="","",VLOOKUP($B1101,#REF!,7,FALSE))</f>
        <v/>
      </c>
      <c r="I1101" s="25"/>
      <c r="J1101" s="25"/>
      <c r="K1101" s="25"/>
      <c r="L1101" s="25"/>
      <c r="M1101" s="25"/>
      <c r="N1101" s="25"/>
      <c r="O1101" s="33">
        <f t="shared" si="46"/>
        <v>0</v>
      </c>
      <c r="P1101" s="25"/>
      <c r="Q1101" s="25">
        <f t="shared" si="45"/>
        <v>0</v>
      </c>
      <c r="R1101" s="39"/>
      <c r="S1101" s="39"/>
      <c r="T1101" s="39"/>
      <c r="U1101" s="39"/>
      <c r="V1101" s="39"/>
      <c r="W1101" s="25"/>
      <c r="X1101" s="33">
        <f t="shared" si="43"/>
        <v>0</v>
      </c>
      <c r="Y1101" s="39"/>
      <c r="Z1101" s="25">
        <f t="shared" si="44"/>
        <v>0</v>
      </c>
    </row>
    <row r="1102" spans="1:26" s="12" customFormat="1" ht="12">
      <c r="A1102" s="27"/>
      <c r="B1102" s="53"/>
      <c r="C1102" s="37" t="str">
        <f>IF(B1102="","",VLOOKUP($B1102,#REF!,2,FALSE))</f>
        <v/>
      </c>
      <c r="D1102" s="34" t="str">
        <f>IF(B1102="","",VLOOKUP($B1102,#REF!,3,FALSE))</f>
        <v/>
      </c>
      <c r="E1102" s="34" t="str">
        <f>IF(B1102="","",VLOOKUP($B1102,#REF!,4,FALSE))</f>
        <v/>
      </c>
      <c r="F1102" s="34" t="str">
        <f>IF(E1102="","",VLOOKUP($B1102,#REF!,5,FALSE))</f>
        <v/>
      </c>
      <c r="G1102" s="34" t="str">
        <f>IF(F1102="","",VLOOKUP($B1102,#REF!,6,FALSE))</f>
        <v/>
      </c>
      <c r="H1102" s="34" t="str">
        <f>IF(G1102="","",VLOOKUP($B1102,#REF!,7,FALSE))</f>
        <v/>
      </c>
      <c r="I1102" s="25"/>
      <c r="J1102" s="25"/>
      <c r="K1102" s="25"/>
      <c r="L1102" s="25"/>
      <c r="M1102" s="25"/>
      <c r="N1102" s="25"/>
      <c r="O1102" s="33">
        <f t="shared" si="46"/>
        <v>0</v>
      </c>
      <c r="P1102" s="25"/>
      <c r="Q1102" s="25">
        <f t="shared" si="45"/>
        <v>0</v>
      </c>
      <c r="R1102" s="39"/>
      <c r="S1102" s="39"/>
      <c r="T1102" s="39"/>
      <c r="U1102" s="39"/>
      <c r="V1102" s="39"/>
      <c r="W1102" s="25"/>
      <c r="X1102" s="33">
        <f t="shared" si="43"/>
        <v>0</v>
      </c>
      <c r="Y1102" s="39"/>
      <c r="Z1102" s="25">
        <f t="shared" si="44"/>
        <v>0</v>
      </c>
    </row>
    <row r="1103" spans="1:26" s="12" customFormat="1" ht="12">
      <c r="A1103" s="27"/>
      <c r="B1103" s="74"/>
      <c r="C1103" s="37" t="str">
        <f>IF(B1103="","",VLOOKUP($B1103,#REF!,2,FALSE))</f>
        <v/>
      </c>
      <c r="D1103" s="34" t="str">
        <f>IF(B1103="","",VLOOKUP($B1103,#REF!,3,FALSE))</f>
        <v/>
      </c>
      <c r="E1103" s="34" t="str">
        <f>IF(B1103="","",VLOOKUP($B1103,#REF!,4,FALSE))</f>
        <v/>
      </c>
      <c r="F1103" s="34" t="str">
        <f>IF(E1103="","",VLOOKUP($B1103,#REF!,5,FALSE))</f>
        <v/>
      </c>
      <c r="G1103" s="34" t="str">
        <f>IF(F1103="","",VLOOKUP($B1103,#REF!,6,FALSE))</f>
        <v/>
      </c>
      <c r="H1103" s="34" t="str">
        <f>IF(G1103="","",VLOOKUP($B1103,#REF!,7,FALSE))</f>
        <v/>
      </c>
      <c r="I1103" s="25"/>
      <c r="J1103" s="25"/>
      <c r="K1103" s="25"/>
      <c r="L1103" s="25"/>
      <c r="M1103" s="25"/>
      <c r="N1103" s="25"/>
      <c r="O1103" s="33">
        <f>SUM(I1103:N1103)</f>
        <v>0</v>
      </c>
      <c r="P1103" s="25"/>
      <c r="Q1103" s="25">
        <f t="shared" si="45"/>
        <v>0</v>
      </c>
      <c r="R1103" s="39"/>
      <c r="S1103" s="39"/>
      <c r="T1103" s="39"/>
      <c r="U1103" s="39"/>
      <c r="V1103" s="39"/>
      <c r="W1103" s="25"/>
      <c r="X1103" s="33">
        <f>SUM(R1103:W1103)</f>
        <v>0</v>
      </c>
      <c r="Y1103" s="39"/>
      <c r="Z1103" s="25">
        <f t="shared" si="44"/>
        <v>0</v>
      </c>
    </row>
    <row r="1104" spans="1:26" s="12" customFormat="1" ht="12">
      <c r="A1104" s="27"/>
      <c r="B1104" s="74"/>
      <c r="C1104" s="37" t="str">
        <f>IF(B1104="","",VLOOKUP($B1104,#REF!,2,FALSE))</f>
        <v/>
      </c>
      <c r="D1104" s="34" t="str">
        <f>IF(B1104="","",VLOOKUP($B1104,#REF!,3,FALSE))</f>
        <v/>
      </c>
      <c r="E1104" s="34" t="str">
        <f>IF(B1104="","",VLOOKUP($B1104,#REF!,4,FALSE))</f>
        <v/>
      </c>
      <c r="F1104" s="34" t="str">
        <f>IF(E1104="","",VLOOKUP($B1104,#REF!,5,FALSE))</f>
        <v/>
      </c>
      <c r="G1104" s="34" t="str">
        <f>IF(F1104="","",VLOOKUP($B1104,#REF!,6,FALSE))</f>
        <v/>
      </c>
      <c r="H1104" s="34" t="str">
        <f>IF(G1104="","",VLOOKUP($B1104,#REF!,7,FALSE))</f>
        <v/>
      </c>
      <c r="I1104" s="25"/>
      <c r="J1104" s="25"/>
      <c r="K1104" s="25"/>
      <c r="L1104" s="25"/>
      <c r="M1104" s="25"/>
      <c r="N1104" s="25"/>
      <c r="O1104" s="33">
        <f>SUM(I1104:N1104)</f>
        <v>0</v>
      </c>
      <c r="P1104" s="25"/>
      <c r="Q1104" s="25">
        <f t="shared" si="45"/>
        <v>0</v>
      </c>
      <c r="R1104" s="39"/>
      <c r="S1104" s="39"/>
      <c r="T1104" s="39"/>
      <c r="U1104" s="39"/>
      <c r="V1104" s="39"/>
      <c r="W1104" s="25"/>
      <c r="X1104" s="33">
        <f>SUM(R1104:W1104)</f>
        <v>0</v>
      </c>
      <c r="Y1104" s="39"/>
      <c r="Z1104" s="25">
        <f t="shared" si="44"/>
        <v>0</v>
      </c>
    </row>
    <row r="1105" spans="1:26" s="12" customFormat="1" ht="12">
      <c r="A1105" s="27"/>
      <c r="B1105" s="53"/>
      <c r="C1105" s="37" t="str">
        <f>IF(B1105="","",VLOOKUP($B1105,#REF!,2,FALSE))</f>
        <v/>
      </c>
      <c r="D1105" s="34" t="str">
        <f>IF(B1105="","",VLOOKUP($B1105,#REF!,3,FALSE))</f>
        <v/>
      </c>
      <c r="E1105" s="34" t="str">
        <f>IF(B1105="","",VLOOKUP($B1105,#REF!,4,FALSE))</f>
        <v/>
      </c>
      <c r="F1105" s="34" t="str">
        <f>IF(E1105="","",VLOOKUP($B1105,#REF!,5,FALSE))</f>
        <v/>
      </c>
      <c r="G1105" s="34" t="str">
        <f>IF(F1105="","",VLOOKUP($B1105,#REF!,6,FALSE))</f>
        <v/>
      </c>
      <c r="H1105" s="34" t="str">
        <f>IF(G1105="","",VLOOKUP($B1105,#REF!,7,FALSE))</f>
        <v/>
      </c>
      <c r="I1105" s="25"/>
      <c r="J1105" s="25"/>
      <c r="K1105" s="25"/>
      <c r="L1105" s="25"/>
      <c r="M1105" s="25"/>
      <c r="N1105" s="25"/>
      <c r="O1105" s="33">
        <f>SUM(I1105:N1105)</f>
        <v>0</v>
      </c>
      <c r="P1105" s="25"/>
      <c r="Q1105" s="25">
        <f t="shared" si="45"/>
        <v>0</v>
      </c>
      <c r="R1105" s="39"/>
      <c r="S1105" s="39"/>
      <c r="T1105" s="39"/>
      <c r="U1105" s="39"/>
      <c r="V1105" s="39"/>
      <c r="W1105" s="25"/>
      <c r="X1105" s="33">
        <f>SUM(R1105:W1105)</f>
        <v>0</v>
      </c>
      <c r="Y1105" s="39"/>
      <c r="Z1105" s="25">
        <f t="shared" si="44"/>
        <v>0</v>
      </c>
    </row>
    <row r="1106" spans="1:26" s="12" customFormat="1" ht="12">
      <c r="A1106" s="27"/>
      <c r="B1106" s="53"/>
      <c r="C1106" s="37" t="str">
        <f>IF(B1106="","",VLOOKUP($B1106,#REF!,2,FALSE))</f>
        <v/>
      </c>
      <c r="D1106" s="34" t="str">
        <f>IF(B1106="","",VLOOKUP($B1106,#REF!,3,FALSE))</f>
        <v/>
      </c>
      <c r="E1106" s="34" t="str">
        <f>IF(B1106="","",VLOOKUP($B1106,#REF!,4,FALSE))</f>
        <v/>
      </c>
      <c r="F1106" s="34" t="str">
        <f>IF(E1106="","",VLOOKUP($B1106,#REF!,5,FALSE))</f>
        <v/>
      </c>
      <c r="G1106" s="34" t="str">
        <f>IF(F1106="","",VLOOKUP($B1106,#REF!,6,FALSE))</f>
        <v/>
      </c>
      <c r="H1106" s="34" t="str">
        <f>IF(G1106="","",VLOOKUP($B1106,#REF!,7,FALSE))</f>
        <v/>
      </c>
      <c r="I1106" s="25"/>
      <c r="J1106" s="25"/>
      <c r="K1106" s="25"/>
      <c r="L1106" s="25"/>
      <c r="M1106" s="25"/>
      <c r="N1106" s="25"/>
      <c r="O1106" s="33">
        <f>SUM(I1106:N1106)</f>
        <v>0</v>
      </c>
      <c r="P1106" s="25"/>
      <c r="Q1106" s="25">
        <f t="shared" si="45"/>
        <v>0</v>
      </c>
      <c r="R1106" s="39"/>
      <c r="S1106" s="39"/>
      <c r="T1106" s="39"/>
      <c r="U1106" s="39"/>
      <c r="V1106" s="39"/>
      <c r="W1106" s="25"/>
      <c r="X1106" s="33">
        <f>SUM(R1106:W1106)</f>
        <v>0</v>
      </c>
      <c r="Y1106" s="39"/>
      <c r="Z1106" s="25">
        <f t="shared" si="44"/>
        <v>0</v>
      </c>
    </row>
    <row r="1107" spans="1:26" s="12" customFormat="1" ht="12">
      <c r="A1107" s="27"/>
      <c r="B1107" s="53"/>
      <c r="C1107" s="37" t="str">
        <f>IF(B1107="","",VLOOKUP($B1107,#REF!,2,FALSE))</f>
        <v/>
      </c>
      <c r="D1107" s="34" t="str">
        <f>IF(B1107="","",VLOOKUP($B1107,#REF!,3,FALSE))</f>
        <v/>
      </c>
      <c r="E1107" s="34" t="str">
        <f>IF(B1107="","",VLOOKUP($B1107,#REF!,4,FALSE))</f>
        <v/>
      </c>
      <c r="F1107" s="34" t="str">
        <f>IF(E1107="","",VLOOKUP($B1107,#REF!,5,FALSE))</f>
        <v/>
      </c>
      <c r="G1107" s="34" t="str">
        <f>IF(F1107="","",VLOOKUP($B1107,#REF!,6,FALSE))</f>
        <v/>
      </c>
      <c r="H1107" s="34" t="str">
        <f>IF(G1107="","",VLOOKUP($B1107,#REF!,7,FALSE))</f>
        <v/>
      </c>
      <c r="I1107" s="25"/>
      <c r="J1107" s="25"/>
      <c r="K1107" s="25"/>
      <c r="L1107" s="25"/>
      <c r="M1107" s="25"/>
      <c r="N1107" s="25"/>
      <c r="O1107" s="33">
        <f>SUM(I1107:N1107)</f>
        <v>0</v>
      </c>
      <c r="P1107" s="25"/>
      <c r="Q1107" s="25">
        <f t="shared" si="45"/>
        <v>0</v>
      </c>
      <c r="R1107" s="39"/>
      <c r="S1107" s="39"/>
      <c r="T1107" s="39"/>
      <c r="U1107" s="39"/>
      <c r="V1107" s="39"/>
      <c r="W1107" s="25"/>
      <c r="X1107" s="33">
        <f>SUM(R1107:W1107)</f>
        <v>0</v>
      </c>
      <c r="Y1107" s="39"/>
      <c r="Z1107" s="25">
        <f t="shared" si="44"/>
        <v>0</v>
      </c>
    </row>
    <row r="1108" spans="1:26" s="12" customFormat="1" ht="12">
      <c r="A1108" s="27"/>
      <c r="B1108" s="73"/>
      <c r="C1108" s="37" t="str">
        <f>IF(B1108="","",VLOOKUP($B1108,#REF!,2,FALSE))</f>
        <v/>
      </c>
      <c r="D1108" s="34" t="str">
        <f>IF(B1108="","",VLOOKUP($B1108,#REF!,3,FALSE))</f>
        <v/>
      </c>
      <c r="E1108" s="34" t="str">
        <f>IF(B1108="","",VLOOKUP($B1108,#REF!,4,FALSE))</f>
        <v/>
      </c>
      <c r="F1108" s="34" t="str">
        <f>IF(E1108="","",VLOOKUP($B1108,#REF!,5,FALSE))</f>
        <v/>
      </c>
      <c r="G1108" s="34" t="str">
        <f>IF(F1108="","",VLOOKUP($B1108,#REF!,6,FALSE))</f>
        <v/>
      </c>
      <c r="H1108" s="34" t="str">
        <f>IF(G1108="","",VLOOKUP($B1108,#REF!,7,FALSE))</f>
        <v/>
      </c>
      <c r="I1108" s="25"/>
      <c r="J1108" s="25"/>
      <c r="K1108" s="25"/>
      <c r="L1108" s="25"/>
      <c r="M1108" s="25"/>
      <c r="N1108" s="25"/>
      <c r="O1108" s="33">
        <f t="shared" si="46"/>
        <v>0</v>
      </c>
      <c r="P1108" s="25"/>
      <c r="Q1108" s="25">
        <f t="shared" si="45"/>
        <v>0</v>
      </c>
      <c r="R1108" s="39"/>
      <c r="S1108" s="39"/>
      <c r="T1108" s="39"/>
      <c r="U1108" s="39"/>
      <c r="V1108" s="39"/>
      <c r="W1108" s="25"/>
      <c r="X1108" s="33">
        <f t="shared" si="43"/>
        <v>0</v>
      </c>
      <c r="Y1108" s="39"/>
      <c r="Z1108" s="25">
        <f t="shared" si="44"/>
        <v>0</v>
      </c>
    </row>
    <row r="1109" spans="1:26" s="12" customFormat="1" ht="12">
      <c r="A1109" s="27"/>
      <c r="B1109" s="73"/>
      <c r="C1109" s="37" t="str">
        <f>IF(B1109="","",VLOOKUP($B1109,#REF!,2,FALSE))</f>
        <v/>
      </c>
      <c r="D1109" s="34" t="str">
        <f>IF(B1109="","",VLOOKUP($B1109,#REF!,3,FALSE))</f>
        <v/>
      </c>
      <c r="E1109" s="34" t="str">
        <f>IF(B1109="","",VLOOKUP($B1109,#REF!,4,FALSE))</f>
        <v/>
      </c>
      <c r="F1109" s="34" t="str">
        <f>IF(E1109="","",VLOOKUP($B1109,#REF!,5,FALSE))</f>
        <v/>
      </c>
      <c r="G1109" s="34" t="str">
        <f>IF(F1109="","",VLOOKUP($B1109,#REF!,6,FALSE))</f>
        <v/>
      </c>
      <c r="H1109" s="34" t="str">
        <f>IF(G1109="","",VLOOKUP($B1109,#REF!,7,FALSE))</f>
        <v/>
      </c>
      <c r="I1109" s="25"/>
      <c r="J1109" s="25"/>
      <c r="K1109" s="25"/>
      <c r="L1109" s="25"/>
      <c r="M1109" s="25"/>
      <c r="N1109" s="25"/>
      <c r="O1109" s="33">
        <f t="shared" si="46"/>
        <v>0</v>
      </c>
      <c r="P1109" s="25"/>
      <c r="Q1109" s="25">
        <f t="shared" si="45"/>
        <v>0</v>
      </c>
      <c r="R1109" s="39"/>
      <c r="S1109" s="39"/>
      <c r="T1109" s="39"/>
      <c r="U1109" s="39"/>
      <c r="V1109" s="39"/>
      <c r="W1109" s="25"/>
      <c r="X1109" s="33">
        <f t="shared" si="43"/>
        <v>0</v>
      </c>
      <c r="Y1109" s="39"/>
      <c r="Z1109" s="25">
        <f t="shared" si="44"/>
        <v>0</v>
      </c>
    </row>
    <row r="1110" spans="1:26" s="12" customFormat="1" ht="12">
      <c r="A1110" s="27"/>
      <c r="B1110" s="53"/>
      <c r="C1110" s="37" t="str">
        <f>IF(B1110="","",VLOOKUP($B1110,#REF!,2,FALSE))</f>
        <v/>
      </c>
      <c r="D1110" s="34" t="str">
        <f>IF(B1110="","",VLOOKUP($B1110,#REF!,3,FALSE))</f>
        <v/>
      </c>
      <c r="E1110" s="34" t="str">
        <f>IF(B1110="","",VLOOKUP($B1110,#REF!,4,FALSE))</f>
        <v/>
      </c>
      <c r="F1110" s="34" t="str">
        <f>IF(E1110="","",VLOOKUP($B1110,#REF!,5,FALSE))</f>
        <v/>
      </c>
      <c r="G1110" s="34" t="str">
        <f>IF(F1110="","",VLOOKUP($B1110,#REF!,6,FALSE))</f>
        <v/>
      </c>
      <c r="H1110" s="34" t="str">
        <f>IF(G1110="","",VLOOKUP($B1110,#REF!,7,FALSE))</f>
        <v/>
      </c>
      <c r="I1110" s="25"/>
      <c r="J1110" s="25"/>
      <c r="K1110" s="25"/>
      <c r="L1110" s="25"/>
      <c r="M1110" s="25"/>
      <c r="N1110" s="25"/>
      <c r="O1110" s="33">
        <f t="shared" si="46"/>
        <v>0</v>
      </c>
      <c r="P1110" s="25"/>
      <c r="Q1110" s="25">
        <f t="shared" si="45"/>
        <v>0</v>
      </c>
      <c r="R1110" s="39"/>
      <c r="S1110" s="39"/>
      <c r="T1110" s="39"/>
      <c r="U1110" s="39"/>
      <c r="V1110" s="39"/>
      <c r="W1110" s="25"/>
      <c r="X1110" s="33">
        <f t="shared" si="43"/>
        <v>0</v>
      </c>
      <c r="Y1110" s="39"/>
      <c r="Z1110" s="25">
        <f t="shared" si="44"/>
        <v>0</v>
      </c>
    </row>
    <row r="1111" spans="1:26" s="12" customFormat="1" ht="12">
      <c r="A1111" s="27"/>
      <c r="B1111" s="53"/>
      <c r="C1111" s="37" t="str">
        <f>IF(B1111="","",VLOOKUP($B1111,#REF!,2,FALSE))</f>
        <v/>
      </c>
      <c r="D1111" s="34" t="str">
        <f>IF(B1111="","",VLOOKUP($B1111,#REF!,3,FALSE))</f>
        <v/>
      </c>
      <c r="E1111" s="34" t="str">
        <f>IF(B1111="","",VLOOKUP($B1111,#REF!,4,FALSE))</f>
        <v/>
      </c>
      <c r="F1111" s="34" t="str">
        <f>IF(E1111="","",VLOOKUP($B1111,#REF!,5,FALSE))</f>
        <v/>
      </c>
      <c r="G1111" s="34" t="str">
        <f>IF(F1111="","",VLOOKUP($B1111,#REF!,6,FALSE))</f>
        <v/>
      </c>
      <c r="H1111" s="34" t="str">
        <f>IF(G1111="","",VLOOKUP($B1111,#REF!,7,FALSE))</f>
        <v/>
      </c>
      <c r="I1111" s="25"/>
      <c r="J1111" s="25"/>
      <c r="K1111" s="25"/>
      <c r="L1111" s="25"/>
      <c r="M1111" s="25"/>
      <c r="N1111" s="25"/>
      <c r="O1111" s="33">
        <f t="shared" si="46"/>
        <v>0</v>
      </c>
      <c r="P1111" s="25"/>
      <c r="Q1111" s="25">
        <f t="shared" si="45"/>
        <v>0</v>
      </c>
      <c r="R1111" s="39"/>
      <c r="S1111" s="39"/>
      <c r="T1111" s="39"/>
      <c r="U1111" s="39"/>
      <c r="V1111" s="39"/>
      <c r="W1111" s="25"/>
      <c r="X1111" s="33">
        <f t="shared" si="43"/>
        <v>0</v>
      </c>
      <c r="Y1111" s="39"/>
      <c r="Z1111" s="25">
        <f t="shared" si="44"/>
        <v>0</v>
      </c>
    </row>
    <row r="1112" spans="1:26" s="12" customFormat="1" ht="12">
      <c r="A1112" s="27"/>
      <c r="B1112" s="53"/>
      <c r="C1112" s="37" t="str">
        <f>IF(B1112="","",VLOOKUP($B1112,#REF!,2,FALSE))</f>
        <v/>
      </c>
      <c r="D1112" s="34" t="str">
        <f>IF(B1112="","",VLOOKUP($B1112,#REF!,3,FALSE))</f>
        <v/>
      </c>
      <c r="E1112" s="34" t="str">
        <f>IF(B1112="","",VLOOKUP($B1112,#REF!,4,FALSE))</f>
        <v/>
      </c>
      <c r="F1112" s="34" t="str">
        <f>IF(E1112="","",VLOOKUP($B1112,#REF!,5,FALSE))</f>
        <v/>
      </c>
      <c r="G1112" s="34" t="str">
        <f>IF(F1112="","",VLOOKUP($B1112,#REF!,6,FALSE))</f>
        <v/>
      </c>
      <c r="H1112" s="34" t="str">
        <f>IF(G1112="","",VLOOKUP($B1112,#REF!,7,FALSE))</f>
        <v/>
      </c>
      <c r="I1112" s="25"/>
      <c r="J1112" s="25"/>
      <c r="K1112" s="25"/>
      <c r="L1112" s="25"/>
      <c r="M1112" s="25"/>
      <c r="N1112" s="25"/>
      <c r="O1112" s="33">
        <f t="shared" si="46"/>
        <v>0</v>
      </c>
      <c r="P1112" s="25"/>
      <c r="Q1112" s="25">
        <f t="shared" si="45"/>
        <v>0</v>
      </c>
      <c r="R1112" s="39"/>
      <c r="S1112" s="39"/>
      <c r="T1112" s="39"/>
      <c r="U1112" s="39"/>
      <c r="V1112" s="39"/>
      <c r="W1112" s="25"/>
      <c r="X1112" s="33">
        <f t="shared" si="43"/>
        <v>0</v>
      </c>
      <c r="Y1112" s="39"/>
      <c r="Z1112" s="25">
        <f t="shared" si="44"/>
        <v>0</v>
      </c>
    </row>
    <row r="1113" spans="1:26" s="12" customFormat="1" ht="12">
      <c r="A1113" s="27"/>
      <c r="B1113" s="28"/>
      <c r="C1113" s="37" t="str">
        <f>IF(B1113="","",VLOOKUP($B1113,#REF!,2,FALSE))</f>
        <v/>
      </c>
      <c r="D1113" s="34" t="str">
        <f>IF(B1113="","",VLOOKUP($B1113,#REF!,3,FALSE))</f>
        <v/>
      </c>
      <c r="E1113" s="34" t="str">
        <f>IF(B1113="","",VLOOKUP($B1113,#REF!,4,FALSE))</f>
        <v/>
      </c>
      <c r="F1113" s="34" t="str">
        <f>IF(E1113="","",VLOOKUP($B1113,#REF!,5,FALSE))</f>
        <v/>
      </c>
      <c r="G1113" s="34" t="str">
        <f>IF(F1113="","",VLOOKUP($B1113,#REF!,6,FALSE))</f>
        <v/>
      </c>
      <c r="H1113" s="34" t="str">
        <f>IF(G1113="","",VLOOKUP($B1113,#REF!,7,FALSE))</f>
        <v/>
      </c>
      <c r="I1113" s="25"/>
      <c r="J1113" s="25"/>
      <c r="K1113" s="25"/>
      <c r="L1113" s="25"/>
      <c r="M1113" s="25"/>
      <c r="N1113" s="25"/>
      <c r="O1113" s="33">
        <f>SUM(I1113:N1113)</f>
        <v>0</v>
      </c>
      <c r="P1113" s="25"/>
      <c r="Q1113" s="25">
        <f t="shared" si="45"/>
        <v>0</v>
      </c>
      <c r="R1113" s="39"/>
      <c r="S1113" s="39"/>
      <c r="T1113" s="39"/>
      <c r="U1113" s="39"/>
      <c r="V1113" s="39"/>
      <c r="W1113" s="25"/>
      <c r="X1113" s="33">
        <f t="shared" ref="X1113:X1123" si="47">SUM(R1113:W1113)</f>
        <v>0</v>
      </c>
      <c r="Y1113" s="39"/>
      <c r="Z1113" s="25">
        <f t="shared" si="44"/>
        <v>0</v>
      </c>
    </row>
    <row r="1114" spans="1:26" s="12" customFormat="1" ht="12">
      <c r="A1114" s="27"/>
      <c r="B1114" s="28"/>
      <c r="C1114" s="37" t="str">
        <f>IF(B1114="","",VLOOKUP($B1114,#REF!,2,FALSE))</f>
        <v/>
      </c>
      <c r="D1114" s="34" t="str">
        <f>IF(B1114="","",VLOOKUP($B1114,#REF!,3,FALSE))</f>
        <v/>
      </c>
      <c r="E1114" s="34" t="str">
        <f>IF(B1114="","",VLOOKUP($B1114,#REF!,4,FALSE))</f>
        <v/>
      </c>
      <c r="F1114" s="34" t="str">
        <f>IF(E1114="","",VLOOKUP($B1114,#REF!,5,FALSE))</f>
        <v/>
      </c>
      <c r="G1114" s="34" t="str">
        <f>IF(F1114="","",VLOOKUP($B1114,#REF!,6,FALSE))</f>
        <v/>
      </c>
      <c r="H1114" s="34" t="str">
        <f>IF(G1114="","",VLOOKUP($B1114,#REF!,7,FALSE))</f>
        <v/>
      </c>
      <c r="I1114" s="25"/>
      <c r="J1114" s="25"/>
      <c r="K1114" s="25"/>
      <c r="L1114" s="25"/>
      <c r="M1114" s="25"/>
      <c r="N1114" s="25"/>
      <c r="O1114" s="33">
        <f>SUM(I1114:N1114)</f>
        <v>0</v>
      </c>
      <c r="P1114" s="25"/>
      <c r="Q1114" s="25">
        <f t="shared" si="45"/>
        <v>0</v>
      </c>
      <c r="R1114" s="39"/>
      <c r="S1114" s="39"/>
      <c r="T1114" s="39"/>
      <c r="U1114" s="39"/>
      <c r="V1114" s="39"/>
      <c r="W1114" s="25"/>
      <c r="X1114" s="33">
        <f t="shared" si="47"/>
        <v>0</v>
      </c>
      <c r="Y1114" s="39"/>
      <c r="Z1114" s="25">
        <f t="shared" si="44"/>
        <v>0</v>
      </c>
    </row>
    <row r="1115" spans="1:26" s="12" customFormat="1" ht="12">
      <c r="A1115" s="27"/>
      <c r="B1115" s="53"/>
      <c r="C1115" s="37" t="str">
        <f>IF(B1115="","",VLOOKUP($B1115,#REF!,2,FALSE))</f>
        <v/>
      </c>
      <c r="D1115" s="34" t="str">
        <f>IF(B1115="","",VLOOKUP($B1115,#REF!,3,FALSE))</f>
        <v/>
      </c>
      <c r="E1115" s="34" t="str">
        <f>IF(B1115="","",VLOOKUP($B1115,#REF!,4,FALSE))</f>
        <v/>
      </c>
      <c r="F1115" s="34" t="str">
        <f>IF(E1115="","",VLOOKUP($B1115,#REF!,5,FALSE))</f>
        <v/>
      </c>
      <c r="G1115" s="34" t="str">
        <f>IF(F1115="","",VLOOKUP($B1115,#REF!,6,FALSE))</f>
        <v/>
      </c>
      <c r="H1115" s="34" t="str">
        <f>IF(G1115="","",VLOOKUP($B1115,#REF!,7,FALSE))</f>
        <v/>
      </c>
      <c r="I1115" s="25"/>
      <c r="J1115" s="25"/>
      <c r="K1115" s="25"/>
      <c r="L1115" s="25"/>
      <c r="M1115" s="25"/>
      <c r="N1115" s="25"/>
      <c r="O1115" s="33">
        <f>SUM(I1115:N1115)</f>
        <v>0</v>
      </c>
      <c r="P1115" s="25"/>
      <c r="Q1115" s="25">
        <f t="shared" si="45"/>
        <v>0</v>
      </c>
      <c r="R1115" s="39"/>
      <c r="S1115" s="39"/>
      <c r="T1115" s="39"/>
      <c r="U1115" s="39"/>
      <c r="V1115" s="39"/>
      <c r="W1115" s="25"/>
      <c r="X1115" s="33">
        <f t="shared" si="47"/>
        <v>0</v>
      </c>
      <c r="Y1115" s="39"/>
      <c r="Z1115" s="25">
        <f t="shared" si="44"/>
        <v>0</v>
      </c>
    </row>
    <row r="1116" spans="1:26" s="12" customFormat="1" ht="12">
      <c r="A1116" s="27"/>
      <c r="B1116" s="53"/>
      <c r="C1116" s="37" t="str">
        <f>IF(B1116="","",VLOOKUP($B1116,#REF!,2,FALSE))</f>
        <v/>
      </c>
      <c r="D1116" s="34" t="str">
        <f>IF(B1116="","",VLOOKUP($B1116,#REF!,3,FALSE))</f>
        <v/>
      </c>
      <c r="E1116" s="34" t="str">
        <f>IF(B1116="","",VLOOKUP($B1116,#REF!,4,FALSE))</f>
        <v/>
      </c>
      <c r="F1116" s="34" t="str">
        <f>IF(E1116="","",VLOOKUP($B1116,#REF!,5,FALSE))</f>
        <v/>
      </c>
      <c r="G1116" s="34" t="str">
        <f>IF(F1116="","",VLOOKUP($B1116,#REF!,6,FALSE))</f>
        <v/>
      </c>
      <c r="H1116" s="34" t="str">
        <f>IF(G1116="","",VLOOKUP($B1116,#REF!,7,FALSE))</f>
        <v/>
      </c>
      <c r="I1116" s="25"/>
      <c r="J1116" s="25"/>
      <c r="K1116" s="25"/>
      <c r="L1116" s="25"/>
      <c r="M1116" s="25"/>
      <c r="N1116" s="25"/>
      <c r="O1116" s="33">
        <f>SUM(I1116:N1116)</f>
        <v>0</v>
      </c>
      <c r="P1116" s="25"/>
      <c r="Q1116" s="25">
        <f t="shared" si="45"/>
        <v>0</v>
      </c>
      <c r="R1116" s="39"/>
      <c r="S1116" s="39"/>
      <c r="T1116" s="39"/>
      <c r="U1116" s="39"/>
      <c r="V1116" s="39"/>
      <c r="W1116" s="25"/>
      <c r="X1116" s="33">
        <f t="shared" si="47"/>
        <v>0</v>
      </c>
      <c r="Y1116" s="39"/>
      <c r="Z1116" s="25">
        <f t="shared" si="44"/>
        <v>0</v>
      </c>
    </row>
    <row r="1117" spans="1:26" s="12" customFormat="1" ht="12">
      <c r="A1117" s="27"/>
      <c r="B1117" s="53"/>
      <c r="C1117" s="37" t="str">
        <f>IF(B1117="","",VLOOKUP($B1117,#REF!,2,FALSE))</f>
        <v/>
      </c>
      <c r="D1117" s="34" t="str">
        <f>IF(B1117="","",VLOOKUP($B1117,#REF!,3,FALSE))</f>
        <v/>
      </c>
      <c r="E1117" s="34" t="str">
        <f>IF(B1117="","",VLOOKUP($B1117,#REF!,4,FALSE))</f>
        <v/>
      </c>
      <c r="F1117" s="34" t="str">
        <f>IF(E1117="","",VLOOKUP($B1117,#REF!,5,FALSE))</f>
        <v/>
      </c>
      <c r="G1117" s="34" t="str">
        <f>IF(F1117="","",VLOOKUP($B1117,#REF!,6,FALSE))</f>
        <v/>
      </c>
      <c r="H1117" s="34" t="str">
        <f>IF(G1117="","",VLOOKUP($B1117,#REF!,7,FALSE))</f>
        <v/>
      </c>
      <c r="I1117" s="25"/>
      <c r="J1117" s="25"/>
      <c r="K1117" s="25"/>
      <c r="L1117" s="25"/>
      <c r="M1117" s="25"/>
      <c r="N1117" s="25"/>
      <c r="O1117" s="33">
        <f>SUM(I1117:N1117)</f>
        <v>0</v>
      </c>
      <c r="P1117" s="25"/>
      <c r="Q1117" s="25">
        <f t="shared" si="45"/>
        <v>0</v>
      </c>
      <c r="R1117" s="39"/>
      <c r="S1117" s="39"/>
      <c r="T1117" s="39"/>
      <c r="U1117" s="39"/>
      <c r="V1117" s="39"/>
      <c r="W1117" s="25"/>
      <c r="X1117" s="33">
        <f t="shared" si="47"/>
        <v>0</v>
      </c>
      <c r="Y1117" s="39"/>
      <c r="Z1117" s="25">
        <f t="shared" si="44"/>
        <v>0</v>
      </c>
    </row>
    <row r="1118" spans="1:26" s="12" customFormat="1" ht="12">
      <c r="A1118" s="27"/>
      <c r="B1118" s="53"/>
      <c r="C1118" s="37" t="str">
        <f>IF(B1118="","",VLOOKUP($B1118,#REF!,2,FALSE))</f>
        <v/>
      </c>
      <c r="D1118" s="34" t="str">
        <f>IF(B1118="","",VLOOKUP($B1118,#REF!,3,FALSE))</f>
        <v/>
      </c>
      <c r="E1118" s="34" t="str">
        <f>IF(B1118="","",VLOOKUP($B1118,#REF!,4,FALSE))</f>
        <v/>
      </c>
      <c r="F1118" s="34" t="str">
        <f>IF(E1118="","",VLOOKUP($B1118,#REF!,5,FALSE))</f>
        <v/>
      </c>
      <c r="G1118" s="34" t="str">
        <f>IF(F1118="","",VLOOKUP($B1118,#REF!,6,FALSE))</f>
        <v/>
      </c>
      <c r="H1118" s="34" t="str">
        <f>IF(G1118="","",VLOOKUP($B1118,#REF!,7,FALSE))</f>
        <v/>
      </c>
      <c r="I1118" s="25"/>
      <c r="J1118" s="25"/>
      <c r="K1118" s="25"/>
      <c r="L1118" s="25"/>
      <c r="M1118" s="25"/>
      <c r="N1118" s="25"/>
      <c r="O1118" s="33">
        <f t="shared" si="46"/>
        <v>0</v>
      </c>
      <c r="P1118" s="25"/>
      <c r="Q1118" s="25">
        <f t="shared" si="45"/>
        <v>0</v>
      </c>
      <c r="R1118" s="39"/>
      <c r="S1118" s="39"/>
      <c r="T1118" s="39"/>
      <c r="U1118" s="39"/>
      <c r="V1118" s="39"/>
      <c r="W1118" s="25"/>
      <c r="X1118" s="33">
        <f t="shared" si="47"/>
        <v>0</v>
      </c>
      <c r="Y1118" s="39"/>
      <c r="Z1118" s="25">
        <f t="shared" si="44"/>
        <v>0</v>
      </c>
    </row>
    <row r="1119" spans="1:26" s="12" customFormat="1" ht="12">
      <c r="A1119" s="27"/>
      <c r="B1119" s="53"/>
      <c r="C1119" s="37" t="str">
        <f>IF(B1119="","",VLOOKUP($B1119,#REF!,2,FALSE))</f>
        <v/>
      </c>
      <c r="D1119" s="34" t="str">
        <f>IF(B1119="","",VLOOKUP($B1119,#REF!,3,FALSE))</f>
        <v/>
      </c>
      <c r="E1119" s="34" t="str">
        <f>IF(B1119="","",VLOOKUP($B1119,#REF!,4,FALSE))</f>
        <v/>
      </c>
      <c r="F1119" s="34" t="str">
        <f>IF(E1119="","",VLOOKUP($B1119,#REF!,5,FALSE))</f>
        <v/>
      </c>
      <c r="G1119" s="34" t="str">
        <f>IF(F1119="","",VLOOKUP($B1119,#REF!,6,FALSE))</f>
        <v/>
      </c>
      <c r="H1119" s="34" t="str">
        <f>IF(G1119="","",VLOOKUP($B1119,#REF!,7,FALSE))</f>
        <v/>
      </c>
      <c r="I1119" s="25"/>
      <c r="J1119" s="25"/>
      <c r="K1119" s="25"/>
      <c r="L1119" s="25"/>
      <c r="M1119" s="25"/>
      <c r="N1119" s="25"/>
      <c r="O1119" s="33">
        <f>SUM(I1119:N1119)</f>
        <v>0</v>
      </c>
      <c r="P1119" s="25"/>
      <c r="Q1119" s="25">
        <f t="shared" si="45"/>
        <v>0</v>
      </c>
      <c r="R1119" s="39"/>
      <c r="S1119" s="39"/>
      <c r="T1119" s="39"/>
      <c r="U1119" s="39"/>
      <c r="V1119" s="39"/>
      <c r="W1119" s="25"/>
      <c r="X1119" s="33">
        <f t="shared" si="47"/>
        <v>0</v>
      </c>
      <c r="Y1119" s="39"/>
      <c r="Z1119" s="25">
        <f t="shared" si="44"/>
        <v>0</v>
      </c>
    </row>
    <row r="1120" spans="1:26" s="12" customFormat="1" ht="12">
      <c r="A1120" s="27"/>
      <c r="B1120" s="28"/>
      <c r="C1120" s="37" t="str">
        <f>IF(B1120="","",VLOOKUP($B1120,#REF!,2,FALSE))</f>
        <v/>
      </c>
      <c r="D1120" s="34" t="str">
        <f>IF(B1120="","",VLOOKUP($B1120,#REF!,3,FALSE))</f>
        <v/>
      </c>
      <c r="E1120" s="34" t="str">
        <f>IF(B1120="","",VLOOKUP($B1120,#REF!,4,FALSE))</f>
        <v/>
      </c>
      <c r="F1120" s="34" t="str">
        <f>IF(E1120="","",VLOOKUP($B1120,#REF!,5,FALSE))</f>
        <v/>
      </c>
      <c r="G1120" s="34" t="str">
        <f>IF(F1120="","",VLOOKUP($B1120,#REF!,6,FALSE))</f>
        <v/>
      </c>
      <c r="H1120" s="34" t="str">
        <f>IF(G1120="","",VLOOKUP($B1120,#REF!,7,FALSE))</f>
        <v/>
      </c>
      <c r="I1120" s="25"/>
      <c r="J1120" s="25"/>
      <c r="K1120" s="25"/>
      <c r="L1120" s="25"/>
      <c r="M1120" s="25"/>
      <c r="N1120" s="25"/>
      <c r="O1120" s="33">
        <f>SUM(I1120:N1120)</f>
        <v>0</v>
      </c>
      <c r="P1120" s="25"/>
      <c r="Q1120" s="25">
        <f t="shared" si="45"/>
        <v>0</v>
      </c>
      <c r="R1120" s="39"/>
      <c r="S1120" s="39"/>
      <c r="T1120" s="39"/>
      <c r="U1120" s="39"/>
      <c r="V1120" s="39"/>
      <c r="W1120" s="25"/>
      <c r="X1120" s="33">
        <f t="shared" si="47"/>
        <v>0</v>
      </c>
      <c r="Y1120" s="39"/>
      <c r="Z1120" s="25">
        <f t="shared" si="44"/>
        <v>0</v>
      </c>
    </row>
    <row r="1121" spans="1:26" s="12" customFormat="1" ht="12">
      <c r="A1121" s="27"/>
      <c r="B1121" s="54"/>
      <c r="C1121" s="37" t="str">
        <f>IF(B1121="","",VLOOKUP($B1121,#REF!,2,FALSE))</f>
        <v/>
      </c>
      <c r="D1121" s="34" t="str">
        <f>IF(B1121="","",VLOOKUP($B1121,#REF!,3,FALSE))</f>
        <v/>
      </c>
      <c r="E1121" s="34" t="str">
        <f>IF(B1121="","",VLOOKUP($B1121,#REF!,4,FALSE))</f>
        <v/>
      </c>
      <c r="F1121" s="34" t="str">
        <f>IF(E1121="","",VLOOKUP($B1121,#REF!,5,FALSE))</f>
        <v/>
      </c>
      <c r="G1121" s="34" t="str">
        <f>IF(F1121="","",VLOOKUP($B1121,#REF!,6,FALSE))</f>
        <v/>
      </c>
      <c r="H1121" s="34" t="str">
        <f>IF(G1121="","",VLOOKUP($B1121,#REF!,7,FALSE))</f>
        <v/>
      </c>
      <c r="I1121" s="25"/>
      <c r="J1121" s="25"/>
      <c r="K1121" s="25"/>
      <c r="L1121" s="25"/>
      <c r="M1121" s="25"/>
      <c r="N1121" s="25"/>
      <c r="O1121" s="33">
        <f>SUM(I1121:N1121)</f>
        <v>0</v>
      </c>
      <c r="P1121" s="25"/>
      <c r="Q1121" s="25">
        <f t="shared" si="45"/>
        <v>0</v>
      </c>
      <c r="R1121" s="39"/>
      <c r="S1121" s="39"/>
      <c r="T1121" s="39"/>
      <c r="U1121" s="39"/>
      <c r="V1121" s="39"/>
      <c r="W1121" s="25"/>
      <c r="X1121" s="33">
        <f t="shared" si="47"/>
        <v>0</v>
      </c>
      <c r="Y1121" s="39"/>
      <c r="Z1121" s="25">
        <f t="shared" si="44"/>
        <v>0</v>
      </c>
    </row>
    <row r="1122" spans="1:26" s="12" customFormat="1" ht="12">
      <c r="A1122" s="27"/>
      <c r="B1122" s="53"/>
      <c r="C1122" s="37" t="str">
        <f>IF(B1122="","",VLOOKUP($B1122,#REF!,2,FALSE))</f>
        <v/>
      </c>
      <c r="D1122" s="34" t="str">
        <f>IF(B1122="","",VLOOKUP($B1122,#REF!,3,FALSE))</f>
        <v/>
      </c>
      <c r="E1122" s="34" t="str">
        <f>IF(B1122="","",VLOOKUP($B1122,#REF!,4,FALSE))</f>
        <v/>
      </c>
      <c r="F1122" s="34" t="str">
        <f>IF(E1122="","",VLOOKUP($B1122,#REF!,5,FALSE))</f>
        <v/>
      </c>
      <c r="G1122" s="34" t="str">
        <f>IF(F1122="","",VLOOKUP($B1122,#REF!,6,FALSE))</f>
        <v/>
      </c>
      <c r="H1122" s="34" t="str">
        <f>IF(G1122="","",VLOOKUP($B1122,#REF!,7,FALSE))</f>
        <v/>
      </c>
      <c r="I1122" s="25"/>
      <c r="J1122" s="25"/>
      <c r="K1122" s="25"/>
      <c r="L1122" s="25"/>
      <c r="M1122" s="25"/>
      <c r="N1122" s="25"/>
      <c r="O1122" s="33">
        <f>SUM(I1122:N1122)</f>
        <v>0</v>
      </c>
      <c r="P1122" s="25"/>
      <c r="Q1122" s="25">
        <f t="shared" si="45"/>
        <v>0</v>
      </c>
      <c r="R1122" s="39"/>
      <c r="S1122" s="39"/>
      <c r="T1122" s="39"/>
      <c r="U1122" s="39"/>
      <c r="V1122" s="39"/>
      <c r="W1122" s="25"/>
      <c r="X1122" s="33">
        <f t="shared" si="47"/>
        <v>0</v>
      </c>
      <c r="Y1122" s="39"/>
      <c r="Z1122" s="25">
        <f t="shared" si="44"/>
        <v>0</v>
      </c>
    </row>
    <row r="1123" spans="1:26" s="12" customFormat="1" ht="12">
      <c r="A1123" s="49"/>
      <c r="B1123" s="50"/>
      <c r="C1123" s="37" t="str">
        <f>IF(B1123="","",VLOOKUP($B1123,#REF!,2,FALSE))</f>
        <v/>
      </c>
      <c r="D1123" s="34" t="str">
        <f>IF(B1123="","",VLOOKUP($B1123,#REF!,3,FALSE))</f>
        <v/>
      </c>
      <c r="E1123" s="34" t="str">
        <f>IF(B1123="","",VLOOKUP($B1123,#REF!,4,FALSE))</f>
        <v/>
      </c>
      <c r="F1123" s="34" t="str">
        <f>IF(E1123="","",VLOOKUP($B1123,#REF!,5,FALSE))</f>
        <v/>
      </c>
      <c r="G1123" s="34" t="str">
        <f>IF(F1123="","",VLOOKUP($B1123,#REF!,6,FALSE))</f>
        <v/>
      </c>
      <c r="H1123" s="34" t="str">
        <f>IF(G1123="","",VLOOKUP($B1123,#REF!,7,FALSE))</f>
        <v/>
      </c>
      <c r="I1123" s="25"/>
      <c r="J1123" s="25"/>
      <c r="K1123" s="25"/>
      <c r="L1123" s="25"/>
      <c r="M1123" s="25"/>
      <c r="N1123" s="25"/>
      <c r="O1123" s="33">
        <f>SUM(I1123:N1123)</f>
        <v>0</v>
      </c>
      <c r="P1123" s="25"/>
      <c r="Q1123" s="25">
        <f t="shared" si="45"/>
        <v>0</v>
      </c>
      <c r="R1123" s="39"/>
      <c r="S1123" s="39"/>
      <c r="T1123" s="39"/>
      <c r="U1123" s="39"/>
      <c r="V1123" s="39"/>
      <c r="W1123" s="25"/>
      <c r="X1123" s="33">
        <f t="shared" si="47"/>
        <v>0</v>
      </c>
      <c r="Y1123" s="39"/>
      <c r="Z1123" s="25">
        <f t="shared" si="44"/>
        <v>0</v>
      </c>
    </row>
    <row r="1124" spans="1:26" s="12" customFormat="1" ht="12">
      <c r="A1124" s="49"/>
      <c r="B1124" s="47"/>
      <c r="C1124" s="37" t="str">
        <f>IF(B1124="","",VLOOKUP($B1124,#REF!,2,FALSE))</f>
        <v/>
      </c>
      <c r="D1124" s="34" t="str">
        <f>IF(B1124="","",VLOOKUP($B1124,#REF!,3,FALSE))</f>
        <v/>
      </c>
      <c r="E1124" s="34" t="str">
        <f>IF(B1124="","",VLOOKUP($B1124,#REF!,4,FALSE))</f>
        <v/>
      </c>
      <c r="F1124" s="34" t="str">
        <f>IF(E1124="","",VLOOKUP($B1124,#REF!,5,FALSE))</f>
        <v/>
      </c>
      <c r="G1124" s="34" t="str">
        <f>IF(F1124="","",VLOOKUP($B1124,#REF!,6,FALSE))</f>
        <v/>
      </c>
      <c r="H1124" s="34" t="str">
        <f>IF(G1124="","",VLOOKUP($B1124,#REF!,7,FALSE))</f>
        <v/>
      </c>
      <c r="I1124" s="25"/>
      <c r="J1124" s="25"/>
      <c r="K1124" s="25"/>
      <c r="L1124" s="25"/>
      <c r="M1124" s="25"/>
      <c r="N1124" s="25"/>
      <c r="O1124" s="33">
        <f t="shared" si="46"/>
        <v>0</v>
      </c>
      <c r="P1124" s="25"/>
      <c r="Q1124" s="25">
        <f t="shared" si="45"/>
        <v>0</v>
      </c>
      <c r="R1124" s="39"/>
      <c r="S1124" s="39"/>
      <c r="T1124" s="39"/>
      <c r="U1124" s="39"/>
      <c r="V1124" s="39"/>
      <c r="W1124" s="25"/>
      <c r="X1124" s="33">
        <f t="shared" si="43"/>
        <v>0</v>
      </c>
      <c r="Y1124" s="39"/>
      <c r="Z1124" s="25">
        <f t="shared" si="44"/>
        <v>0</v>
      </c>
    </row>
    <row r="1125" spans="1:26" s="12" customFormat="1" ht="12">
      <c r="A1125" s="49"/>
      <c r="B1125" s="50"/>
      <c r="C1125" s="37" t="str">
        <f>IF(B1125="","",VLOOKUP($B1125,#REF!,2,FALSE))</f>
        <v/>
      </c>
      <c r="D1125" s="34" t="str">
        <f>IF(B1125="","",VLOOKUP($B1125,#REF!,3,FALSE))</f>
        <v/>
      </c>
      <c r="E1125" s="34" t="str">
        <f>IF(B1125="","",VLOOKUP($B1125,#REF!,4,FALSE))</f>
        <v/>
      </c>
      <c r="F1125" s="34" t="str">
        <f>IF(E1125="","",VLOOKUP($B1125,#REF!,5,FALSE))</f>
        <v/>
      </c>
      <c r="G1125" s="34" t="str">
        <f>IF(F1125="","",VLOOKUP($B1125,#REF!,6,FALSE))</f>
        <v/>
      </c>
      <c r="H1125" s="34" t="str">
        <f>IF(G1125="","",VLOOKUP($B1125,#REF!,7,FALSE))</f>
        <v/>
      </c>
      <c r="I1125" s="25"/>
      <c r="J1125" s="25"/>
      <c r="K1125" s="25"/>
      <c r="L1125" s="25"/>
      <c r="M1125" s="25"/>
      <c r="N1125" s="25"/>
      <c r="O1125" s="33">
        <f t="shared" si="46"/>
        <v>0</v>
      </c>
      <c r="P1125" s="25"/>
      <c r="Q1125" s="25">
        <f t="shared" si="45"/>
        <v>0</v>
      </c>
      <c r="R1125" s="39"/>
      <c r="S1125" s="39"/>
      <c r="T1125" s="39"/>
      <c r="U1125" s="39"/>
      <c r="V1125" s="39"/>
      <c r="W1125" s="25"/>
      <c r="X1125" s="33">
        <f t="shared" si="43"/>
        <v>0</v>
      </c>
      <c r="Y1125" s="39"/>
      <c r="Z1125" s="25">
        <f t="shared" si="44"/>
        <v>0</v>
      </c>
    </row>
    <row r="1126" spans="1:26" s="12" customFormat="1" ht="12">
      <c r="A1126" s="69"/>
      <c r="B1126" s="70"/>
      <c r="C1126" s="48" t="s">
        <v>84</v>
      </c>
      <c r="D1126" s="48" t="s">
        <v>184</v>
      </c>
      <c r="E1126" s="48" t="s">
        <v>235</v>
      </c>
      <c r="F1126" s="71"/>
      <c r="G1126" s="71"/>
      <c r="H1126" s="71" t="str">
        <f>IF(G1126="","",VLOOKUP($B1126,'[2]품번코드 마스터'!$A$3:$G$1048576,7,FALSE))</f>
        <v/>
      </c>
      <c r="I1126" s="72"/>
      <c r="J1126" s="72"/>
      <c r="K1126" s="72"/>
      <c r="L1126" s="72"/>
      <c r="M1126" s="72"/>
      <c r="N1126" s="72"/>
      <c r="O1126" s="72">
        <f t="shared" si="46"/>
        <v>0</v>
      </c>
      <c r="P1126" s="72"/>
      <c r="Q1126" s="72">
        <f>(J1126*P1126)+(M1126*P1126)</f>
        <v>0</v>
      </c>
      <c r="R1126" s="72"/>
      <c r="S1126" s="72"/>
      <c r="T1126" s="72"/>
      <c r="U1126" s="72"/>
      <c r="V1126" s="72"/>
      <c r="W1126" s="72"/>
      <c r="X1126" s="72">
        <f>SUM(R1126:W1126)</f>
        <v>0</v>
      </c>
      <c r="Y1126" s="72"/>
      <c r="Z1126" s="72"/>
    </row>
    <row r="1127" spans="1:26" s="12" customFormat="1" ht="12">
      <c r="A1127" s="64"/>
      <c r="B1127" s="65"/>
      <c r="C1127" s="48" t="s">
        <v>84</v>
      </c>
      <c r="D1127" s="48" t="s">
        <v>184</v>
      </c>
      <c r="E1127" s="48" t="s">
        <v>235</v>
      </c>
      <c r="F1127" s="48"/>
      <c r="G1127" s="48"/>
      <c r="H1127" s="48" t="str">
        <f>IF(G1127="","",VLOOKUP($B1127,'[2]품번코드 마스터'!$A$3:$G$1048576,7,FALSE))</f>
        <v/>
      </c>
      <c r="I1127" s="36"/>
      <c r="J1127" s="36"/>
      <c r="K1127" s="36"/>
      <c r="L1127" s="36"/>
      <c r="M1127" s="36"/>
      <c r="N1127" s="36"/>
      <c r="O1127" s="36">
        <f t="shared" si="46"/>
        <v>0</v>
      </c>
      <c r="P1127" s="36"/>
      <c r="Q1127" s="36">
        <f>(J1127*P1127)+(M1127*P1127)</f>
        <v>0</v>
      </c>
      <c r="R1127" s="36"/>
      <c r="S1127" s="36"/>
      <c r="T1127" s="36"/>
      <c r="U1127" s="36"/>
      <c r="V1127" s="36"/>
      <c r="W1127" s="36"/>
      <c r="X1127" s="36">
        <f>SUM(R1127:W1127)</f>
        <v>0</v>
      </c>
      <c r="Y1127" s="36"/>
      <c r="Z1127" s="36"/>
    </row>
    <row r="1128" spans="1:26" s="12" customFormat="1" ht="12">
      <c r="A1128" s="64"/>
      <c r="B1128" s="66"/>
      <c r="C1128" s="48" t="s">
        <v>136</v>
      </c>
      <c r="D1128" s="48" t="s">
        <v>177</v>
      </c>
      <c r="E1128" s="48" t="s">
        <v>236</v>
      </c>
      <c r="F1128" s="48"/>
      <c r="G1128" s="48"/>
      <c r="H1128" s="48" t="str">
        <f>IF(G1128="","",VLOOKUP($B1128,'[2]품번코드 마스터'!$A$3:$G$1048576,7,FALSE))</f>
        <v/>
      </c>
      <c r="I1128" s="36"/>
      <c r="J1128" s="36"/>
      <c r="K1128" s="36"/>
      <c r="L1128" s="36"/>
      <c r="M1128" s="36"/>
      <c r="N1128" s="36"/>
      <c r="O1128" s="36">
        <f t="shared" si="46"/>
        <v>0</v>
      </c>
      <c r="P1128" s="36"/>
      <c r="Q1128" s="36">
        <f>(J1128*P1128)+(M1128*P1128)</f>
        <v>0</v>
      </c>
      <c r="R1128" s="36"/>
      <c r="S1128" s="36"/>
      <c r="T1128" s="36"/>
      <c r="U1128" s="36"/>
      <c r="V1128" s="36"/>
      <c r="W1128" s="36"/>
      <c r="X1128" s="36">
        <f>SUM(R1128:W1128)</f>
        <v>0</v>
      </c>
      <c r="Y1128" s="36"/>
      <c r="Z1128" s="36"/>
    </row>
    <row r="1129" spans="1:26" s="12" customFormat="1" ht="12">
      <c r="A1129" s="64"/>
      <c r="B1129" s="67"/>
      <c r="C1129" s="48" t="s">
        <v>136</v>
      </c>
      <c r="D1129" s="48" t="s">
        <v>178</v>
      </c>
      <c r="E1129" s="48" t="s">
        <v>236</v>
      </c>
      <c r="F1129" s="48"/>
      <c r="G1129" s="48"/>
      <c r="H1129" s="48" t="str">
        <f>IF(G1129="","",VLOOKUP($B1129,'[2]품번코드 마스터'!$A$3:$G$1048576,7,FALSE))</f>
        <v/>
      </c>
      <c r="I1129" s="36"/>
      <c r="J1129" s="36"/>
      <c r="K1129" s="36"/>
      <c r="L1129" s="36"/>
      <c r="M1129" s="36"/>
      <c r="N1129" s="36"/>
      <c r="O1129" s="36">
        <f t="shared" si="46"/>
        <v>0</v>
      </c>
      <c r="P1129" s="36"/>
      <c r="Q1129" s="36">
        <f>(J1129*P1129)+(M1129*P1129)</f>
        <v>0</v>
      </c>
      <c r="R1129" s="36"/>
      <c r="S1129" s="36"/>
      <c r="T1129" s="36"/>
      <c r="U1129" s="36"/>
      <c r="V1129" s="36"/>
      <c r="W1129" s="36"/>
      <c r="X1129" s="36">
        <f>SUM(R1129:W1129)</f>
        <v>0</v>
      </c>
      <c r="Y1129" s="36"/>
      <c r="Z1129" s="36"/>
    </row>
    <row r="1130" spans="1:26" s="12" customFormat="1" ht="12">
      <c r="A1130" s="64"/>
      <c r="B1130" s="67"/>
      <c r="C1130" s="48" t="s">
        <v>135</v>
      </c>
      <c r="D1130" s="48" t="s">
        <v>179</v>
      </c>
      <c r="E1130" s="48" t="s">
        <v>236</v>
      </c>
      <c r="F1130" s="48"/>
      <c r="G1130" s="48"/>
      <c r="H1130" s="48" t="str">
        <f>IF(G1130="","",VLOOKUP($B1130,'[2]품번코드 마스터'!$A$3:$G$1048576,7,FALSE))</f>
        <v/>
      </c>
      <c r="I1130" s="36"/>
      <c r="J1130" s="36"/>
      <c r="K1130" s="36"/>
      <c r="L1130" s="36"/>
      <c r="M1130" s="36"/>
      <c r="N1130" s="36"/>
      <c r="O1130" s="36">
        <f t="shared" si="46"/>
        <v>0</v>
      </c>
      <c r="P1130" s="36"/>
      <c r="Q1130" s="36">
        <f>(J1130*P1130)+(M1130*P1130)</f>
        <v>0</v>
      </c>
      <c r="R1130" s="36"/>
      <c r="S1130" s="36"/>
      <c r="T1130" s="36"/>
      <c r="U1130" s="36"/>
      <c r="V1130" s="36"/>
      <c r="W1130" s="36"/>
      <c r="X1130" s="36">
        <f>SUM(R1130:W1130)</f>
        <v>0</v>
      </c>
      <c r="Y1130" s="36"/>
      <c r="Z1130" s="36"/>
    </row>
    <row r="1131" spans="1:26" s="12" customFormat="1" ht="12">
      <c r="A1131" s="15"/>
      <c r="B1131" s="15"/>
      <c r="C1131" s="15"/>
      <c r="D1131" s="15"/>
      <c r="E1131" s="15"/>
      <c r="F1131" s="15"/>
      <c r="G1131" s="15"/>
      <c r="H1131" s="15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7"/>
      <c r="U1131" s="16"/>
      <c r="V1131" s="16"/>
      <c r="W1131" s="16"/>
      <c r="X1131" s="16"/>
      <c r="Y1131" s="16"/>
      <c r="Z1131" s="16"/>
    </row>
  </sheetData>
  <autoFilter ref="A3:Z1130" xr:uid="{00000000-0009-0000-0000-000007000000}"/>
  <mergeCells count="11">
    <mergeCell ref="R2:Z2"/>
    <mergeCell ref="A1:Z1"/>
    <mergeCell ref="A2:A3"/>
    <mergeCell ref="B2:B3"/>
    <mergeCell ref="C2:C3"/>
    <mergeCell ref="D2:D3"/>
    <mergeCell ref="E2:E3"/>
    <mergeCell ref="F2:F3"/>
    <mergeCell ref="G2:G3"/>
    <mergeCell ref="H2:H3"/>
    <mergeCell ref="I2:Q2"/>
  </mergeCells>
  <phoneticPr fontId="6" type="noConversion"/>
  <conditionalFormatting sqref="B25">
    <cfRule type="duplicateValues" dxfId="400" priority="775"/>
  </conditionalFormatting>
  <conditionalFormatting sqref="B26">
    <cfRule type="duplicateValues" dxfId="399" priority="772"/>
  </conditionalFormatting>
  <conditionalFormatting sqref="B27">
    <cfRule type="duplicateValues" dxfId="398" priority="771"/>
    <cfRule type="duplicateValues" dxfId="397" priority="774"/>
    <cfRule type="duplicateValues" dxfId="396" priority="773"/>
    <cfRule type="duplicateValues" dxfId="395" priority="770"/>
    <cfRule type="duplicateValues" dxfId="394" priority="769"/>
    <cfRule type="duplicateValues" dxfId="393" priority="768"/>
    <cfRule type="duplicateValues" dxfId="392" priority="766"/>
  </conditionalFormatting>
  <conditionalFormatting sqref="B28">
    <cfRule type="duplicateValues" dxfId="391" priority="767"/>
    <cfRule type="duplicateValues" dxfId="390" priority="765"/>
  </conditionalFormatting>
  <conditionalFormatting sqref="B30">
    <cfRule type="duplicateValues" dxfId="389" priority="764"/>
  </conditionalFormatting>
  <conditionalFormatting sqref="B40">
    <cfRule type="duplicateValues" dxfId="388" priority="761"/>
  </conditionalFormatting>
  <conditionalFormatting sqref="B41">
    <cfRule type="duplicateValues" dxfId="387" priority="758"/>
  </conditionalFormatting>
  <conditionalFormatting sqref="B42">
    <cfRule type="duplicateValues" dxfId="386" priority="754"/>
    <cfRule type="duplicateValues" dxfId="385" priority="755"/>
    <cfRule type="duplicateValues" dxfId="384" priority="756"/>
    <cfRule type="duplicateValues" dxfId="383" priority="757"/>
    <cfRule type="duplicateValues" dxfId="382" priority="759"/>
    <cfRule type="duplicateValues" dxfId="381" priority="760"/>
    <cfRule type="duplicateValues" dxfId="380" priority="752"/>
  </conditionalFormatting>
  <conditionalFormatting sqref="B43">
    <cfRule type="duplicateValues" dxfId="379" priority="753"/>
    <cfRule type="duplicateValues" dxfId="378" priority="751"/>
  </conditionalFormatting>
  <conditionalFormatting sqref="B54">
    <cfRule type="duplicateValues" dxfId="377" priority="762"/>
  </conditionalFormatting>
  <conditionalFormatting sqref="B107">
    <cfRule type="duplicateValues" dxfId="376" priority="763"/>
  </conditionalFormatting>
  <conditionalFormatting sqref="B113">
    <cfRule type="duplicateValues" dxfId="375" priority="750"/>
  </conditionalFormatting>
  <conditionalFormatting sqref="B114">
    <cfRule type="duplicateValues" dxfId="374" priority="747"/>
  </conditionalFormatting>
  <conditionalFormatting sqref="B115">
    <cfRule type="duplicateValues" dxfId="373" priority="741"/>
    <cfRule type="duplicateValues" dxfId="372" priority="749"/>
    <cfRule type="duplicateValues" dxfId="371" priority="748"/>
    <cfRule type="duplicateValues" dxfId="370" priority="746"/>
    <cfRule type="duplicateValues" dxfId="369" priority="745"/>
    <cfRule type="duplicateValues" dxfId="368" priority="744"/>
    <cfRule type="duplicateValues" dxfId="367" priority="743"/>
  </conditionalFormatting>
  <conditionalFormatting sqref="B116">
    <cfRule type="duplicateValues" dxfId="366" priority="740"/>
    <cfRule type="duplicateValues" dxfId="365" priority="742"/>
  </conditionalFormatting>
  <conditionalFormatting sqref="B119">
    <cfRule type="duplicateValues" dxfId="364" priority="739"/>
  </conditionalFormatting>
  <conditionalFormatting sqref="B128">
    <cfRule type="duplicateValues" dxfId="363" priority="713"/>
  </conditionalFormatting>
  <conditionalFormatting sqref="B134">
    <cfRule type="duplicateValues" dxfId="362" priority="712"/>
  </conditionalFormatting>
  <conditionalFormatting sqref="B139">
    <cfRule type="duplicateValues" dxfId="361" priority="727"/>
  </conditionalFormatting>
  <conditionalFormatting sqref="B147">
    <cfRule type="duplicateValues" dxfId="360" priority="726"/>
  </conditionalFormatting>
  <conditionalFormatting sqref="B152">
    <cfRule type="duplicateValues" dxfId="359" priority="738"/>
  </conditionalFormatting>
  <conditionalFormatting sqref="B153">
    <cfRule type="duplicateValues" dxfId="358" priority="735"/>
  </conditionalFormatting>
  <conditionalFormatting sqref="B154">
    <cfRule type="duplicateValues" dxfId="357" priority="736"/>
    <cfRule type="duplicateValues" dxfId="356" priority="733"/>
    <cfRule type="duplicateValues" dxfId="355" priority="732"/>
    <cfRule type="duplicateValues" dxfId="354" priority="731"/>
    <cfRule type="duplicateValues" dxfId="353" priority="734"/>
    <cfRule type="duplicateValues" dxfId="352" priority="729"/>
    <cfRule type="duplicateValues" dxfId="351" priority="737"/>
  </conditionalFormatting>
  <conditionalFormatting sqref="B155">
    <cfRule type="duplicateValues" dxfId="350" priority="730"/>
    <cfRule type="duplicateValues" dxfId="349" priority="728"/>
  </conditionalFormatting>
  <conditionalFormatting sqref="B158">
    <cfRule type="duplicateValues" dxfId="348" priority="711"/>
  </conditionalFormatting>
  <conditionalFormatting sqref="B164">
    <cfRule type="duplicateValues" dxfId="347" priority="710"/>
  </conditionalFormatting>
  <conditionalFormatting sqref="B169">
    <cfRule type="duplicateValues" dxfId="346" priority="709"/>
  </conditionalFormatting>
  <conditionalFormatting sqref="B178">
    <cfRule type="duplicateValues" dxfId="345" priority="725"/>
  </conditionalFormatting>
  <conditionalFormatting sqref="B179">
    <cfRule type="duplicateValues" dxfId="344" priority="722"/>
  </conditionalFormatting>
  <conditionalFormatting sqref="B180">
    <cfRule type="duplicateValues" dxfId="343" priority="718"/>
    <cfRule type="duplicateValues" dxfId="342" priority="723"/>
    <cfRule type="duplicateValues" dxfId="341" priority="716"/>
    <cfRule type="duplicateValues" dxfId="340" priority="724"/>
    <cfRule type="duplicateValues" dxfId="339" priority="721"/>
    <cfRule type="duplicateValues" dxfId="338" priority="720"/>
    <cfRule type="duplicateValues" dxfId="337" priority="719"/>
  </conditionalFormatting>
  <conditionalFormatting sqref="B181">
    <cfRule type="duplicateValues" dxfId="336" priority="715"/>
    <cfRule type="duplicateValues" dxfId="335" priority="717"/>
  </conditionalFormatting>
  <conditionalFormatting sqref="B194">
    <cfRule type="duplicateValues" dxfId="334" priority="714"/>
  </conditionalFormatting>
  <conditionalFormatting sqref="B223">
    <cfRule type="duplicateValues" dxfId="333" priority="708"/>
  </conditionalFormatting>
  <conditionalFormatting sqref="B226">
    <cfRule type="duplicateValues" dxfId="332" priority="707"/>
  </conditionalFormatting>
  <conditionalFormatting sqref="B227">
    <cfRule type="duplicateValues" dxfId="331" priority="706"/>
  </conditionalFormatting>
  <conditionalFormatting sqref="B233">
    <cfRule type="duplicateValues" dxfId="330" priority="705"/>
  </conditionalFormatting>
  <conditionalFormatting sqref="B243">
    <cfRule type="duplicateValues" dxfId="329" priority="704"/>
  </conditionalFormatting>
  <conditionalFormatting sqref="B244">
    <cfRule type="duplicateValues" dxfId="328" priority="701"/>
  </conditionalFormatting>
  <conditionalFormatting sqref="B245">
    <cfRule type="duplicateValues" dxfId="327" priority="703"/>
    <cfRule type="duplicateValues" dxfId="326" priority="702"/>
    <cfRule type="duplicateValues" dxfId="325" priority="700"/>
    <cfRule type="duplicateValues" dxfId="324" priority="699"/>
    <cfRule type="duplicateValues" dxfId="323" priority="698"/>
    <cfRule type="duplicateValues" dxfId="322" priority="697"/>
    <cfRule type="duplicateValues" dxfId="321" priority="695"/>
  </conditionalFormatting>
  <conditionalFormatting sqref="B246">
    <cfRule type="duplicateValues" dxfId="320" priority="696"/>
    <cfRule type="duplicateValues" dxfId="319" priority="694"/>
  </conditionalFormatting>
  <conditionalFormatting sqref="B254">
    <cfRule type="duplicateValues" dxfId="318" priority="689"/>
  </conditionalFormatting>
  <conditionalFormatting sqref="B260">
    <cfRule type="duplicateValues" dxfId="317" priority="693"/>
  </conditionalFormatting>
  <conditionalFormatting sqref="B266">
    <cfRule type="duplicateValues" dxfId="316" priority="692"/>
  </conditionalFormatting>
  <conditionalFormatting sqref="B270">
    <cfRule type="duplicateValues" dxfId="315" priority="690"/>
  </conditionalFormatting>
  <conditionalFormatting sqref="B278">
    <cfRule type="duplicateValues" dxfId="314" priority="691"/>
  </conditionalFormatting>
  <conditionalFormatting sqref="B293">
    <cfRule type="duplicateValues" dxfId="313" priority="677"/>
  </conditionalFormatting>
  <conditionalFormatting sqref="B299">
    <cfRule type="duplicateValues" dxfId="312" priority="688"/>
  </conditionalFormatting>
  <conditionalFormatting sqref="B300">
    <cfRule type="duplicateValues" dxfId="311" priority="685"/>
  </conditionalFormatting>
  <conditionalFormatting sqref="B301">
    <cfRule type="duplicateValues" dxfId="310" priority="684"/>
    <cfRule type="duplicateValues" dxfId="309" priority="683"/>
    <cfRule type="duplicateValues" dxfId="308" priority="682"/>
    <cfRule type="duplicateValues" dxfId="307" priority="681"/>
    <cfRule type="duplicateValues" dxfId="306" priority="679"/>
    <cfRule type="duplicateValues" dxfId="305" priority="687"/>
    <cfRule type="duplicateValues" dxfId="304" priority="686"/>
  </conditionalFormatting>
  <conditionalFormatting sqref="B302">
    <cfRule type="duplicateValues" dxfId="303" priority="680"/>
    <cfRule type="duplicateValues" dxfId="302" priority="678"/>
  </conditionalFormatting>
  <conditionalFormatting sqref="B308">
    <cfRule type="duplicateValues" dxfId="301" priority="662"/>
  </conditionalFormatting>
  <conditionalFormatting sqref="B315">
    <cfRule type="duplicateValues" dxfId="300" priority="676"/>
  </conditionalFormatting>
  <conditionalFormatting sqref="B321">
    <cfRule type="duplicateValues" dxfId="299" priority="675"/>
  </conditionalFormatting>
  <conditionalFormatting sqref="B330">
    <cfRule type="duplicateValues" dxfId="298" priority="674"/>
  </conditionalFormatting>
  <conditionalFormatting sqref="B331">
    <cfRule type="duplicateValues" dxfId="297" priority="671"/>
  </conditionalFormatting>
  <conditionalFormatting sqref="B332">
    <cfRule type="duplicateValues" dxfId="296" priority="670"/>
    <cfRule type="duplicateValues" dxfId="295" priority="669"/>
    <cfRule type="duplicateValues" dxfId="294" priority="668"/>
    <cfRule type="duplicateValues" dxfId="293" priority="667"/>
    <cfRule type="duplicateValues" dxfId="292" priority="665"/>
    <cfRule type="duplicateValues" dxfId="291" priority="673"/>
    <cfRule type="duplicateValues" dxfId="290" priority="672"/>
  </conditionalFormatting>
  <conditionalFormatting sqref="B333">
    <cfRule type="duplicateValues" dxfId="289" priority="664"/>
    <cfRule type="duplicateValues" dxfId="288" priority="666"/>
  </conditionalFormatting>
  <conditionalFormatting sqref="B337">
    <cfRule type="duplicateValues" dxfId="287" priority="660"/>
  </conditionalFormatting>
  <conditionalFormatting sqref="B339">
    <cfRule type="duplicateValues" dxfId="286" priority="659"/>
  </conditionalFormatting>
  <conditionalFormatting sqref="B341">
    <cfRule type="duplicateValues" dxfId="285" priority="661"/>
  </conditionalFormatting>
  <conditionalFormatting sqref="B350">
    <cfRule type="duplicateValues" dxfId="284" priority="663"/>
  </conditionalFormatting>
  <conditionalFormatting sqref="B356">
    <cfRule type="duplicateValues" dxfId="283" priority="658"/>
  </conditionalFormatting>
  <conditionalFormatting sqref="B357">
    <cfRule type="duplicateValues" dxfId="282" priority="655"/>
  </conditionalFormatting>
  <conditionalFormatting sqref="B358">
    <cfRule type="duplicateValues" dxfId="281" priority="657"/>
    <cfRule type="duplicateValues" dxfId="280" priority="656"/>
    <cfRule type="duplicateValues" dxfId="279" priority="654"/>
    <cfRule type="duplicateValues" dxfId="278" priority="653"/>
    <cfRule type="duplicateValues" dxfId="277" priority="652"/>
    <cfRule type="duplicateValues" dxfId="276" priority="651"/>
    <cfRule type="duplicateValues" dxfId="275" priority="649"/>
  </conditionalFormatting>
  <conditionalFormatting sqref="B359">
    <cfRule type="duplicateValues" dxfId="274" priority="650"/>
    <cfRule type="duplicateValues" dxfId="273" priority="648"/>
  </conditionalFormatting>
  <conditionalFormatting sqref="B367">
    <cfRule type="duplicateValues" dxfId="272" priority="778"/>
  </conditionalFormatting>
  <conditionalFormatting sqref="B386">
    <cfRule type="duplicateValues" dxfId="271" priority="647"/>
  </conditionalFormatting>
  <conditionalFormatting sqref="B395">
    <cfRule type="duplicateValues" dxfId="270" priority="646"/>
  </conditionalFormatting>
  <conditionalFormatting sqref="B403">
    <cfRule type="duplicateValues" dxfId="269" priority="645"/>
  </conditionalFormatting>
  <conditionalFormatting sqref="B405">
    <cfRule type="duplicateValues" dxfId="268" priority="644"/>
  </conditionalFormatting>
  <conditionalFormatting sqref="B425">
    <cfRule type="duplicateValues" dxfId="267" priority="643"/>
  </conditionalFormatting>
  <conditionalFormatting sqref="B426">
    <cfRule type="duplicateValues" dxfId="266" priority="640"/>
  </conditionalFormatting>
  <conditionalFormatting sqref="B427">
    <cfRule type="duplicateValues" dxfId="265" priority="641"/>
    <cfRule type="duplicateValues" dxfId="264" priority="639"/>
    <cfRule type="duplicateValues" dxfId="263" priority="638"/>
    <cfRule type="duplicateValues" dxfId="262" priority="637"/>
    <cfRule type="duplicateValues" dxfId="261" priority="636"/>
    <cfRule type="duplicateValues" dxfId="260" priority="634"/>
    <cfRule type="duplicateValues" dxfId="259" priority="642"/>
  </conditionalFormatting>
  <conditionalFormatting sqref="B428">
    <cfRule type="duplicateValues" dxfId="258" priority="635"/>
    <cfRule type="duplicateValues" dxfId="257" priority="633"/>
  </conditionalFormatting>
  <conditionalFormatting sqref="B431">
    <cfRule type="duplicateValues" dxfId="256" priority="632"/>
  </conditionalFormatting>
  <conditionalFormatting sqref="B439">
    <cfRule type="duplicateValues" dxfId="255" priority="631"/>
  </conditionalFormatting>
  <conditionalFormatting sqref="B443">
    <cfRule type="duplicateValues" dxfId="254" priority="630"/>
  </conditionalFormatting>
  <conditionalFormatting sqref="B445">
    <cfRule type="duplicateValues" dxfId="253" priority="628"/>
  </conditionalFormatting>
  <conditionalFormatting sqref="B448">
    <cfRule type="duplicateValues" dxfId="252" priority="629"/>
  </conditionalFormatting>
  <conditionalFormatting sqref="B456">
    <cfRule type="duplicateValues" dxfId="251" priority="627"/>
  </conditionalFormatting>
  <conditionalFormatting sqref="B462">
    <cfRule type="duplicateValues" dxfId="250" priority="626"/>
  </conditionalFormatting>
  <conditionalFormatting sqref="B467">
    <cfRule type="duplicateValues" dxfId="249" priority="625"/>
  </conditionalFormatting>
  <conditionalFormatting sqref="B480">
    <cfRule type="duplicateValues" dxfId="248" priority="624"/>
  </conditionalFormatting>
  <conditionalFormatting sqref="B481">
    <cfRule type="duplicateValues" dxfId="247" priority="621"/>
  </conditionalFormatting>
  <conditionalFormatting sqref="B482">
    <cfRule type="duplicateValues" dxfId="246" priority="622"/>
    <cfRule type="duplicateValues" dxfId="245" priority="620"/>
    <cfRule type="duplicateValues" dxfId="244" priority="619"/>
    <cfRule type="duplicateValues" dxfId="243" priority="618"/>
    <cfRule type="duplicateValues" dxfId="242" priority="617"/>
    <cfRule type="duplicateValues" dxfId="241" priority="615"/>
    <cfRule type="duplicateValues" dxfId="240" priority="623"/>
  </conditionalFormatting>
  <conditionalFormatting sqref="B483">
    <cfRule type="duplicateValues" dxfId="239" priority="616"/>
    <cfRule type="duplicateValues" dxfId="238" priority="614"/>
  </conditionalFormatting>
  <conditionalFormatting sqref="B499">
    <cfRule type="duplicateValues" dxfId="237" priority="613"/>
  </conditionalFormatting>
  <conditionalFormatting sqref="B514">
    <cfRule type="duplicateValues" dxfId="236" priority="612"/>
  </conditionalFormatting>
  <conditionalFormatting sqref="B521">
    <cfRule type="duplicateValues" dxfId="235" priority="610"/>
  </conditionalFormatting>
  <conditionalFormatting sqref="B522">
    <cfRule type="duplicateValues" dxfId="234" priority="611"/>
    <cfRule type="duplicateValues" dxfId="233" priority="609"/>
  </conditionalFormatting>
  <conditionalFormatting sqref="B523">
    <cfRule type="duplicateValues" dxfId="232" priority="608"/>
  </conditionalFormatting>
  <conditionalFormatting sqref="B525">
    <cfRule type="duplicateValues" dxfId="231" priority="607"/>
  </conditionalFormatting>
  <conditionalFormatting sqref="B532">
    <cfRule type="duplicateValues" dxfId="230" priority="603"/>
  </conditionalFormatting>
  <conditionalFormatting sqref="B544">
    <cfRule type="duplicateValues" dxfId="229" priority="606"/>
  </conditionalFormatting>
  <conditionalFormatting sqref="B548">
    <cfRule type="duplicateValues" dxfId="228" priority="605"/>
  </conditionalFormatting>
  <conditionalFormatting sqref="B549">
    <cfRule type="duplicateValues" dxfId="227" priority="604"/>
  </conditionalFormatting>
  <conditionalFormatting sqref="B571">
    <cfRule type="duplicateValues" dxfId="226" priority="602"/>
  </conditionalFormatting>
  <conditionalFormatting sqref="B572">
    <cfRule type="duplicateValues" dxfId="225" priority="599"/>
  </conditionalFormatting>
  <conditionalFormatting sqref="B573">
    <cfRule type="duplicateValues" dxfId="224" priority="601"/>
    <cfRule type="duplicateValues" dxfId="223" priority="600"/>
    <cfRule type="duplicateValues" dxfId="222" priority="598"/>
    <cfRule type="duplicateValues" dxfId="221" priority="597"/>
    <cfRule type="duplicateValues" dxfId="220" priority="596"/>
    <cfRule type="duplicateValues" dxfId="219" priority="595"/>
    <cfRule type="duplicateValues" dxfId="218" priority="593"/>
  </conditionalFormatting>
  <conditionalFormatting sqref="B574">
    <cfRule type="duplicateValues" dxfId="217" priority="594"/>
    <cfRule type="duplicateValues" dxfId="216" priority="592"/>
  </conditionalFormatting>
  <conditionalFormatting sqref="B575">
    <cfRule type="duplicateValues" dxfId="215" priority="591"/>
  </conditionalFormatting>
  <conditionalFormatting sqref="B585">
    <cfRule type="duplicateValues" dxfId="214" priority="590"/>
  </conditionalFormatting>
  <conditionalFormatting sqref="B589">
    <cfRule type="duplicateValues" dxfId="213" priority="588"/>
  </conditionalFormatting>
  <conditionalFormatting sqref="B606">
    <cfRule type="duplicateValues" dxfId="212" priority="587"/>
  </conditionalFormatting>
  <conditionalFormatting sqref="B625">
    <cfRule type="duplicateValues" dxfId="211" priority="485"/>
  </conditionalFormatting>
  <conditionalFormatting sqref="B634">
    <cfRule type="duplicateValues" dxfId="210" priority="484"/>
  </conditionalFormatting>
  <conditionalFormatting sqref="B635">
    <cfRule type="duplicateValues" dxfId="209" priority="481"/>
  </conditionalFormatting>
  <conditionalFormatting sqref="B636">
    <cfRule type="duplicateValues" dxfId="208" priority="477"/>
    <cfRule type="duplicateValues" dxfId="207" priority="478"/>
    <cfRule type="duplicateValues" dxfId="206" priority="479"/>
    <cfRule type="duplicateValues" dxfId="205" priority="480"/>
    <cfRule type="duplicateValues" dxfId="204" priority="482"/>
    <cfRule type="duplicateValues" dxfId="203" priority="483"/>
    <cfRule type="duplicateValues" dxfId="202" priority="475"/>
  </conditionalFormatting>
  <conditionalFormatting sqref="B637">
    <cfRule type="duplicateValues" dxfId="201" priority="476"/>
    <cfRule type="duplicateValues" dxfId="200" priority="474"/>
  </conditionalFormatting>
  <conditionalFormatting sqref="B638">
    <cfRule type="duplicateValues" dxfId="199" priority="473"/>
  </conditionalFormatting>
  <conditionalFormatting sqref="B639">
    <cfRule type="duplicateValues" dxfId="198" priority="471"/>
  </conditionalFormatting>
  <conditionalFormatting sqref="B640">
    <cfRule type="duplicateValues" dxfId="197" priority="472"/>
  </conditionalFormatting>
  <conditionalFormatting sqref="B646">
    <cfRule type="duplicateValues" dxfId="196" priority="467"/>
  </conditionalFormatting>
  <conditionalFormatting sqref="B667">
    <cfRule type="duplicateValues" dxfId="195" priority="470"/>
  </conditionalFormatting>
  <conditionalFormatting sqref="B668">
    <cfRule type="duplicateValues" dxfId="194" priority="469"/>
  </conditionalFormatting>
  <conditionalFormatting sqref="B673">
    <cfRule type="duplicateValues" dxfId="193" priority="468"/>
  </conditionalFormatting>
  <conditionalFormatting sqref="B680">
    <cfRule type="duplicateValues" dxfId="192" priority="466"/>
  </conditionalFormatting>
  <conditionalFormatting sqref="B681">
    <cfRule type="duplicateValues" dxfId="191" priority="463"/>
  </conditionalFormatting>
  <conditionalFormatting sqref="B682">
    <cfRule type="duplicateValues" dxfId="190" priority="465"/>
    <cfRule type="duplicateValues" dxfId="189" priority="464"/>
    <cfRule type="duplicateValues" dxfId="188" priority="462"/>
    <cfRule type="duplicateValues" dxfId="187" priority="461"/>
    <cfRule type="duplicateValues" dxfId="186" priority="460"/>
    <cfRule type="duplicateValues" dxfId="185" priority="457"/>
    <cfRule type="duplicateValues" dxfId="184" priority="459"/>
  </conditionalFormatting>
  <conditionalFormatting sqref="B683">
    <cfRule type="duplicateValues" dxfId="183" priority="458"/>
    <cfRule type="duplicateValues" dxfId="182" priority="456"/>
  </conditionalFormatting>
  <conditionalFormatting sqref="B693">
    <cfRule type="duplicateValues" dxfId="181" priority="486"/>
  </conditionalFormatting>
  <conditionalFormatting sqref="B700">
    <cfRule type="duplicateValues" dxfId="180" priority="444"/>
  </conditionalFormatting>
  <conditionalFormatting sqref="B705">
    <cfRule type="duplicateValues" dxfId="179" priority="455"/>
  </conditionalFormatting>
  <conditionalFormatting sqref="B706">
    <cfRule type="duplicateValues" dxfId="178" priority="454"/>
  </conditionalFormatting>
  <conditionalFormatting sqref="B707">
    <cfRule type="duplicateValues" dxfId="177" priority="453"/>
  </conditionalFormatting>
  <conditionalFormatting sqref="B709">
    <cfRule type="duplicateValues" dxfId="176" priority="452"/>
  </conditionalFormatting>
  <conditionalFormatting sqref="B710">
    <cfRule type="duplicateValues" dxfId="175" priority="451"/>
  </conditionalFormatting>
  <conditionalFormatting sqref="B711">
    <cfRule type="duplicateValues" dxfId="174" priority="450"/>
  </conditionalFormatting>
  <conditionalFormatting sqref="B713">
    <cfRule type="duplicateValues" dxfId="173" priority="449"/>
  </conditionalFormatting>
  <conditionalFormatting sqref="B714">
    <cfRule type="duplicateValues" dxfId="172" priority="448"/>
  </conditionalFormatting>
  <conditionalFormatting sqref="B722">
    <cfRule type="duplicateValues" dxfId="171" priority="443"/>
  </conditionalFormatting>
  <conditionalFormatting sqref="B735">
    <cfRule type="duplicateValues" dxfId="170" priority="447"/>
  </conditionalFormatting>
  <conditionalFormatting sqref="B736">
    <cfRule type="duplicateValues" dxfId="169" priority="446"/>
  </conditionalFormatting>
  <conditionalFormatting sqref="B737">
    <cfRule type="duplicateValues" dxfId="168" priority="445"/>
  </conditionalFormatting>
  <conditionalFormatting sqref="B746">
    <cfRule type="duplicateValues" dxfId="167" priority="442"/>
  </conditionalFormatting>
  <conditionalFormatting sqref="B747">
    <cfRule type="duplicateValues" dxfId="166" priority="439"/>
    <cfRule type="duplicateValues" dxfId="165" priority="431"/>
  </conditionalFormatting>
  <conditionalFormatting sqref="B748">
    <cfRule type="duplicateValues" dxfId="164" priority="438"/>
    <cfRule type="duplicateValues" dxfId="163" priority="437"/>
    <cfRule type="duplicateValues" dxfId="162" priority="436"/>
    <cfRule type="duplicateValues" dxfId="161" priority="435"/>
    <cfRule type="duplicateValues" dxfId="160" priority="428"/>
    <cfRule type="duplicateValues" dxfId="159" priority="433"/>
    <cfRule type="duplicateValues" dxfId="158" priority="441"/>
    <cfRule type="duplicateValues" dxfId="157" priority="440"/>
  </conditionalFormatting>
  <conditionalFormatting sqref="B749">
    <cfRule type="duplicateValues" dxfId="156" priority="434"/>
    <cfRule type="duplicateValues" dxfId="155" priority="422"/>
    <cfRule type="duplicateValues" dxfId="154" priority="426"/>
    <cfRule type="duplicateValues" dxfId="153" priority="432"/>
    <cfRule type="duplicateValues" dxfId="152" priority="430"/>
    <cfRule type="duplicateValues" dxfId="151" priority="429"/>
    <cfRule type="duplicateValues" dxfId="150" priority="427"/>
    <cfRule type="duplicateValues" dxfId="149" priority="425"/>
    <cfRule type="duplicateValues" dxfId="148" priority="424"/>
  </conditionalFormatting>
  <conditionalFormatting sqref="B750">
    <cfRule type="duplicateValues" dxfId="147" priority="421"/>
    <cfRule type="duplicateValues" dxfId="146" priority="423"/>
  </conditionalFormatting>
  <conditionalFormatting sqref="B751">
    <cfRule type="duplicateValues" dxfId="145" priority="487"/>
  </conditionalFormatting>
  <conditionalFormatting sqref="B759">
    <cfRule type="duplicateValues" dxfId="144" priority="420"/>
  </conditionalFormatting>
  <conditionalFormatting sqref="B773">
    <cfRule type="duplicateValues" dxfId="143" priority="419"/>
  </conditionalFormatting>
  <conditionalFormatting sqref="B774">
    <cfRule type="duplicateValues" dxfId="142" priority="416"/>
    <cfRule type="duplicateValues" dxfId="141" priority="408"/>
  </conditionalFormatting>
  <conditionalFormatting sqref="B775">
    <cfRule type="duplicateValues" dxfId="140" priority="414"/>
    <cfRule type="duplicateValues" dxfId="139" priority="413"/>
    <cfRule type="duplicateValues" dxfId="138" priority="412"/>
    <cfRule type="duplicateValues" dxfId="137" priority="410"/>
    <cfRule type="duplicateValues" dxfId="136" priority="405"/>
    <cfRule type="duplicateValues" dxfId="135" priority="418"/>
    <cfRule type="duplicateValues" dxfId="134" priority="417"/>
    <cfRule type="duplicateValues" dxfId="133" priority="415"/>
  </conditionalFormatting>
  <conditionalFormatting sqref="B776">
    <cfRule type="duplicateValues" dxfId="132" priority="409"/>
    <cfRule type="duplicateValues" dxfId="131" priority="407"/>
    <cfRule type="duplicateValues" dxfId="130" priority="406"/>
    <cfRule type="duplicateValues" dxfId="129" priority="411"/>
    <cfRule type="duplicateValues" dxfId="128" priority="404"/>
    <cfRule type="duplicateValues" dxfId="127" priority="403"/>
    <cfRule type="duplicateValues" dxfId="126" priority="402"/>
    <cfRule type="duplicateValues" dxfId="125" priority="401"/>
    <cfRule type="duplicateValues" dxfId="124" priority="399"/>
  </conditionalFormatting>
  <conditionalFormatting sqref="B777">
    <cfRule type="duplicateValues" dxfId="123" priority="400"/>
    <cfRule type="duplicateValues" dxfId="122" priority="398"/>
  </conditionalFormatting>
  <conditionalFormatting sqref="B780">
    <cfRule type="duplicateValues" dxfId="121" priority="397"/>
  </conditionalFormatting>
  <conditionalFormatting sqref="B781">
    <cfRule type="duplicateValues" dxfId="120" priority="396"/>
  </conditionalFormatting>
  <conditionalFormatting sqref="B782">
    <cfRule type="duplicateValues" dxfId="119" priority="395"/>
  </conditionalFormatting>
  <conditionalFormatting sqref="B783">
    <cfRule type="duplicateValues" dxfId="118" priority="394"/>
  </conditionalFormatting>
  <conditionalFormatting sqref="B784">
    <cfRule type="duplicateValues" dxfId="117" priority="393"/>
  </conditionalFormatting>
  <conditionalFormatting sqref="B797">
    <cfRule type="duplicateValues" dxfId="116" priority="392"/>
  </conditionalFormatting>
  <conditionalFormatting sqref="B801">
    <cfRule type="duplicateValues" dxfId="115" priority="391"/>
  </conditionalFormatting>
  <conditionalFormatting sqref="B805">
    <cfRule type="duplicateValues" dxfId="114" priority="390"/>
  </conditionalFormatting>
  <conditionalFormatting sqref="B806">
    <cfRule type="duplicateValues" dxfId="113" priority="389"/>
  </conditionalFormatting>
  <conditionalFormatting sqref="B809">
    <cfRule type="duplicateValues" dxfId="112" priority="388"/>
  </conditionalFormatting>
  <conditionalFormatting sqref="B817">
    <cfRule type="duplicateValues" dxfId="111" priority="377"/>
  </conditionalFormatting>
  <conditionalFormatting sqref="B821">
    <cfRule type="duplicateValues" dxfId="110" priority="387"/>
  </conditionalFormatting>
  <conditionalFormatting sqref="B822">
    <cfRule type="duplicateValues" dxfId="109" priority="386"/>
  </conditionalFormatting>
  <conditionalFormatting sqref="B825">
    <cfRule type="duplicateValues" dxfId="108" priority="385"/>
  </conditionalFormatting>
  <conditionalFormatting sqref="B827">
    <cfRule type="duplicateValues" dxfId="107" priority="384"/>
  </conditionalFormatting>
  <conditionalFormatting sqref="B828">
    <cfRule type="duplicateValues" dxfId="106" priority="383"/>
  </conditionalFormatting>
  <conditionalFormatting sqref="B829">
    <cfRule type="duplicateValues" dxfId="105" priority="382"/>
  </conditionalFormatting>
  <conditionalFormatting sqref="B830">
    <cfRule type="duplicateValues" dxfId="104" priority="381"/>
  </conditionalFormatting>
  <conditionalFormatting sqref="B831">
    <cfRule type="duplicateValues" dxfId="103" priority="380"/>
  </conditionalFormatting>
  <conditionalFormatting sqref="B832">
    <cfRule type="duplicateValues" dxfId="102" priority="379"/>
  </conditionalFormatting>
  <conditionalFormatting sqref="B834">
    <cfRule type="duplicateValues" dxfId="101" priority="378"/>
  </conditionalFormatting>
  <conditionalFormatting sqref="B835">
    <cfRule type="duplicateValues" dxfId="100" priority="376"/>
  </conditionalFormatting>
  <conditionalFormatting sqref="B836">
    <cfRule type="duplicateValues" dxfId="99" priority="375"/>
  </conditionalFormatting>
  <conditionalFormatting sqref="B837">
    <cfRule type="duplicateValues" dxfId="98" priority="374"/>
  </conditionalFormatting>
  <conditionalFormatting sqref="B852">
    <cfRule type="duplicateValues" dxfId="97" priority="38"/>
  </conditionalFormatting>
  <conditionalFormatting sqref="B853">
    <cfRule type="duplicateValues" dxfId="96" priority="37"/>
  </conditionalFormatting>
  <conditionalFormatting sqref="B856">
    <cfRule type="duplicateValues" dxfId="95" priority="36"/>
  </conditionalFormatting>
  <conditionalFormatting sqref="B857">
    <cfRule type="duplicateValues" dxfId="94" priority="34"/>
    <cfRule type="duplicateValues" dxfId="93" priority="35"/>
  </conditionalFormatting>
  <conditionalFormatting sqref="B861">
    <cfRule type="duplicateValues" dxfId="92" priority="25"/>
  </conditionalFormatting>
  <conditionalFormatting sqref="B865">
    <cfRule type="duplicateValues" dxfId="91" priority="26"/>
  </conditionalFormatting>
  <conditionalFormatting sqref="B867">
    <cfRule type="duplicateValues" dxfId="90" priority="24"/>
  </conditionalFormatting>
  <conditionalFormatting sqref="B878">
    <cfRule type="duplicateValues" dxfId="89" priority="32"/>
    <cfRule type="duplicateValues" dxfId="88" priority="30"/>
  </conditionalFormatting>
  <conditionalFormatting sqref="B880">
    <cfRule type="duplicateValues" dxfId="87" priority="31"/>
    <cfRule type="duplicateValues" dxfId="86" priority="29"/>
  </conditionalFormatting>
  <conditionalFormatting sqref="B887">
    <cfRule type="duplicateValues" dxfId="85" priority="28"/>
    <cfRule type="duplicateValues" dxfId="84" priority="27"/>
  </conditionalFormatting>
  <conditionalFormatting sqref="B891">
    <cfRule type="duplicateValues" dxfId="83" priority="23"/>
  </conditionalFormatting>
  <conditionalFormatting sqref="B894">
    <cfRule type="duplicateValues" dxfId="82" priority="22"/>
  </conditionalFormatting>
  <conditionalFormatting sqref="B895">
    <cfRule type="duplicateValues" dxfId="81" priority="21"/>
    <cfRule type="duplicateValues" dxfId="80" priority="20"/>
  </conditionalFormatting>
  <conditionalFormatting sqref="B901">
    <cfRule type="duplicateValues" dxfId="79" priority="19"/>
  </conditionalFormatting>
  <conditionalFormatting sqref="B902">
    <cfRule type="duplicateValues" dxfId="78" priority="18"/>
  </conditionalFormatting>
  <conditionalFormatting sqref="B911">
    <cfRule type="duplicateValues" dxfId="77" priority="13"/>
  </conditionalFormatting>
  <conditionalFormatting sqref="B915">
    <cfRule type="duplicateValues" dxfId="76" priority="11"/>
    <cfRule type="duplicateValues" dxfId="75" priority="12"/>
  </conditionalFormatting>
  <conditionalFormatting sqref="B918">
    <cfRule type="duplicateValues" dxfId="74" priority="16"/>
    <cfRule type="duplicateValues" dxfId="73" priority="17"/>
  </conditionalFormatting>
  <conditionalFormatting sqref="B919">
    <cfRule type="duplicateValues" dxfId="72" priority="14"/>
    <cfRule type="duplicateValues" dxfId="71" priority="15"/>
  </conditionalFormatting>
  <conditionalFormatting sqref="B924">
    <cfRule type="duplicateValues" dxfId="70" priority="10"/>
  </conditionalFormatting>
  <conditionalFormatting sqref="B927">
    <cfRule type="duplicateValues" dxfId="69" priority="9"/>
  </conditionalFormatting>
  <conditionalFormatting sqref="B930">
    <cfRule type="duplicateValues" dxfId="68" priority="8"/>
  </conditionalFormatting>
  <conditionalFormatting sqref="B935">
    <cfRule type="duplicateValues" dxfId="67" priority="7"/>
  </conditionalFormatting>
  <conditionalFormatting sqref="B937">
    <cfRule type="duplicateValues" dxfId="66" priority="6"/>
  </conditionalFormatting>
  <conditionalFormatting sqref="B941">
    <cfRule type="duplicateValues" dxfId="65" priority="5"/>
    <cfRule type="duplicateValues" dxfId="64" priority="4"/>
  </conditionalFormatting>
  <conditionalFormatting sqref="B953">
    <cfRule type="duplicateValues" dxfId="63" priority="2"/>
    <cfRule type="duplicateValues" dxfId="62" priority="3"/>
  </conditionalFormatting>
  <conditionalFormatting sqref="B962">
    <cfRule type="duplicateValues" dxfId="61" priority="1"/>
  </conditionalFormatting>
  <conditionalFormatting sqref="B964">
    <cfRule type="duplicateValues" dxfId="60" priority="138"/>
  </conditionalFormatting>
  <conditionalFormatting sqref="B1001">
    <cfRule type="duplicateValues" dxfId="59" priority="136"/>
  </conditionalFormatting>
  <conditionalFormatting sqref="B1002">
    <cfRule type="duplicateValues" dxfId="58" priority="133"/>
    <cfRule type="duplicateValues" dxfId="57" priority="125"/>
  </conditionalFormatting>
  <conditionalFormatting sqref="B1003">
    <cfRule type="duplicateValues" dxfId="56" priority="130"/>
    <cfRule type="duplicateValues" dxfId="55" priority="135"/>
    <cfRule type="duplicateValues" dxfId="54" priority="134"/>
    <cfRule type="duplicateValues" dxfId="53" priority="132"/>
    <cfRule type="duplicateValues" dxfId="52" priority="131"/>
    <cfRule type="duplicateValues" dxfId="51" priority="129"/>
    <cfRule type="duplicateValues" dxfId="50" priority="127"/>
    <cfRule type="duplicateValues" dxfId="49" priority="122"/>
  </conditionalFormatting>
  <conditionalFormatting sqref="B1004">
    <cfRule type="duplicateValues" dxfId="48" priority="124"/>
    <cfRule type="duplicateValues" dxfId="47" priority="128"/>
    <cfRule type="duplicateValues" dxfId="46" priority="126"/>
    <cfRule type="duplicateValues" dxfId="45" priority="123"/>
    <cfRule type="duplicateValues" dxfId="44" priority="121"/>
    <cfRule type="duplicateValues" dxfId="43" priority="120"/>
    <cfRule type="duplicateValues" dxfId="42" priority="119"/>
    <cfRule type="duplicateValues" dxfId="41" priority="118"/>
    <cfRule type="duplicateValues" dxfId="40" priority="116"/>
  </conditionalFormatting>
  <conditionalFormatting sqref="B1005">
    <cfRule type="duplicateValues" dxfId="39" priority="115"/>
    <cfRule type="duplicateValues" dxfId="38" priority="117"/>
  </conditionalFormatting>
  <conditionalFormatting sqref="B1019">
    <cfRule type="duplicateValues" dxfId="37" priority="114"/>
  </conditionalFormatting>
  <conditionalFormatting sqref="B1035">
    <cfRule type="duplicateValues" dxfId="36" priority="113"/>
  </conditionalFormatting>
  <conditionalFormatting sqref="B1036">
    <cfRule type="duplicateValues" dxfId="35" priority="104"/>
    <cfRule type="duplicateValues" dxfId="34" priority="110"/>
  </conditionalFormatting>
  <conditionalFormatting sqref="B1037">
    <cfRule type="duplicateValues" dxfId="33" priority="108"/>
    <cfRule type="duplicateValues" dxfId="32" priority="109"/>
    <cfRule type="duplicateValues" dxfId="31" priority="111"/>
    <cfRule type="duplicateValues" dxfId="30" priority="112"/>
    <cfRule type="duplicateValues" dxfId="29" priority="103"/>
    <cfRule type="duplicateValues" dxfId="28" priority="105"/>
    <cfRule type="duplicateValues" dxfId="27" priority="106"/>
    <cfRule type="duplicateValues" dxfId="26" priority="107"/>
  </conditionalFormatting>
  <conditionalFormatting sqref="B1046">
    <cfRule type="duplicateValues" dxfId="25" priority="102"/>
  </conditionalFormatting>
  <conditionalFormatting sqref="B1073">
    <cfRule type="duplicateValues" dxfId="24" priority="101"/>
  </conditionalFormatting>
  <conditionalFormatting sqref="B1074">
    <cfRule type="duplicateValues" dxfId="23" priority="98"/>
    <cfRule type="duplicateValues" dxfId="22" priority="92"/>
    <cfRule type="duplicateValues" dxfId="21" priority="90"/>
  </conditionalFormatting>
  <conditionalFormatting sqref="B1075">
    <cfRule type="duplicateValues" dxfId="20" priority="97"/>
    <cfRule type="duplicateValues" dxfId="19" priority="99"/>
    <cfRule type="duplicateValues" dxfId="18" priority="96"/>
    <cfRule type="duplicateValues" dxfId="17" priority="95"/>
    <cfRule type="duplicateValues" dxfId="16" priority="100"/>
    <cfRule type="duplicateValues" dxfId="15" priority="81"/>
    <cfRule type="duplicateValues" dxfId="14" priority="87"/>
    <cfRule type="duplicateValues" dxfId="13" priority="91"/>
    <cfRule type="duplicateValues" dxfId="12" priority="93"/>
    <cfRule type="duplicateValues" dxfId="11" priority="94"/>
  </conditionalFormatting>
  <conditionalFormatting sqref="B1076">
    <cfRule type="duplicateValues" dxfId="10" priority="82"/>
    <cfRule type="duplicateValues" dxfId="9" priority="80"/>
    <cfRule type="duplicateValues" dxfId="8" priority="83"/>
    <cfRule type="duplicateValues" dxfId="7" priority="84"/>
    <cfRule type="duplicateValues" dxfId="6" priority="85"/>
    <cfRule type="duplicateValues" dxfId="5" priority="86"/>
    <cfRule type="duplicateValues" dxfId="4" priority="88"/>
    <cfRule type="duplicateValues" dxfId="3" priority="89"/>
  </conditionalFormatting>
  <conditionalFormatting sqref="B1107">
    <cfRule type="duplicateValues" dxfId="2" priority="45"/>
  </conditionalFormatting>
  <conditionalFormatting sqref="B1124">
    <cfRule type="duplicateValues" dxfId="1" priority="996"/>
  </conditionalFormatting>
  <conditionalFormatting sqref="B1128">
    <cfRule type="duplicateValues" dxfId="0" priority="997"/>
  </conditionalFormatting>
  <pageMargins left="0.25" right="0.25" top="0.75" bottom="0.75" header="0.30000001192092896" footer="0.30000001192092896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J1:N11"/>
  <sheetViews>
    <sheetView zoomScale="115" zoomScaleNormal="115" workbookViewId="0">
      <selection activeCell="N16" sqref="N16"/>
    </sheetView>
  </sheetViews>
  <sheetFormatPr defaultRowHeight="16.5"/>
  <sheetData>
    <row r="1" spans="10:14" ht="15" customHeight="1"/>
    <row r="2" spans="10:14" ht="15" customHeight="1"/>
    <row r="3" spans="10:14" ht="15" customHeight="1"/>
    <row r="4" spans="10:14" ht="15" customHeight="1"/>
    <row r="6" spans="10:14" ht="36">
      <c r="J6" s="32" t="s">
        <v>101</v>
      </c>
      <c r="K6" s="32" t="s">
        <v>102</v>
      </c>
      <c r="L6" s="32" t="s">
        <v>103</v>
      </c>
      <c r="M6" s="32" t="s">
        <v>104</v>
      </c>
      <c r="N6" s="32" t="s">
        <v>105</v>
      </c>
    </row>
    <row r="7" spans="10:14">
      <c r="J7" s="27">
        <v>20241030</v>
      </c>
      <c r="K7" s="25"/>
      <c r="L7" s="25" t="s">
        <v>91</v>
      </c>
      <c r="M7" s="25" t="s">
        <v>92</v>
      </c>
      <c r="N7" s="25"/>
    </row>
    <row r="8" spans="10:14">
      <c r="J8" s="27">
        <v>20241030</v>
      </c>
      <c r="K8" s="25"/>
      <c r="L8" s="25" t="s">
        <v>91</v>
      </c>
      <c r="M8" s="25" t="s">
        <v>92</v>
      </c>
      <c r="N8" s="25"/>
    </row>
    <row r="9" spans="10:14">
      <c r="J9" s="27">
        <v>20241031</v>
      </c>
      <c r="K9" s="25"/>
      <c r="L9" s="25" t="s">
        <v>91</v>
      </c>
      <c r="M9" s="25" t="s">
        <v>92</v>
      </c>
      <c r="N9" s="25"/>
    </row>
    <row r="10" spans="10:14">
      <c r="J10" s="27">
        <v>20241031</v>
      </c>
      <c r="K10" s="25"/>
      <c r="L10" s="25" t="s">
        <v>91</v>
      </c>
      <c r="M10" s="25" t="s">
        <v>92</v>
      </c>
      <c r="N10" s="25"/>
    </row>
    <row r="11" spans="10:14">
      <c r="J11" s="27">
        <v>20241031</v>
      </c>
      <c r="K11" s="25"/>
      <c r="L11" s="25" t="s">
        <v>91</v>
      </c>
      <c r="M11" s="25" t="s">
        <v>92</v>
      </c>
      <c r="N11" s="25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3068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품번코드마스터</vt:lpstr>
      <vt:lpstr>원,부재료 수불부</vt:lpstr>
      <vt:lpstr>입출고데이터</vt:lpstr>
      <vt:lpstr>창고장소코드</vt:lpstr>
      <vt:lpstr>'원,부재료 수불부'!Print_Area</vt:lpstr>
      <vt:lpstr>'원,부재료 수불부'!Print_Titles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유은서</dc:creator>
  <cp:lastModifiedBy>chldusrb09@yemat1004.com</cp:lastModifiedBy>
  <cp:revision>1243</cp:revision>
  <cp:lastPrinted>2025-10-31T05:51:50Z</cp:lastPrinted>
  <dcterms:created xsi:type="dcterms:W3CDTF">2023-06-12T05:03:15Z</dcterms:created>
  <dcterms:modified xsi:type="dcterms:W3CDTF">2026-03-19T05:20:36Z</dcterms:modified>
  <cp:version>1100.0100.01</cp:version>
</cp:coreProperties>
</file>